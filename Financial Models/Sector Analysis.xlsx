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drawings/drawing1.xml" ContentType="application/vnd.openxmlformats-officedocument.drawing+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drawings/drawing4.xml" ContentType="application/vnd.openxmlformats-officedocument.drawing+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usic\Job &amp; Future\Fundamental Analysis Project-Flagship\Sector Analysis\Final Reports\"/>
    </mc:Choice>
  </mc:AlternateContent>
  <xr:revisionPtr revIDLastSave="0" documentId="13_ncr:1_{926A71F5-07F8-4F82-A6B6-578297990313}" xr6:coauthVersionLast="47" xr6:coauthVersionMax="47" xr10:uidLastSave="{00000000-0000-0000-0000-000000000000}"/>
  <bookViews>
    <workbookView xWindow="-108" yWindow="-108" windowWidth="23256" windowHeight="12456" xr2:uid="{093CB20B-3395-4A39-8D83-FE175999032C}"/>
  </bookViews>
  <sheets>
    <sheet name="Sector-wise Analysis" sheetId="1" r:id="rId1"/>
    <sheet name="Tables-BFSI" sheetId="2" r:id="rId2"/>
    <sheet name="Tables-FMCG" sheetId="4" r:id="rId3"/>
    <sheet name="Tables-Pharma" sheetId="5" r:id="rId4"/>
    <sheet name="Tables-IT" sheetId="6" r:id="rId5"/>
    <sheet name="Tables-Auto" sheetId="7" r:id="rId6"/>
    <sheet name="Tables-P&amp;E" sheetId="8" r:id="rId7"/>
    <sheet name="Tables-Telecom" sheetId="9" r:id="rId8"/>
    <sheet name="Tables-defence" sheetId="10" r:id="rId9"/>
    <sheet name="Tables-Oil&amp;Gas" sheetId="11" r:id="rId10"/>
    <sheet name="Tables-Infra" sheetId="12" r:id="rId11"/>
    <sheet name="Tables-Minerals" sheetId="13" r:id="rId12"/>
    <sheet name="Valuation Summary" sheetId="3" r:id="rId13"/>
    <sheet name="India" sheetId="14" r:id="rId14"/>
    <sheet name="Cross-Sector US" sheetId="16" r:id="rId15"/>
    <sheet name="US-1" sheetId="17" r:id="rId16"/>
    <sheet name="USI-1" sheetId="18" r:id="rId17"/>
    <sheet name="USI-2" sheetId="19" r:id="rId18"/>
    <sheet name="India-1" sheetId="23" r:id="rId19"/>
    <sheet name="India-2" sheetId="24" r:id="rId20"/>
    <sheet name="USI-3" sheetId="20" r:id="rId21"/>
    <sheet name="USI-5" sheetId="22" r:id="rId22"/>
    <sheet name="US-2" sheetId="25" r:id="rId23"/>
    <sheet name="USI-4" sheetId="21" r:id="rId24"/>
    <sheet name="5e" sheetId="15" r:id="rId25"/>
    <sheet name="Analysis1" sheetId="26"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25" i="16" l="1"/>
  <c r="AS24" i="16"/>
  <c r="AR20" i="16"/>
  <c r="BV9" i="16"/>
  <c r="BV10" i="16"/>
  <c r="BU6" i="16"/>
  <c r="BU5" i="16"/>
  <c r="BM12" i="16"/>
  <c r="BK12" i="16"/>
  <c r="BJ12" i="16"/>
  <c r="BM11" i="16"/>
  <c r="BK11" i="16"/>
  <c r="BJ11" i="16"/>
  <c r="BM10" i="16"/>
  <c r="BK10" i="16"/>
  <c r="BJ10" i="16"/>
  <c r="BM9" i="16"/>
  <c r="BK9" i="16"/>
  <c r="BJ9" i="16"/>
  <c r="BM8" i="16"/>
  <c r="BK8" i="16"/>
  <c r="BJ8" i="16"/>
  <c r="BM7" i="16"/>
  <c r="BK7" i="16"/>
  <c r="BJ7" i="16"/>
  <c r="BM6" i="16"/>
  <c r="BK6" i="16"/>
  <c r="BJ6" i="16"/>
  <c r="BM5" i="16"/>
  <c r="BK5" i="16"/>
  <c r="BJ5" i="16"/>
  <c r="BM4" i="16"/>
  <c r="BK4" i="16"/>
  <c r="BJ4" i="16"/>
  <c r="BM3" i="16"/>
  <c r="BK3" i="16"/>
  <c r="BJ3" i="16"/>
  <c r="BM2" i="16"/>
  <c r="BK2" i="16"/>
  <c r="BJ2" i="16"/>
  <c r="BB3" i="16"/>
  <c r="BC3" i="16"/>
  <c r="BD3" i="16"/>
  <c r="BE3" i="16"/>
  <c r="BB4" i="16"/>
  <c r="BC4" i="16"/>
  <c r="BD4" i="16"/>
  <c r="BE4" i="16"/>
  <c r="BB5" i="16"/>
  <c r="BC5" i="16"/>
  <c r="BD5" i="16"/>
  <c r="BE5" i="16"/>
  <c r="BB6" i="16"/>
  <c r="BC6" i="16"/>
  <c r="BD6" i="16"/>
  <c r="BE6" i="16"/>
  <c r="BB7" i="16"/>
  <c r="BC7" i="16"/>
  <c r="BD7" i="16"/>
  <c r="BE7" i="16"/>
  <c r="BB8" i="16"/>
  <c r="BC8" i="16"/>
  <c r="BD8" i="16"/>
  <c r="BE8" i="16"/>
  <c r="BB9" i="16"/>
  <c r="BC9" i="16"/>
  <c r="BD9" i="16"/>
  <c r="BE9" i="16"/>
  <c r="BB10" i="16"/>
  <c r="BC10" i="16"/>
  <c r="BD10" i="16"/>
  <c r="BE10" i="16"/>
  <c r="BB11" i="16"/>
  <c r="BC11" i="16"/>
  <c r="BD11" i="16"/>
  <c r="BE11" i="16"/>
  <c r="BB12" i="16"/>
  <c r="BC12" i="16"/>
  <c r="BD12" i="16"/>
  <c r="BE12" i="16"/>
  <c r="BC2" i="16"/>
  <c r="BD2" i="16"/>
  <c r="BE2" i="16"/>
  <c r="BB2" i="16"/>
  <c r="AS9" i="16"/>
  <c r="AR9" i="16"/>
  <c r="BA3" i="16"/>
  <c r="BA4" i="16"/>
  <c r="BA5" i="16"/>
  <c r="BA6" i="16"/>
  <c r="BA7" i="16"/>
  <c r="BA8" i="16"/>
  <c r="BA9" i="16"/>
  <c r="BA10" i="16"/>
  <c r="BA11" i="16"/>
  <c r="BA12" i="16"/>
  <c r="BA2" i="16"/>
  <c r="AY3" i="16"/>
  <c r="AY4" i="16"/>
  <c r="AY5" i="16"/>
  <c r="AY6" i="16"/>
  <c r="AY7" i="16"/>
  <c r="AY8" i="16"/>
  <c r="AY9" i="16"/>
  <c r="AY10" i="16"/>
  <c r="AY11" i="16"/>
  <c r="AY12" i="16"/>
  <c r="AY2" i="16"/>
  <c r="AX3" i="16"/>
  <c r="AX4" i="16"/>
  <c r="AX5" i="16"/>
  <c r="AX6" i="16"/>
  <c r="AX7" i="16"/>
  <c r="AX8" i="16"/>
  <c r="AX9" i="16"/>
  <c r="AX10" i="16"/>
  <c r="AX11" i="16"/>
  <c r="AX12" i="16"/>
  <c r="AX2" i="16"/>
  <c r="AO5" i="22"/>
  <c r="AO4" i="22"/>
  <c r="AO3" i="22"/>
  <c r="AO2" i="22"/>
  <c r="AP6" i="22"/>
  <c r="F24" i="25" l="1"/>
  <c r="F23" i="25"/>
  <c r="F22" i="25"/>
  <c r="G54" i="25" l="1"/>
  <c r="G53" i="25"/>
  <c r="G52" i="25"/>
  <c r="G51" i="25"/>
  <c r="G50" i="25"/>
  <c r="F54" i="25"/>
  <c r="F53" i="25"/>
  <c r="F52" i="25"/>
  <c r="E54" i="25"/>
  <c r="E53" i="25"/>
  <c r="E52" i="25"/>
  <c r="E51" i="25"/>
  <c r="E50" i="25"/>
  <c r="D54" i="25"/>
  <c r="D53" i="25"/>
  <c r="D52" i="25"/>
  <c r="D51" i="25"/>
  <c r="D50" i="25"/>
  <c r="C54" i="25"/>
  <c r="C53" i="25"/>
  <c r="C52" i="25"/>
  <c r="C51" i="25"/>
  <c r="C50" i="25"/>
  <c r="F49" i="25" l="1"/>
  <c r="F48" i="25"/>
  <c r="F47" i="25"/>
  <c r="G44" i="25" l="1"/>
  <c r="G43" i="25"/>
  <c r="G42" i="25"/>
  <c r="G41" i="25"/>
  <c r="G40" i="25"/>
  <c r="F44" i="25"/>
  <c r="F43" i="25"/>
  <c r="F42" i="25"/>
  <c r="E44" i="25"/>
  <c r="E43" i="25"/>
  <c r="E42" i="25"/>
  <c r="E41" i="25"/>
  <c r="E40" i="25"/>
  <c r="D44" i="25"/>
  <c r="D43" i="25"/>
  <c r="D42" i="25"/>
  <c r="D41" i="25"/>
  <c r="D40" i="25"/>
  <c r="C44" i="25"/>
  <c r="C43" i="25"/>
  <c r="C42" i="25"/>
  <c r="C41" i="25"/>
  <c r="C40" i="25"/>
  <c r="G39" i="25" l="1"/>
  <c r="G38" i="25"/>
  <c r="G37" i="25"/>
  <c r="G36" i="25"/>
  <c r="G35" i="25"/>
  <c r="F39" i="25"/>
  <c r="F38" i="25"/>
  <c r="F37" i="25"/>
  <c r="E39" i="25"/>
  <c r="E38" i="25"/>
  <c r="E37" i="25"/>
  <c r="E36" i="25"/>
  <c r="E35" i="25"/>
  <c r="D39" i="25"/>
  <c r="D38" i="25"/>
  <c r="D37" i="25"/>
  <c r="D36" i="25"/>
  <c r="D35" i="25"/>
  <c r="C39" i="25"/>
  <c r="C38" i="25"/>
  <c r="C37" i="25"/>
  <c r="C36" i="25"/>
  <c r="C35" i="25"/>
  <c r="G34" i="25" l="1"/>
  <c r="G33" i="25"/>
  <c r="G32" i="25"/>
  <c r="G31" i="25"/>
  <c r="G30" i="25"/>
  <c r="F34" i="25"/>
  <c r="F33" i="25"/>
  <c r="F32" i="25"/>
  <c r="E34" i="25"/>
  <c r="E33" i="25"/>
  <c r="E32" i="25"/>
  <c r="E31" i="25"/>
  <c r="E30" i="25"/>
  <c r="D34" i="25"/>
  <c r="D33" i="25"/>
  <c r="D32" i="25"/>
  <c r="D31" i="25"/>
  <c r="D30" i="25"/>
  <c r="C34" i="25"/>
  <c r="C33" i="25"/>
  <c r="C32" i="25"/>
  <c r="C31" i="25"/>
  <c r="C30" i="25"/>
  <c r="G29" i="25" l="1"/>
  <c r="G28" i="25"/>
  <c r="G27" i="25"/>
  <c r="G26" i="25"/>
  <c r="G25" i="25"/>
  <c r="F29" i="25"/>
  <c r="F28" i="25"/>
  <c r="F27" i="25"/>
  <c r="E29" i="25"/>
  <c r="E28" i="25"/>
  <c r="E27" i="25"/>
  <c r="E26" i="25"/>
  <c r="E25" i="25"/>
  <c r="D29" i="25"/>
  <c r="D28" i="25"/>
  <c r="D27" i="25"/>
  <c r="D26" i="25"/>
  <c r="D25" i="25"/>
  <c r="C29" i="25"/>
  <c r="C28" i="25"/>
  <c r="C27" i="25"/>
  <c r="C26" i="25"/>
  <c r="C25" i="25"/>
  <c r="F19" i="25" l="1"/>
  <c r="F18" i="25"/>
  <c r="F17" i="25"/>
  <c r="E19" i="25"/>
  <c r="E18" i="25"/>
  <c r="E17" i="25"/>
  <c r="E16" i="25"/>
  <c r="E15" i="25"/>
  <c r="D19" i="25"/>
  <c r="D18" i="25"/>
  <c r="D17" i="25"/>
  <c r="D16" i="25"/>
  <c r="D15" i="25"/>
  <c r="C19" i="25"/>
  <c r="C18" i="25"/>
  <c r="C17" i="25"/>
  <c r="C16" i="25"/>
  <c r="C15" i="25"/>
  <c r="G19" i="25"/>
  <c r="G18" i="25"/>
  <c r="G17" i="25"/>
  <c r="G16" i="25"/>
  <c r="G15" i="25"/>
  <c r="F56" i="25" l="1"/>
  <c r="AN5" i="22" s="1"/>
  <c r="E49" i="25" l="1"/>
  <c r="E48" i="25"/>
  <c r="E47" i="25"/>
  <c r="E46" i="25"/>
  <c r="E45" i="25"/>
  <c r="E56" i="25" s="1"/>
  <c r="AN4" i="22" s="1"/>
  <c r="G49" i="25" l="1"/>
  <c r="G48" i="25"/>
  <c r="G47" i="25"/>
  <c r="G46" i="25"/>
  <c r="G45" i="25"/>
  <c r="D49" i="25"/>
  <c r="D48" i="25"/>
  <c r="D47" i="25"/>
  <c r="D46" i="25"/>
  <c r="D45" i="25"/>
  <c r="C48" i="25"/>
  <c r="C49" i="25"/>
  <c r="C47" i="25"/>
  <c r="C46" i="25"/>
  <c r="C45" i="25"/>
  <c r="C56" i="25" l="1"/>
  <c r="AN2" i="22" s="1"/>
  <c r="G56" i="25"/>
  <c r="AN6" i="22" s="1"/>
  <c r="D56" i="25"/>
  <c r="AN3" i="22" s="1"/>
  <c r="G58" i="24"/>
  <c r="G57" i="24"/>
  <c r="G56" i="24"/>
  <c r="G55" i="24"/>
  <c r="G54" i="24"/>
  <c r="G53" i="24"/>
  <c r="F58" i="24"/>
  <c r="F57" i="24"/>
  <c r="F56" i="24"/>
  <c r="F55" i="24"/>
  <c r="F54" i="24"/>
  <c r="F53" i="24"/>
  <c r="D58" i="24"/>
  <c r="D57" i="24"/>
  <c r="D56" i="24"/>
  <c r="D55" i="24"/>
  <c r="D54" i="24"/>
  <c r="D53" i="24"/>
  <c r="E58" i="24"/>
  <c r="E57" i="24"/>
  <c r="E56" i="24"/>
  <c r="E55" i="24"/>
  <c r="E54" i="24"/>
  <c r="E53" i="24"/>
  <c r="C58" i="24"/>
  <c r="C57" i="24"/>
  <c r="C56" i="24"/>
  <c r="C55" i="24"/>
  <c r="C54" i="24"/>
  <c r="C53" i="24"/>
  <c r="D63" i="24" l="1"/>
  <c r="AM3" i="22" s="1"/>
  <c r="G52" i="24"/>
  <c r="G51" i="24"/>
  <c r="G50" i="24"/>
  <c r="G49" i="24"/>
  <c r="G48" i="24"/>
  <c r="G47" i="24"/>
  <c r="F52" i="24"/>
  <c r="F51" i="24"/>
  <c r="F50" i="24"/>
  <c r="F49" i="24"/>
  <c r="F48" i="24"/>
  <c r="F47" i="24"/>
  <c r="E52" i="24"/>
  <c r="E51" i="24"/>
  <c r="E50" i="24"/>
  <c r="E49" i="24"/>
  <c r="E48" i="24"/>
  <c r="E47" i="24"/>
  <c r="C52" i="24"/>
  <c r="C51" i="24"/>
  <c r="C50" i="24"/>
  <c r="C49" i="24"/>
  <c r="C48" i="24"/>
  <c r="C47" i="24"/>
  <c r="F46" i="24" l="1"/>
  <c r="F45" i="24"/>
  <c r="F44" i="24"/>
  <c r="F43" i="24"/>
  <c r="F42" i="24"/>
  <c r="E46" i="24"/>
  <c r="E45" i="24"/>
  <c r="E44" i="24"/>
  <c r="E43" i="24"/>
  <c r="E42" i="24"/>
  <c r="C46" i="24"/>
  <c r="C45" i="24"/>
  <c r="C44" i="24"/>
  <c r="C43" i="24"/>
  <c r="C42" i="24"/>
  <c r="G46" i="24"/>
  <c r="G45" i="24"/>
  <c r="G44" i="24"/>
  <c r="G43" i="24"/>
  <c r="G42" i="24"/>
  <c r="G41" i="24" l="1"/>
  <c r="G40" i="24"/>
  <c r="G39" i="24"/>
  <c r="G38" i="24"/>
  <c r="G37" i="24"/>
  <c r="G36" i="24"/>
  <c r="F41" i="24"/>
  <c r="F40" i="24"/>
  <c r="F39" i="24"/>
  <c r="F38" i="24"/>
  <c r="F37" i="24"/>
  <c r="F36" i="24"/>
  <c r="E41" i="24"/>
  <c r="E40" i="24"/>
  <c r="E39" i="24"/>
  <c r="E38" i="24"/>
  <c r="E37" i="24"/>
  <c r="E36" i="24"/>
  <c r="C41" i="24"/>
  <c r="C40" i="24"/>
  <c r="C39" i="24"/>
  <c r="C38" i="24"/>
  <c r="C37" i="24"/>
  <c r="C36" i="24"/>
  <c r="F35" i="24" l="1"/>
  <c r="F34" i="24"/>
  <c r="F33" i="24"/>
  <c r="F32" i="24"/>
  <c r="F31" i="24"/>
  <c r="G35" i="24"/>
  <c r="G34" i="24"/>
  <c r="G33" i="24"/>
  <c r="G32" i="24"/>
  <c r="G31" i="24"/>
  <c r="E35" i="24"/>
  <c r="E34" i="24"/>
  <c r="E33" i="24"/>
  <c r="E32" i="24"/>
  <c r="E31" i="24"/>
  <c r="C35" i="24"/>
  <c r="C34" i="24"/>
  <c r="C33" i="24"/>
  <c r="C32" i="24"/>
  <c r="C31" i="24"/>
  <c r="G30" i="24" l="1"/>
  <c r="G29" i="24"/>
  <c r="G28" i="24"/>
  <c r="G27" i="24"/>
  <c r="G26" i="24"/>
  <c r="F30" i="24"/>
  <c r="F29" i="24"/>
  <c r="F28" i="24"/>
  <c r="F27" i="24"/>
  <c r="F26" i="24"/>
  <c r="E30" i="24"/>
  <c r="E29" i="24"/>
  <c r="E28" i="24"/>
  <c r="E27" i="24"/>
  <c r="E26" i="24"/>
  <c r="C30" i="24"/>
  <c r="C29" i="24"/>
  <c r="C28" i="24"/>
  <c r="C27" i="24"/>
  <c r="C26" i="24"/>
  <c r="G63" i="24" l="1"/>
  <c r="AM6" i="22" s="1"/>
  <c r="E63" i="24"/>
  <c r="AM4" i="22" s="1"/>
  <c r="C63" i="24"/>
  <c r="AM2" i="22" s="1"/>
  <c r="F63" i="24"/>
  <c r="AM5" i="22" s="1"/>
  <c r="O80" i="23"/>
  <c r="O81" i="23"/>
  <c r="O79" i="23"/>
  <c r="N60" i="23"/>
  <c r="N63" i="23"/>
  <c r="N62" i="23"/>
  <c r="N61" i="23"/>
  <c r="G25" i="24" l="1"/>
  <c r="G24" i="24"/>
  <c r="G23" i="24"/>
  <c r="G22" i="24"/>
  <c r="G21" i="24"/>
  <c r="G20" i="24"/>
  <c r="F25" i="24"/>
  <c r="F24" i="24"/>
  <c r="F23" i="24"/>
  <c r="F22" i="24"/>
  <c r="F21" i="24"/>
  <c r="F20" i="24"/>
  <c r="E25" i="24"/>
  <c r="E24" i="24"/>
  <c r="E23" i="24"/>
  <c r="E22" i="24"/>
  <c r="E21" i="24"/>
  <c r="E20" i="24"/>
  <c r="C25" i="24"/>
  <c r="C24" i="24"/>
  <c r="C23" i="24"/>
  <c r="C22" i="24"/>
  <c r="C21" i="24"/>
  <c r="C20" i="24"/>
  <c r="G19" i="24" l="1"/>
  <c r="G18" i="24"/>
  <c r="G17" i="24"/>
  <c r="G16" i="24"/>
  <c r="G15" i="24"/>
  <c r="G14" i="24"/>
  <c r="E19" i="24"/>
  <c r="E18" i="24"/>
  <c r="E17" i="24"/>
  <c r="E16" i="24"/>
  <c r="E15" i="24"/>
  <c r="E14" i="24"/>
  <c r="C19" i="24"/>
  <c r="C18" i="24"/>
  <c r="C17" i="24"/>
  <c r="C16" i="24"/>
  <c r="C15" i="24"/>
  <c r="C14" i="24"/>
  <c r="F19" i="24"/>
  <c r="F18" i="24"/>
  <c r="F17" i="24"/>
  <c r="F16" i="24"/>
  <c r="F15" i="24"/>
  <c r="F14" i="24"/>
  <c r="G13" i="24" l="1"/>
  <c r="G12" i="24"/>
  <c r="G11" i="24"/>
  <c r="G10" i="24"/>
  <c r="G9" i="24"/>
  <c r="F13" i="24"/>
  <c r="F12" i="24"/>
  <c r="F11" i="24"/>
  <c r="F10" i="24"/>
  <c r="F9" i="24"/>
  <c r="E12" i="24" l="1"/>
  <c r="C9" i="24"/>
  <c r="E9" i="24"/>
  <c r="E11" i="24"/>
  <c r="E13" i="24"/>
  <c r="C10" i="24"/>
  <c r="C11" i="24"/>
  <c r="C13" i="24"/>
  <c r="C12" i="24"/>
  <c r="E10" i="24"/>
  <c r="G8" i="24" l="1"/>
  <c r="G7" i="24"/>
  <c r="G6" i="24"/>
  <c r="G5" i="24"/>
  <c r="G4" i="24"/>
  <c r="G3" i="24"/>
  <c r="F8" i="24"/>
  <c r="F7" i="24"/>
  <c r="F6" i="24"/>
  <c r="F5" i="24"/>
  <c r="F4" i="24"/>
  <c r="F3" i="24"/>
  <c r="E8" i="24"/>
  <c r="E7" i="24"/>
  <c r="E6" i="24"/>
  <c r="E5" i="24"/>
  <c r="E4" i="24"/>
  <c r="E3" i="24"/>
  <c r="C7" i="24"/>
  <c r="C6" i="24"/>
  <c r="C5" i="24"/>
  <c r="C4" i="24"/>
  <c r="C3" i="24"/>
  <c r="O69" i="23"/>
  <c r="O68" i="23"/>
  <c r="O67" i="23"/>
  <c r="M69" i="23"/>
  <c r="M68" i="23"/>
  <c r="M67" i="23"/>
  <c r="L69" i="23"/>
  <c r="Q69" i="23" s="1"/>
  <c r="N81" i="23" s="1"/>
  <c r="L68" i="23"/>
  <c r="L67" i="23"/>
  <c r="Q67" i="23" s="1"/>
  <c r="N79" i="23" s="1"/>
  <c r="M63" i="23"/>
  <c r="M62" i="23"/>
  <c r="M61" i="23"/>
  <c r="M60" i="23"/>
  <c r="J69" i="23"/>
  <c r="J68" i="23"/>
  <c r="J67" i="23"/>
  <c r="H63" i="23"/>
  <c r="H62" i="23"/>
  <c r="H61" i="23"/>
  <c r="H60" i="23"/>
  <c r="G69" i="23"/>
  <c r="G68" i="23"/>
  <c r="G67" i="23"/>
  <c r="G63" i="23"/>
  <c r="G62" i="23"/>
  <c r="G61" i="23"/>
  <c r="G60" i="23"/>
  <c r="F69" i="23"/>
  <c r="F68" i="23"/>
  <c r="F67" i="23"/>
  <c r="F63" i="23"/>
  <c r="F62" i="23"/>
  <c r="F61" i="23"/>
  <c r="F60" i="23"/>
  <c r="E69" i="23"/>
  <c r="E68" i="23"/>
  <c r="E67" i="23"/>
  <c r="E63" i="23"/>
  <c r="E62" i="23"/>
  <c r="E61" i="23"/>
  <c r="I61" i="23" s="1"/>
  <c r="E60" i="23"/>
  <c r="K60" i="23" s="1"/>
  <c r="P60" i="23" s="1"/>
  <c r="D69" i="23"/>
  <c r="D68" i="23"/>
  <c r="D67" i="23"/>
  <c r="C69" i="23"/>
  <c r="C68" i="23"/>
  <c r="C67" i="23"/>
  <c r="Q68" i="23" l="1"/>
  <c r="N80" i="23" s="1"/>
  <c r="K61" i="23"/>
  <c r="P61" i="23" s="1"/>
  <c r="R61" i="23" s="1"/>
  <c r="S61" i="23" s="1"/>
  <c r="P74" i="23" s="1"/>
  <c r="I69" i="23"/>
  <c r="K67" i="23"/>
  <c r="K62" i="23"/>
  <c r="P62" i="23" s="1"/>
  <c r="N75" i="23" s="1"/>
  <c r="N73" i="23"/>
  <c r="K69" i="23"/>
  <c r="I67" i="23"/>
  <c r="I68" i="23"/>
  <c r="H68" i="23"/>
  <c r="N68" i="23" s="1"/>
  <c r="M80" i="23" s="1"/>
  <c r="I60" i="23"/>
  <c r="R60" i="23" s="1"/>
  <c r="S60" i="23" s="1"/>
  <c r="P73" i="23" s="1"/>
  <c r="H69" i="23"/>
  <c r="N69" i="23" s="1"/>
  <c r="M81" i="23" s="1"/>
  <c r="I62" i="23"/>
  <c r="I63" i="23"/>
  <c r="K63" i="23"/>
  <c r="P63" i="23" s="1"/>
  <c r="K68" i="23"/>
  <c r="H67" i="23"/>
  <c r="N67" i="23" s="1"/>
  <c r="M79" i="23" s="1"/>
  <c r="D63" i="23"/>
  <c r="L63" i="23" s="1"/>
  <c r="O63" i="23" s="1"/>
  <c r="O76" i="23" s="1"/>
  <c r="D61" i="23"/>
  <c r="L61" i="23" s="1"/>
  <c r="O61" i="23" s="1"/>
  <c r="O74" i="23" s="1"/>
  <c r="D62" i="23"/>
  <c r="L62" i="23" s="1"/>
  <c r="O62" i="23" s="1"/>
  <c r="O75" i="23" s="1"/>
  <c r="D60" i="23"/>
  <c r="L60" i="23" s="1"/>
  <c r="O60" i="23" s="1"/>
  <c r="O73" i="23" s="1"/>
  <c r="C63" i="23"/>
  <c r="C62" i="23"/>
  <c r="C61" i="23"/>
  <c r="C60" i="23"/>
  <c r="R62" i="23" l="1"/>
  <c r="S62" i="23" s="1"/>
  <c r="P75" i="23" s="1"/>
  <c r="N74" i="23"/>
  <c r="J60" i="23"/>
  <c r="Q60" i="23" s="1"/>
  <c r="M73" i="23" s="1"/>
  <c r="J62" i="23"/>
  <c r="Q62" i="23" s="1"/>
  <c r="M75" i="23" s="1"/>
  <c r="R63" i="23"/>
  <c r="S63" i="23" s="1"/>
  <c r="P76" i="23" s="1"/>
  <c r="N76" i="23"/>
  <c r="J61" i="23"/>
  <c r="Q61" i="23" s="1"/>
  <c r="M74" i="23" s="1"/>
  <c r="P67" i="23"/>
  <c r="R67" i="23"/>
  <c r="J63" i="23"/>
  <c r="Q63" i="23" s="1"/>
  <c r="M76" i="23" s="1"/>
  <c r="P68" i="23"/>
  <c r="R68" i="23"/>
  <c r="P69" i="23"/>
  <c r="R69" i="23"/>
  <c r="I52" i="23"/>
  <c r="J57" i="23"/>
  <c r="J56" i="23"/>
  <c r="J55" i="23"/>
  <c r="J54" i="23"/>
  <c r="J53" i="23"/>
  <c r="J52" i="23"/>
  <c r="I53" i="23"/>
  <c r="I54" i="23"/>
  <c r="I55" i="23"/>
  <c r="I56" i="23"/>
  <c r="I57" i="23"/>
  <c r="H57" i="23"/>
  <c r="H56" i="23"/>
  <c r="H55" i="23"/>
  <c r="H54" i="23"/>
  <c r="H53" i="23"/>
  <c r="H52" i="23"/>
  <c r="G56" i="23"/>
  <c r="G55" i="23"/>
  <c r="G54" i="23"/>
  <c r="G53" i="23"/>
  <c r="G52" i="23"/>
  <c r="E57" i="23"/>
  <c r="E56" i="23"/>
  <c r="E55" i="23"/>
  <c r="E54" i="23"/>
  <c r="E53" i="23"/>
  <c r="E52" i="23"/>
  <c r="D57" i="23"/>
  <c r="D56" i="23"/>
  <c r="D55" i="23"/>
  <c r="D54" i="23"/>
  <c r="K54" i="23" s="1"/>
  <c r="D53" i="23"/>
  <c r="D52" i="23"/>
  <c r="C57" i="23"/>
  <c r="C56" i="23"/>
  <c r="C55" i="23"/>
  <c r="C54" i="23"/>
  <c r="C53" i="23"/>
  <c r="C52" i="23"/>
  <c r="K56" i="23" l="1"/>
  <c r="K57" i="23"/>
  <c r="K55" i="23"/>
  <c r="K53" i="23"/>
  <c r="F55" i="23"/>
  <c r="F52" i="23"/>
  <c r="L55" i="23"/>
  <c r="AB55" i="23" s="1"/>
  <c r="K52" i="23"/>
  <c r="F53" i="23"/>
  <c r="F57" i="23"/>
  <c r="L57" i="23" s="1"/>
  <c r="F56" i="23"/>
  <c r="L56" i="23" s="1"/>
  <c r="F54" i="23"/>
  <c r="L54" i="23" s="1"/>
  <c r="AA55" i="23" l="1"/>
  <c r="L53" i="23"/>
  <c r="AB53" i="23" s="1"/>
  <c r="Z55" i="23"/>
  <c r="M55" i="23"/>
  <c r="Y55" i="23" s="1"/>
  <c r="L52" i="23"/>
  <c r="AB52" i="23" s="1"/>
  <c r="Z53" i="23"/>
  <c r="M53" i="23"/>
  <c r="Y53" i="23" s="1"/>
  <c r="AA53" i="23"/>
  <c r="Z56" i="23"/>
  <c r="AA56" i="23"/>
  <c r="AB56" i="23"/>
  <c r="M56" i="23"/>
  <c r="Y56" i="23" s="1"/>
  <c r="M54" i="23"/>
  <c r="Y54" i="23" s="1"/>
  <c r="Z54" i="23"/>
  <c r="AA54" i="23"/>
  <c r="AB54" i="23"/>
  <c r="Z57" i="23"/>
  <c r="M57" i="23"/>
  <c r="Y57" i="23" s="1"/>
  <c r="AA57" i="23"/>
  <c r="AB57" i="23"/>
  <c r="AA52" i="23"/>
  <c r="Z52" i="23"/>
  <c r="M52" i="23"/>
  <c r="Y52" i="23" s="1"/>
  <c r="H51" i="23"/>
  <c r="H50" i="23"/>
  <c r="H49" i="23"/>
  <c r="H48" i="23"/>
  <c r="H47" i="23"/>
  <c r="H46" i="23"/>
  <c r="G51" i="23"/>
  <c r="G50" i="23"/>
  <c r="G49" i="23"/>
  <c r="G48" i="23"/>
  <c r="G47" i="23"/>
  <c r="G46" i="23"/>
  <c r="F50" i="23"/>
  <c r="F49" i="23"/>
  <c r="F48" i="23"/>
  <c r="F47" i="23"/>
  <c r="F46" i="23"/>
  <c r="E51" i="23"/>
  <c r="E50" i="23"/>
  <c r="E49" i="23"/>
  <c r="E48" i="23"/>
  <c r="E47" i="23"/>
  <c r="E46" i="23"/>
  <c r="D51" i="23"/>
  <c r="D50" i="23"/>
  <c r="D49" i="23"/>
  <c r="D48" i="23"/>
  <c r="D47" i="23"/>
  <c r="D46" i="23"/>
  <c r="C50" i="23"/>
  <c r="C49" i="23"/>
  <c r="C48" i="23"/>
  <c r="C47" i="23"/>
  <c r="C46" i="23"/>
  <c r="Z58" i="23" l="1"/>
  <c r="I50" i="23"/>
  <c r="J50" i="23" s="1"/>
  <c r="Y50" i="23" s="1"/>
  <c r="AB58" i="23"/>
  <c r="Y58" i="23"/>
  <c r="I47" i="23"/>
  <c r="Z47" i="23" s="1"/>
  <c r="AA58" i="23"/>
  <c r="Z50" i="23"/>
  <c r="AB50" i="23"/>
  <c r="I46" i="23"/>
  <c r="J46" i="23" s="1"/>
  <c r="Y46" i="23" s="1"/>
  <c r="I48" i="23"/>
  <c r="AB48" i="23" s="1"/>
  <c r="I49" i="23"/>
  <c r="AA49" i="23" s="1"/>
  <c r="AB46" i="23"/>
  <c r="Z46" i="23"/>
  <c r="Z48" i="23"/>
  <c r="AA48" i="23"/>
  <c r="AA50" i="23"/>
  <c r="C51" i="23"/>
  <c r="Z49" i="23" l="1"/>
  <c r="J47" i="23"/>
  <c r="Y47" i="23" s="1"/>
  <c r="AB47" i="23"/>
  <c r="AA47" i="23"/>
  <c r="J48" i="23"/>
  <c r="Y48" i="23" s="1"/>
  <c r="J49" i="23"/>
  <c r="Y49" i="23" s="1"/>
  <c r="AB49" i="23"/>
  <c r="AA46" i="23"/>
  <c r="F51" i="23"/>
  <c r="I51" i="23" s="1"/>
  <c r="Z51" i="23" l="1"/>
  <c r="AB51" i="23"/>
  <c r="J51" i="23"/>
  <c r="Y51" i="23" s="1"/>
  <c r="AA51" i="23"/>
  <c r="I40" i="23"/>
  <c r="I41" i="23"/>
  <c r="J45" i="23"/>
  <c r="J44" i="23"/>
  <c r="J43" i="23"/>
  <c r="J42" i="23"/>
  <c r="J41" i="23"/>
  <c r="J40" i="23"/>
  <c r="I42" i="23"/>
  <c r="I43" i="23"/>
  <c r="I44" i="23"/>
  <c r="I45" i="23"/>
  <c r="H45" i="23"/>
  <c r="H44" i="23"/>
  <c r="H43" i="23"/>
  <c r="H42" i="23"/>
  <c r="H41" i="23"/>
  <c r="H40" i="23"/>
  <c r="G45" i="23"/>
  <c r="G44" i="23"/>
  <c r="G43" i="23"/>
  <c r="G42" i="23"/>
  <c r="G41" i="23"/>
  <c r="G40" i="23"/>
  <c r="E45" i="23"/>
  <c r="E44" i="23"/>
  <c r="E43" i="23"/>
  <c r="E42" i="23"/>
  <c r="E41" i="23"/>
  <c r="E40" i="23"/>
  <c r="C45" i="23"/>
  <c r="D45" i="23" s="1"/>
  <c r="C44" i="23"/>
  <c r="C43" i="23"/>
  <c r="C42" i="23"/>
  <c r="D42" i="23" s="1"/>
  <c r="C41" i="23"/>
  <c r="C40" i="23"/>
  <c r="D40" i="23" s="1"/>
  <c r="D41" i="23" l="1"/>
  <c r="K44" i="23"/>
  <c r="K43" i="23"/>
  <c r="K41" i="23"/>
  <c r="D43" i="23"/>
  <c r="K42" i="23"/>
  <c r="L42" i="23" s="1"/>
  <c r="K40" i="23"/>
  <c r="D44" i="23"/>
  <c r="K45" i="23"/>
  <c r="F45" i="23"/>
  <c r="F44" i="23"/>
  <c r="F43" i="23"/>
  <c r="F42" i="23"/>
  <c r="F41" i="23"/>
  <c r="F40" i="23"/>
  <c r="L41" i="23" l="1"/>
  <c r="L43" i="23"/>
  <c r="AB43" i="23" s="1"/>
  <c r="L44" i="23"/>
  <c r="AB44" i="23" s="1"/>
  <c r="L40" i="23"/>
  <c r="Z40" i="23" s="1"/>
  <c r="L45" i="23"/>
  <c r="AA45" i="23" s="1"/>
  <c r="Z41" i="23"/>
  <c r="AA41" i="23"/>
  <c r="AB41" i="23"/>
  <c r="M41" i="23"/>
  <c r="Y41" i="23" s="1"/>
  <c r="Z42" i="23"/>
  <c r="AA42" i="23"/>
  <c r="M42" i="23"/>
  <c r="Y42" i="23" s="1"/>
  <c r="AB42" i="23"/>
  <c r="Z43" i="23"/>
  <c r="M43" i="23"/>
  <c r="Y43" i="23" s="1"/>
  <c r="AA43" i="23"/>
  <c r="J39" i="23"/>
  <c r="J38" i="23"/>
  <c r="J37" i="23"/>
  <c r="J36" i="23"/>
  <c r="J35" i="23"/>
  <c r="I36" i="23"/>
  <c r="I37" i="23"/>
  <c r="I38" i="23"/>
  <c r="I39" i="23"/>
  <c r="I35" i="23"/>
  <c r="H39" i="23"/>
  <c r="H38" i="23"/>
  <c r="H37" i="23"/>
  <c r="H36" i="23"/>
  <c r="H35" i="23"/>
  <c r="G39" i="23"/>
  <c r="G38" i="23"/>
  <c r="G37" i="23"/>
  <c r="G36" i="23"/>
  <c r="G35" i="23"/>
  <c r="E39" i="23"/>
  <c r="E38" i="23"/>
  <c r="E37" i="23"/>
  <c r="E36" i="23"/>
  <c r="E35" i="23"/>
  <c r="D37" i="23"/>
  <c r="C39" i="23"/>
  <c r="K39" i="23" s="1"/>
  <c r="C38" i="23"/>
  <c r="D38" i="23" s="1"/>
  <c r="C37" i="23"/>
  <c r="C36" i="23"/>
  <c r="C35" i="23"/>
  <c r="D35" i="23" s="1"/>
  <c r="K37" i="23" l="1"/>
  <c r="AA44" i="23"/>
  <c r="D39" i="23"/>
  <c r="K36" i="23"/>
  <c r="Z44" i="23"/>
  <c r="AA40" i="23"/>
  <c r="M40" i="23"/>
  <c r="Y40" i="23" s="1"/>
  <c r="AB45" i="23"/>
  <c r="AB40" i="23"/>
  <c r="Z45" i="23"/>
  <c r="M45" i="23"/>
  <c r="Y45" i="23" s="1"/>
  <c r="M44" i="23"/>
  <c r="Y44" i="23" s="1"/>
  <c r="K35" i="23"/>
  <c r="K38" i="23"/>
  <c r="D36" i="23"/>
  <c r="F39" i="23"/>
  <c r="L39" i="23" s="1"/>
  <c r="F38" i="23"/>
  <c r="F37" i="23"/>
  <c r="L37" i="23" s="1"/>
  <c r="F36" i="23"/>
  <c r="F35" i="23"/>
  <c r="L36" i="23" l="1"/>
  <c r="AB36" i="23" s="1"/>
  <c r="M36" i="23"/>
  <c r="Y36" i="23" s="1"/>
  <c r="AA36" i="23"/>
  <c r="L35" i="23"/>
  <c r="AA35" i="23" s="1"/>
  <c r="AA37" i="23"/>
  <c r="Z37" i="23"/>
  <c r="AB37" i="23"/>
  <c r="M37" i="23"/>
  <c r="Y37" i="23" s="1"/>
  <c r="AB39" i="23"/>
  <c r="M39" i="23"/>
  <c r="Y39" i="23" s="1"/>
  <c r="AA39" i="23"/>
  <c r="Z39" i="23"/>
  <c r="AB35" i="23"/>
  <c r="Z36" i="23"/>
  <c r="L38" i="23"/>
  <c r="M38" i="23" s="1"/>
  <c r="Y38" i="23" s="1"/>
  <c r="I34" i="23"/>
  <c r="I33" i="23"/>
  <c r="I32" i="23"/>
  <c r="I31" i="23"/>
  <c r="I30" i="23"/>
  <c r="I29" i="23"/>
  <c r="G29" i="23"/>
  <c r="G30" i="23"/>
  <c r="G31" i="23"/>
  <c r="G32" i="23"/>
  <c r="G33" i="23"/>
  <c r="G34" i="23"/>
  <c r="H34" i="23"/>
  <c r="H33" i="23"/>
  <c r="H32" i="23"/>
  <c r="H31" i="23"/>
  <c r="H30" i="23"/>
  <c r="H29" i="23"/>
  <c r="F34" i="23"/>
  <c r="F33" i="23"/>
  <c r="F32" i="23"/>
  <c r="F31" i="23"/>
  <c r="F30" i="23"/>
  <c r="F29" i="23"/>
  <c r="E34" i="23"/>
  <c r="E33" i="23"/>
  <c r="E32" i="23"/>
  <c r="E31" i="23"/>
  <c r="E30" i="23"/>
  <c r="E29" i="23"/>
  <c r="C34" i="23"/>
  <c r="D34" i="23" s="1"/>
  <c r="C33" i="23"/>
  <c r="D33" i="23" s="1"/>
  <c r="C32" i="23"/>
  <c r="D32" i="23" s="1"/>
  <c r="C31" i="23"/>
  <c r="D31" i="23" s="1"/>
  <c r="C30" i="23"/>
  <c r="D30" i="23" s="1"/>
  <c r="C29" i="23"/>
  <c r="D29" i="23" s="1"/>
  <c r="Z38" i="23" l="1"/>
  <c r="Z35" i="23"/>
  <c r="M35" i="23"/>
  <c r="Y35" i="23" s="1"/>
  <c r="J29" i="23"/>
  <c r="K29" i="23" s="1"/>
  <c r="Y29" i="23" s="1"/>
  <c r="AA38" i="23"/>
  <c r="AB38" i="23"/>
  <c r="AB29" i="23"/>
  <c r="Z29" i="23"/>
  <c r="J31" i="23"/>
  <c r="J30" i="23"/>
  <c r="J32" i="23"/>
  <c r="J33" i="23"/>
  <c r="J34" i="23"/>
  <c r="J28" i="23"/>
  <c r="J27" i="23"/>
  <c r="J26" i="23"/>
  <c r="J25" i="23"/>
  <c r="J24" i="23"/>
  <c r="I25" i="23"/>
  <c r="I26" i="23"/>
  <c r="I27" i="23"/>
  <c r="I28" i="23"/>
  <c r="I24" i="23"/>
  <c r="H28" i="23"/>
  <c r="H27" i="23"/>
  <c r="H26" i="23"/>
  <c r="H25" i="23"/>
  <c r="H24" i="23"/>
  <c r="G28" i="23"/>
  <c r="G27" i="23"/>
  <c r="G26" i="23"/>
  <c r="E28" i="23"/>
  <c r="E27" i="23"/>
  <c r="E26" i="23"/>
  <c r="E25" i="23"/>
  <c r="F25" i="23" s="1"/>
  <c r="E24" i="23"/>
  <c r="C28" i="23"/>
  <c r="D28" i="23" s="1"/>
  <c r="C27" i="23"/>
  <c r="D27" i="23" s="1"/>
  <c r="C26" i="23"/>
  <c r="D26" i="23" s="1"/>
  <c r="C24" i="23"/>
  <c r="F24" i="23" l="1"/>
  <c r="F26" i="23"/>
  <c r="AA29" i="23"/>
  <c r="K28" i="23"/>
  <c r="K26" i="23"/>
  <c r="L26" i="23" s="1"/>
  <c r="M26" i="23" s="1"/>
  <c r="Y26" i="23" s="1"/>
  <c r="K27" i="23"/>
  <c r="F28" i="23"/>
  <c r="L28" i="23" s="1"/>
  <c r="F27" i="23"/>
  <c r="L27" i="23" s="1"/>
  <c r="K24" i="23"/>
  <c r="L24" i="23" s="1"/>
  <c r="D24" i="23"/>
  <c r="AA31" i="23"/>
  <c r="Z31" i="23"/>
  <c r="AB31" i="23"/>
  <c r="K31" i="23"/>
  <c r="Y31" i="23" s="1"/>
  <c r="Z32" i="23"/>
  <c r="K32" i="23"/>
  <c r="Y32" i="23" s="1"/>
  <c r="AA32" i="23"/>
  <c r="AB32" i="23"/>
  <c r="AA34" i="23"/>
  <c r="Z34" i="23"/>
  <c r="K34" i="23"/>
  <c r="Y34" i="23" s="1"/>
  <c r="AB34" i="23"/>
  <c r="Z33" i="23"/>
  <c r="AB33" i="23"/>
  <c r="K33" i="23"/>
  <c r="Y33" i="23" s="1"/>
  <c r="AA33" i="23"/>
  <c r="AA30" i="23"/>
  <c r="AB30" i="23"/>
  <c r="K30" i="23"/>
  <c r="Y30" i="23" s="1"/>
  <c r="Z30" i="23"/>
  <c r="C25" i="23"/>
  <c r="Z26" i="23" l="1"/>
  <c r="M28" i="23"/>
  <c r="Y28" i="23" s="1"/>
  <c r="AB28" i="23"/>
  <c r="Z28" i="23"/>
  <c r="AA28" i="23"/>
  <c r="AB26" i="23"/>
  <c r="AA26" i="23"/>
  <c r="AB27" i="23"/>
  <c r="Z27" i="23"/>
  <c r="M27" i="23"/>
  <c r="Y27" i="23" s="1"/>
  <c r="AA27" i="23"/>
  <c r="M24" i="23"/>
  <c r="Y24" i="23" s="1"/>
  <c r="AB24" i="23"/>
  <c r="Z24" i="23"/>
  <c r="AA24" i="23"/>
  <c r="K25" i="23"/>
  <c r="L25" i="23" s="1"/>
  <c r="D25" i="23"/>
  <c r="J23" i="23"/>
  <c r="J22" i="23"/>
  <c r="I20" i="23"/>
  <c r="I21" i="23"/>
  <c r="I22" i="23"/>
  <c r="I23" i="23"/>
  <c r="I19" i="23"/>
  <c r="H23" i="23"/>
  <c r="H22" i="23"/>
  <c r="H21" i="23"/>
  <c r="H20" i="23"/>
  <c r="H19" i="23"/>
  <c r="G23" i="23"/>
  <c r="G22" i="23"/>
  <c r="G21" i="23"/>
  <c r="G20" i="23"/>
  <c r="G19" i="23"/>
  <c r="E23" i="23"/>
  <c r="E22" i="23"/>
  <c r="E21" i="23"/>
  <c r="E20" i="23"/>
  <c r="E19" i="23"/>
  <c r="C23" i="23"/>
  <c r="D23" i="23" s="1"/>
  <c r="C22" i="23"/>
  <c r="D22" i="23" s="1"/>
  <c r="C21" i="23"/>
  <c r="D21" i="23" s="1"/>
  <c r="C20" i="23"/>
  <c r="D20" i="23" s="1"/>
  <c r="C19" i="23"/>
  <c r="D19" i="23" s="1"/>
  <c r="F22" i="23" l="1"/>
  <c r="F23" i="23"/>
  <c r="Z25" i="23"/>
  <c r="AA25" i="23"/>
  <c r="M25" i="23"/>
  <c r="K22" i="23"/>
  <c r="L22" i="23" s="1"/>
  <c r="K21" i="23"/>
  <c r="K20" i="23"/>
  <c r="K19" i="23"/>
  <c r="K23" i="23"/>
  <c r="F21" i="23"/>
  <c r="F20" i="23"/>
  <c r="F19" i="23"/>
  <c r="L19" i="23" l="1"/>
  <c r="L23" i="23"/>
  <c r="AA23" i="23" s="1"/>
  <c r="L20" i="23"/>
  <c r="AB20" i="23" s="1"/>
  <c r="L21" i="23"/>
  <c r="AB21" i="23" s="1"/>
  <c r="AA19" i="23"/>
  <c r="AB19" i="23"/>
  <c r="Z19" i="23"/>
  <c r="M19" i="23"/>
  <c r="Y19" i="23" s="1"/>
  <c r="AB22" i="23"/>
  <c r="Z22" i="23"/>
  <c r="M22" i="23"/>
  <c r="AA22" i="23"/>
  <c r="I15" i="23"/>
  <c r="I17" i="23"/>
  <c r="I14" i="23"/>
  <c r="I16" i="23"/>
  <c r="I18" i="23"/>
  <c r="I13" i="23"/>
  <c r="J18" i="23"/>
  <c r="J17" i="23"/>
  <c r="J16" i="23"/>
  <c r="J15" i="23"/>
  <c r="J14" i="23"/>
  <c r="J13" i="23"/>
  <c r="H18" i="23"/>
  <c r="H17" i="23"/>
  <c r="H16" i="23"/>
  <c r="H15" i="23"/>
  <c r="H14" i="23"/>
  <c r="H13" i="23"/>
  <c r="E18" i="23"/>
  <c r="E17" i="23"/>
  <c r="E16" i="23"/>
  <c r="E15" i="23"/>
  <c r="E14" i="23"/>
  <c r="E13" i="23"/>
  <c r="C18" i="23"/>
  <c r="D18" i="23" s="1"/>
  <c r="C17" i="23"/>
  <c r="D17" i="23" s="1"/>
  <c r="C16" i="23"/>
  <c r="D16" i="23" s="1"/>
  <c r="C15" i="23"/>
  <c r="D15" i="23" s="1"/>
  <c r="C14" i="23"/>
  <c r="D14" i="23" s="1"/>
  <c r="C13" i="23"/>
  <c r="D13" i="23" s="1"/>
  <c r="Z23" i="23" l="1"/>
  <c r="F17" i="23"/>
  <c r="M23" i="23"/>
  <c r="Y23" i="23" s="1"/>
  <c r="AB23" i="23"/>
  <c r="M20" i="23"/>
  <c r="Y20" i="23" s="1"/>
  <c r="F13" i="23"/>
  <c r="F18" i="23"/>
  <c r="F14" i="23"/>
  <c r="F16" i="23"/>
  <c r="AA21" i="23"/>
  <c r="F15" i="23"/>
  <c r="M21" i="23"/>
  <c r="Y21" i="23" s="1"/>
  <c r="K18" i="23"/>
  <c r="AA20" i="23"/>
  <c r="Z20" i="23"/>
  <c r="Z21" i="23"/>
  <c r="K13" i="23"/>
  <c r="K15" i="23"/>
  <c r="K16" i="23"/>
  <c r="K14" i="23"/>
  <c r="K17" i="23"/>
  <c r="L17" i="23" s="1"/>
  <c r="L13" i="23" l="1"/>
  <c r="L16" i="23"/>
  <c r="M16" i="23" s="1"/>
  <c r="Y16" i="23" s="1"/>
  <c r="L14" i="23"/>
  <c r="Z14" i="23" s="1"/>
  <c r="L15" i="23"/>
  <c r="M15" i="23" s="1"/>
  <c r="Y15" i="23" s="1"/>
  <c r="L18" i="23"/>
  <c r="AA18" i="23" s="1"/>
  <c r="M18" i="23"/>
  <c r="Y18" i="23" s="1"/>
  <c r="Z17" i="23"/>
  <c r="AB17" i="23"/>
  <c r="M17" i="23"/>
  <c r="Y17" i="23" s="1"/>
  <c r="AA17" i="23"/>
  <c r="AA14" i="23"/>
  <c r="AB14" i="23"/>
  <c r="M14" i="23"/>
  <c r="Y14" i="23" s="1"/>
  <c r="AA13" i="23"/>
  <c r="AB13" i="23"/>
  <c r="M13" i="23"/>
  <c r="Y13" i="23" s="1"/>
  <c r="Z13" i="23"/>
  <c r="Z16" i="23"/>
  <c r="I8" i="23"/>
  <c r="I12" i="23"/>
  <c r="I9" i="23"/>
  <c r="I10" i="23"/>
  <c r="J12" i="23"/>
  <c r="J11" i="23"/>
  <c r="J10" i="23"/>
  <c r="J9" i="23"/>
  <c r="J8" i="23"/>
  <c r="E12" i="23"/>
  <c r="F12" i="23" s="1"/>
  <c r="E11" i="23"/>
  <c r="F11" i="23" s="1"/>
  <c r="E10" i="23"/>
  <c r="F10" i="23" s="1"/>
  <c r="E9" i="23"/>
  <c r="F9" i="23" s="1"/>
  <c r="E8" i="23"/>
  <c r="F8" i="23" s="1"/>
  <c r="C12" i="23"/>
  <c r="C11" i="23"/>
  <c r="D11" i="23" s="1"/>
  <c r="C10" i="23"/>
  <c r="D10" i="23" s="1"/>
  <c r="C9" i="23"/>
  <c r="C8" i="23"/>
  <c r="D8" i="23" s="1"/>
  <c r="AB16" i="23" l="1"/>
  <c r="AA16" i="23"/>
  <c r="AA15" i="23"/>
  <c r="AB15" i="23"/>
  <c r="Z15" i="23"/>
  <c r="AB18" i="23"/>
  <c r="Z18" i="23"/>
  <c r="D12" i="23"/>
  <c r="D9" i="23"/>
  <c r="K8" i="23"/>
  <c r="L8" i="23" s="1"/>
  <c r="K9" i="23"/>
  <c r="L9" i="23" s="1"/>
  <c r="K10" i="23"/>
  <c r="L10" i="23" s="1"/>
  <c r="K12" i="23"/>
  <c r="L12" i="23" s="1"/>
  <c r="K11" i="23"/>
  <c r="L11" i="23" s="1"/>
  <c r="AA11" i="23" l="1"/>
  <c r="AB11" i="23"/>
  <c r="Z11" i="23"/>
  <c r="AB9" i="23"/>
  <c r="Z9" i="23"/>
  <c r="AA9" i="23"/>
  <c r="M9" i="23"/>
  <c r="Y9" i="23" s="1"/>
  <c r="AA12" i="23"/>
  <c r="Z12" i="23"/>
  <c r="AB12" i="23"/>
  <c r="AA8" i="23"/>
  <c r="Z8" i="23"/>
  <c r="AB8" i="23"/>
  <c r="M12" i="23"/>
  <c r="Y12" i="23" s="1"/>
  <c r="AA10" i="23"/>
  <c r="AB10" i="23"/>
  <c r="Z10" i="23"/>
  <c r="M10" i="23"/>
  <c r="Y10" i="23" s="1"/>
  <c r="M11" i="23"/>
  <c r="Y11" i="23" s="1"/>
  <c r="M8" i="23"/>
  <c r="Y8" i="23" s="1"/>
  <c r="I7" i="23" l="1"/>
  <c r="I2" i="23"/>
  <c r="I4" i="23"/>
  <c r="I6" i="23"/>
  <c r="C2" i="23"/>
  <c r="I3" i="23"/>
  <c r="I5" i="23"/>
  <c r="J7" i="23"/>
  <c r="J5" i="23"/>
  <c r="J4" i="23"/>
  <c r="J3" i="23"/>
  <c r="J2" i="23"/>
  <c r="E7" i="23"/>
  <c r="F7" i="23" s="1"/>
  <c r="E6" i="23"/>
  <c r="F6" i="23" s="1"/>
  <c r="E5" i="23"/>
  <c r="F5" i="23" s="1"/>
  <c r="E4" i="23"/>
  <c r="F4" i="23" s="1"/>
  <c r="E3" i="23"/>
  <c r="F3" i="23" s="1"/>
  <c r="E2" i="23"/>
  <c r="F2" i="23" s="1"/>
  <c r="D7" i="23"/>
  <c r="D6" i="23"/>
  <c r="D5" i="23"/>
  <c r="D4" i="23"/>
  <c r="D3" i="23"/>
  <c r="D2" i="23"/>
  <c r="C7" i="23"/>
  <c r="C6" i="23"/>
  <c r="C5" i="23"/>
  <c r="C4" i="23"/>
  <c r="C3" i="23"/>
  <c r="K7" i="23" l="1"/>
  <c r="L7" i="23" s="1"/>
  <c r="M7" i="23" s="1"/>
  <c r="Y7" i="23" s="1"/>
  <c r="K5" i="23"/>
  <c r="L5" i="23" s="1"/>
  <c r="M5" i="23" s="1"/>
  <c r="Y5" i="23" s="1"/>
  <c r="K3" i="23"/>
  <c r="L3" i="23" s="1"/>
  <c r="M3" i="23" s="1"/>
  <c r="Y3" i="23" s="1"/>
  <c r="K6" i="23"/>
  <c r="L6" i="23" s="1"/>
  <c r="K4" i="23"/>
  <c r="L4" i="23" s="1"/>
  <c r="K2" i="23"/>
  <c r="L2" i="23" s="1"/>
  <c r="J6" i="23"/>
  <c r="M6" i="23" s="1"/>
  <c r="Y6" i="23" s="1"/>
  <c r="AO6" i="22" l="1"/>
  <c r="AA4" i="23"/>
  <c r="AB4" i="23"/>
  <c r="Z4" i="23"/>
  <c r="M4" i="23"/>
  <c r="Y4" i="23" s="1"/>
  <c r="Z2" i="23"/>
  <c r="AA2" i="23"/>
  <c r="AB2" i="23"/>
  <c r="M2" i="23"/>
  <c r="Y2" i="23" s="1"/>
  <c r="Z6" i="23"/>
  <c r="AA6" i="23"/>
  <c r="AB6" i="23"/>
  <c r="Z7" i="23"/>
  <c r="AA7" i="23"/>
  <c r="AB7" i="23"/>
  <c r="AB3" i="23"/>
  <c r="AA3" i="23"/>
  <c r="Z3" i="23"/>
  <c r="AA5" i="23"/>
  <c r="Z5" i="23"/>
  <c r="AB5" i="23"/>
  <c r="O2" i="14"/>
  <c r="G42" i="22" l="1"/>
  <c r="G41" i="22"/>
  <c r="G40" i="22"/>
  <c r="G39" i="22"/>
  <c r="G38" i="22"/>
  <c r="G37" i="22"/>
  <c r="B45" i="22"/>
  <c r="C45" i="22"/>
  <c r="D45" i="22"/>
  <c r="E45" i="22"/>
  <c r="F45" i="22"/>
  <c r="BV8" i="19"/>
  <c r="BO3" i="19"/>
  <c r="BP3" i="19"/>
  <c r="BO4" i="19"/>
  <c r="BP4" i="19"/>
  <c r="BO5" i="19"/>
  <c r="BP5" i="19"/>
  <c r="BO6" i="19"/>
  <c r="BP6" i="19"/>
  <c r="BO7" i="19"/>
  <c r="BP7" i="19"/>
  <c r="BO8" i="19"/>
  <c r="BP8" i="19"/>
  <c r="BP2" i="19"/>
  <c r="BO2" i="19"/>
  <c r="BN3" i="19"/>
  <c r="BN4" i="19"/>
  <c r="BN7" i="19"/>
  <c r="BN2" i="19"/>
  <c r="E42" i="22"/>
  <c r="E41" i="22"/>
  <c r="E39" i="22"/>
  <c r="E38" i="22"/>
  <c r="E37" i="22"/>
  <c r="D41" i="22"/>
  <c r="D42" i="22"/>
  <c r="D38" i="22"/>
  <c r="D39" i="22"/>
  <c r="D37" i="22"/>
  <c r="C38" i="22"/>
  <c r="C37" i="22"/>
  <c r="B42" i="22"/>
  <c r="B41" i="22"/>
  <c r="B39" i="22"/>
  <c r="B38" i="22"/>
  <c r="B37" i="22"/>
  <c r="A38" i="22"/>
  <c r="A39" i="22"/>
  <c r="A40" i="22"/>
  <c r="BN5" i="19" s="1"/>
  <c r="A41" i="22"/>
  <c r="BN6" i="19" s="1"/>
  <c r="A42" i="22"/>
  <c r="A37" i="22"/>
  <c r="F34" i="22"/>
  <c r="E34" i="22"/>
  <c r="D34" i="22"/>
  <c r="C34" i="22"/>
  <c r="B34" i="22"/>
  <c r="G31" i="22"/>
  <c r="G30" i="22"/>
  <c r="G29" i="22"/>
  <c r="G28" i="22"/>
  <c r="G27" i="22"/>
  <c r="G26" i="22"/>
  <c r="E31" i="22"/>
  <c r="E30" i="22"/>
  <c r="E29" i="22"/>
  <c r="E28" i="22"/>
  <c r="E27" i="22"/>
  <c r="E26" i="22"/>
  <c r="D30" i="22"/>
  <c r="D31" i="22"/>
  <c r="D29" i="22"/>
  <c r="D27" i="22"/>
  <c r="D28" i="22"/>
  <c r="D26" i="22"/>
  <c r="C31" i="22"/>
  <c r="C42" i="22" s="1"/>
  <c r="C30" i="22"/>
  <c r="C41" i="22" s="1"/>
  <c r="C29" i="22"/>
  <c r="C40" i="22" s="1"/>
  <c r="C28" i="22"/>
  <c r="C39" i="22" s="1"/>
  <c r="C27" i="22"/>
  <c r="C26" i="22"/>
  <c r="B30" i="22"/>
  <c r="B31" i="22"/>
  <c r="B29" i="22"/>
  <c r="B27" i="22"/>
  <c r="B28" i="22"/>
  <c r="B26" i="22"/>
  <c r="BQ5" i="19" l="1"/>
  <c r="BR5" i="19" s="1"/>
  <c r="BS5" i="19" s="1"/>
  <c r="F40" i="22" s="1"/>
  <c r="BQ6" i="19"/>
  <c r="BR6" i="19" s="1"/>
  <c r="BS6" i="19" s="1"/>
  <c r="F41" i="22" s="1"/>
  <c r="F31" i="22" l="1"/>
  <c r="BQ7" i="19"/>
  <c r="BR7" i="19" s="1"/>
  <c r="BS7" i="19" s="1"/>
  <c r="F42" i="22" s="1"/>
  <c r="H34" i="22"/>
  <c r="BQ8" i="19"/>
  <c r="BR8" i="19" s="1"/>
  <c r="BS8" i="19" s="1"/>
  <c r="F28" i="22"/>
  <c r="BQ4" i="19"/>
  <c r="BR4" i="19" s="1"/>
  <c r="BS4" i="19" s="1"/>
  <c r="F39" i="22" s="1"/>
  <c r="BT8" i="19"/>
  <c r="F30" i="22"/>
  <c r="F29" i="22"/>
  <c r="H45" i="22" l="1"/>
  <c r="E40" i="22"/>
  <c r="BU8" i="19"/>
  <c r="BW8" i="19" s="1"/>
  <c r="G45" i="22" s="1"/>
  <c r="K44" i="22" s="1" a="1"/>
  <c r="K44" i="22" l="1"/>
  <c r="S45" i="22"/>
  <c r="W45" i="22" s="1"/>
  <c r="V45" i="22" l="1"/>
  <c r="U45" i="22"/>
  <c r="X45" i="22"/>
  <c r="T45" i="22"/>
  <c r="Y45" i="22"/>
  <c r="Z45" i="22"/>
  <c r="D40" i="22"/>
  <c r="G34" i="22"/>
  <c r="K33" i="22" s="1" a="1"/>
  <c r="AA45" i="22" l="1"/>
  <c r="K33" i="22"/>
  <c r="S34" i="22"/>
  <c r="W34" i="22" s="1"/>
  <c r="B40" i="22"/>
  <c r="X34" i="22" l="1"/>
  <c r="V34" i="22"/>
  <c r="Y34" i="22"/>
  <c r="U34" i="22"/>
  <c r="Z34" i="22"/>
  <c r="T34" i="22"/>
  <c r="AA34" i="22" l="1"/>
  <c r="I34" i="22" s="1"/>
  <c r="BQ2" i="19"/>
  <c r="BR2" i="19" s="1"/>
  <c r="BS2" i="19" s="1"/>
  <c r="F37" i="22" s="1"/>
  <c r="F27" i="22" l="1"/>
  <c r="BQ3" i="19"/>
  <c r="BR3" i="19" s="1"/>
  <c r="BS3" i="19" s="1"/>
  <c r="F38" i="22" s="1"/>
  <c r="K36" i="22" s="1" a="1"/>
  <c r="F26" i="22"/>
  <c r="K25" i="22" s="1" a="1"/>
  <c r="K36" i="22" l="1"/>
  <c r="S39" i="22"/>
  <c r="U40" i="22"/>
  <c r="W41" i="22"/>
  <c r="V37" i="22"/>
  <c r="R38" i="22"/>
  <c r="T39" i="22"/>
  <c r="V40" i="22"/>
  <c r="R42" i="22"/>
  <c r="U37" i="22"/>
  <c r="S41" i="22"/>
  <c r="U42" i="22"/>
  <c r="S38" i="22"/>
  <c r="U39" i="22"/>
  <c r="W40" i="22"/>
  <c r="S42" i="22"/>
  <c r="T37" i="22"/>
  <c r="W39" i="22"/>
  <c r="T38" i="22"/>
  <c r="V39" i="22"/>
  <c r="R41" i="22"/>
  <c r="T42" i="22"/>
  <c r="S37" i="22"/>
  <c r="U38" i="22"/>
  <c r="R37" i="22"/>
  <c r="V38" i="22"/>
  <c r="R40" i="22"/>
  <c r="T41" i="22"/>
  <c r="V42" i="22"/>
  <c r="R39" i="22"/>
  <c r="W37" i="22"/>
  <c r="W38" i="22"/>
  <c r="S40" i="22"/>
  <c r="U41" i="22"/>
  <c r="W42" i="22"/>
  <c r="T40" i="22"/>
  <c r="V41" i="22"/>
  <c r="S28" i="22"/>
  <c r="U29" i="22"/>
  <c r="W30" i="22"/>
  <c r="V26" i="22"/>
  <c r="R27" i="22"/>
  <c r="T28" i="22"/>
  <c r="V29" i="22"/>
  <c r="R31" i="22"/>
  <c r="U26" i="22"/>
  <c r="V30" i="22"/>
  <c r="S27" i="22"/>
  <c r="U28" i="22"/>
  <c r="W29" i="22"/>
  <c r="S31" i="22"/>
  <c r="T26" i="22"/>
  <c r="T29" i="22"/>
  <c r="T27" i="22"/>
  <c r="V28" i="22"/>
  <c r="R30" i="22"/>
  <c r="T31" i="22"/>
  <c r="S26" i="22"/>
  <c r="W26" i="22"/>
  <c r="U27" i="22"/>
  <c r="W28" i="22"/>
  <c r="S30" i="22"/>
  <c r="U31" i="22"/>
  <c r="R26" i="22"/>
  <c r="V27" i="22"/>
  <c r="R29" i="22"/>
  <c r="T30" i="22"/>
  <c r="V31" i="22"/>
  <c r="W27" i="22"/>
  <c r="S29" i="22"/>
  <c r="U30" i="22"/>
  <c r="W31" i="22"/>
  <c r="R28" i="22"/>
  <c r="K25" i="22"/>
  <c r="X39" i="22" l="1"/>
  <c r="AA39" i="22" s="1"/>
  <c r="X38" i="22"/>
  <c r="AD38" i="22" s="1"/>
  <c r="X40" i="22"/>
  <c r="Z40" i="22" s="1"/>
  <c r="X41" i="22"/>
  <c r="Y41" i="22" s="1"/>
  <c r="X37" i="22"/>
  <c r="Z37" i="22" s="1"/>
  <c r="X42" i="22"/>
  <c r="Z42" i="22" s="1"/>
  <c r="X27" i="22"/>
  <c r="Z27" i="22" s="1"/>
  <c r="X30" i="22"/>
  <c r="AB30" i="22" s="1"/>
  <c r="X31" i="22"/>
  <c r="Y31" i="22" s="1"/>
  <c r="X28" i="22"/>
  <c r="AD28" i="22" s="1"/>
  <c r="X29" i="22"/>
  <c r="AC29" i="22" s="1"/>
  <c r="X26" i="22"/>
  <c r="Y26" i="22" s="1"/>
  <c r="AB40" i="22" l="1"/>
  <c r="AA40" i="22"/>
  <c r="Z39" i="22"/>
  <c r="AD39" i="22"/>
  <c r="AA37" i="22"/>
  <c r="AC39" i="22"/>
  <c r="Y37" i="22"/>
  <c r="AB39" i="22"/>
  <c r="Z30" i="22"/>
  <c r="AD37" i="22"/>
  <c r="AB37" i="22"/>
  <c r="AA41" i="22"/>
  <c r="Z41" i="22"/>
  <c r="AA42" i="22"/>
  <c r="Y40" i="22"/>
  <c r="AC40" i="22"/>
  <c r="AA38" i="22"/>
  <c r="Y39" i="22"/>
  <c r="AC38" i="22"/>
  <c r="AC42" i="22"/>
  <c r="AD42" i="22"/>
  <c r="AD41" i="22"/>
  <c r="AC37" i="22"/>
  <c r="AD40" i="22"/>
  <c r="AC41" i="22"/>
  <c r="AB41" i="22"/>
  <c r="Y42" i="22"/>
  <c r="Z38" i="22"/>
  <c r="AB42" i="22"/>
  <c r="Y38" i="22"/>
  <c r="AB38" i="22"/>
  <c r="Y28" i="22"/>
  <c r="AB29" i="22"/>
  <c r="AC28" i="22"/>
  <c r="Z29" i="22"/>
  <c r="AD31" i="22"/>
  <c r="AD29" i="22"/>
  <c r="Y29" i="22"/>
  <c r="AC31" i="22"/>
  <c r="AA28" i="22"/>
  <c r="AA29" i="22"/>
  <c r="Y27" i="22"/>
  <c r="AC27" i="22"/>
  <c r="AA31" i="22"/>
  <c r="AC30" i="22"/>
  <c r="AA30" i="22"/>
  <c r="AB31" i="22"/>
  <c r="AB28" i="22"/>
  <c r="Z31" i="22"/>
  <c r="Z28" i="22"/>
  <c r="AD30" i="22"/>
  <c r="AB27" i="22"/>
  <c r="AA27" i="22"/>
  <c r="Y30" i="22"/>
  <c r="AD27" i="22"/>
  <c r="AB26" i="22"/>
  <c r="AD26" i="22"/>
  <c r="Z26" i="22"/>
  <c r="AC26" i="22"/>
  <c r="AA26" i="22"/>
  <c r="AE39" i="22" l="1"/>
  <c r="H39" i="22" s="1"/>
  <c r="AE30" i="22"/>
  <c r="H30" i="22" s="1"/>
  <c r="AE37" i="22"/>
  <c r="H37" i="22" s="1"/>
  <c r="AE41" i="22"/>
  <c r="H41" i="22" s="1"/>
  <c r="AE40" i="22"/>
  <c r="H40" i="22" s="1"/>
  <c r="AE38" i="22"/>
  <c r="H38" i="22" s="1"/>
  <c r="AE42" i="22"/>
  <c r="H42" i="22" s="1"/>
  <c r="AE28" i="22"/>
  <c r="H28" i="22" s="1"/>
  <c r="AE31" i="22"/>
  <c r="H31" i="22" s="1"/>
  <c r="AE29" i="22"/>
  <c r="H29" i="22" s="1"/>
  <c r="AE27" i="22"/>
  <c r="H27" i="22" s="1"/>
  <c r="AE26" i="22"/>
  <c r="H26" i="22" l="1"/>
  <c r="K14" i="22" l="1" a="1"/>
  <c r="K14" i="22" s="1"/>
  <c r="R1" i="22"/>
  <c r="Q1" i="22"/>
  <c r="M1" i="22"/>
  <c r="N1" i="22"/>
  <c r="O1" i="22"/>
  <c r="P1" i="22"/>
  <c r="L1" i="22"/>
  <c r="F23" i="22"/>
  <c r="E23" i="22"/>
  <c r="B23" i="22"/>
  <c r="C11" i="22"/>
  <c r="E21" i="22" l="1"/>
  <c r="B21" i="22"/>
  <c r="C9" i="22"/>
  <c r="F21" i="22"/>
  <c r="F19" i="22" l="1"/>
  <c r="E19" i="22"/>
  <c r="B19" i="22"/>
  <c r="C7" i="22"/>
  <c r="F18" i="22" l="1"/>
  <c r="E18" i="22"/>
  <c r="B18" i="22"/>
  <c r="C6" i="22"/>
  <c r="F17" i="22" l="1"/>
  <c r="E17" i="22"/>
  <c r="B17" i="22"/>
  <c r="C5" i="22"/>
  <c r="F15" i="22" l="1"/>
  <c r="E15" i="22"/>
  <c r="B15" i="22"/>
  <c r="C3" i="22"/>
  <c r="F20" i="22" l="1"/>
  <c r="E20" i="22"/>
  <c r="B20" i="22"/>
  <c r="C8" i="22"/>
  <c r="B22" i="22" l="1"/>
  <c r="E22" i="22"/>
  <c r="F22" i="22"/>
  <c r="C10" i="22"/>
  <c r="F14" i="22" l="1"/>
  <c r="E14" i="22"/>
  <c r="B14" i="22"/>
  <c r="E16" i="22"/>
  <c r="F16" i="22"/>
  <c r="C4" i="22"/>
  <c r="C2" i="22"/>
  <c r="C16" i="22"/>
  <c r="C17" i="22"/>
  <c r="C18" i="22"/>
  <c r="C19" i="22"/>
  <c r="C20" i="22"/>
  <c r="C21" i="22"/>
  <c r="C22" i="22"/>
  <c r="C23" i="22"/>
  <c r="C15" i="22"/>
  <c r="C14" i="22"/>
  <c r="M12" i="17"/>
  <c r="B16" i="22" l="1"/>
  <c r="Y3" i="20" l="1"/>
  <c r="Y4" i="20"/>
  <c r="Y5" i="20"/>
  <c r="Y6" i="20"/>
  <c r="Y7" i="20"/>
  <c r="Y8" i="20"/>
  <c r="Y9" i="20"/>
  <c r="Y10" i="20"/>
  <c r="Y11" i="20"/>
  <c r="Y2" i="20"/>
  <c r="X12" i="21"/>
  <c r="X13" i="21"/>
  <c r="X14" i="21"/>
  <c r="X15" i="21"/>
  <c r="X16" i="21"/>
  <c r="X17" i="21"/>
  <c r="X18" i="21"/>
  <c r="X19" i="21"/>
  <c r="X20" i="21"/>
  <c r="X11" i="21"/>
  <c r="R11" i="21"/>
  <c r="S11" i="21"/>
  <c r="T11" i="21"/>
  <c r="U11" i="21"/>
  <c r="V11" i="21"/>
  <c r="W11" i="21"/>
  <c r="R12" i="21"/>
  <c r="S12" i="21"/>
  <c r="T12" i="21"/>
  <c r="U12" i="21"/>
  <c r="V12" i="21"/>
  <c r="W12" i="21"/>
  <c r="R13" i="21"/>
  <c r="S13" i="21"/>
  <c r="T13" i="21"/>
  <c r="U13" i="21"/>
  <c r="V13" i="21"/>
  <c r="W13" i="21"/>
  <c r="R14" i="21"/>
  <c r="S14" i="21"/>
  <c r="T14" i="21"/>
  <c r="U14" i="21"/>
  <c r="V14" i="21"/>
  <c r="W14" i="21"/>
  <c r="R15" i="21"/>
  <c r="S15" i="21"/>
  <c r="T15" i="21"/>
  <c r="U15" i="21"/>
  <c r="V15" i="21"/>
  <c r="W15" i="21"/>
  <c r="R16" i="21"/>
  <c r="S16" i="21"/>
  <c r="T16" i="21"/>
  <c r="U16" i="21"/>
  <c r="V16" i="21"/>
  <c r="W16" i="21"/>
  <c r="R17" i="21"/>
  <c r="S17" i="21"/>
  <c r="T17" i="21"/>
  <c r="U17" i="21"/>
  <c r="V17" i="21"/>
  <c r="W17" i="21"/>
  <c r="R18" i="21"/>
  <c r="S18" i="21"/>
  <c r="T18" i="21"/>
  <c r="U18" i="21"/>
  <c r="V18" i="21"/>
  <c r="W18" i="21"/>
  <c r="R19" i="21"/>
  <c r="S19" i="21"/>
  <c r="T19" i="21"/>
  <c r="U19" i="21"/>
  <c r="V19" i="21"/>
  <c r="W19" i="21"/>
  <c r="R20" i="21"/>
  <c r="S20" i="21"/>
  <c r="T20" i="21"/>
  <c r="U20" i="21"/>
  <c r="V20" i="21"/>
  <c r="W20" i="21"/>
  <c r="Q20" i="21"/>
  <c r="Q19" i="21"/>
  <c r="Q18" i="21"/>
  <c r="Q17" i="21"/>
  <c r="Q16" i="21"/>
  <c r="Q15" i="21"/>
  <c r="Q14" i="21"/>
  <c r="Q13" i="21"/>
  <c r="Q12" i="21"/>
  <c r="Q11" i="21"/>
  <c r="O12" i="21"/>
  <c r="O13" i="21"/>
  <c r="O14" i="21"/>
  <c r="O15" i="21"/>
  <c r="O16" i="21"/>
  <c r="O17" i="21"/>
  <c r="O18" i="21"/>
  <c r="O19" i="21"/>
  <c r="O20" i="21"/>
  <c r="O11" i="21"/>
  <c r="N12" i="21"/>
  <c r="N13" i="21"/>
  <c r="N14" i="21"/>
  <c r="N15" i="21"/>
  <c r="N16" i="21"/>
  <c r="N17" i="21"/>
  <c r="N18" i="21"/>
  <c r="N19" i="21"/>
  <c r="N20" i="21"/>
  <c r="N11" i="21"/>
  <c r="M12" i="21"/>
  <c r="M13" i="21"/>
  <c r="M14" i="21"/>
  <c r="M15" i="21"/>
  <c r="M16" i="21"/>
  <c r="M17" i="21"/>
  <c r="M18" i="21"/>
  <c r="M19" i="21"/>
  <c r="M20" i="21"/>
  <c r="M11" i="21"/>
  <c r="L12" i="21"/>
  <c r="L13" i="21"/>
  <c r="L14" i="21"/>
  <c r="L15" i="21"/>
  <c r="L16" i="21"/>
  <c r="L17" i="21"/>
  <c r="L18" i="21"/>
  <c r="L19" i="21"/>
  <c r="L20" i="21"/>
  <c r="L11" i="21"/>
  <c r="K12" i="21"/>
  <c r="K13" i="21"/>
  <c r="K14" i="21"/>
  <c r="K15" i="21"/>
  <c r="K16" i="21"/>
  <c r="K17" i="21"/>
  <c r="K18" i="21"/>
  <c r="K19" i="21"/>
  <c r="K20" i="21"/>
  <c r="K11" i="21"/>
  <c r="J12" i="21"/>
  <c r="J13" i="21"/>
  <c r="J14" i="21"/>
  <c r="J15" i="21"/>
  <c r="J16" i="21"/>
  <c r="J17" i="21"/>
  <c r="J18" i="21"/>
  <c r="J19" i="21"/>
  <c r="J20" i="21"/>
  <c r="J11" i="21"/>
  <c r="I18" i="21"/>
  <c r="I12" i="21"/>
  <c r="I13" i="21"/>
  <c r="I14" i="21"/>
  <c r="I15" i="21"/>
  <c r="I16" i="21"/>
  <c r="I17" i="21"/>
  <c r="I19" i="21"/>
  <c r="I20" i="21"/>
  <c r="I11" i="21"/>
  <c r="P12" i="21"/>
  <c r="P13" i="21"/>
  <c r="P14" i="21"/>
  <c r="P16" i="21"/>
  <c r="U11" i="20"/>
  <c r="R11" i="20"/>
  <c r="V11" i="20"/>
  <c r="S11" i="20"/>
  <c r="P15" i="21" l="1"/>
  <c r="P20" i="21"/>
  <c r="P17" i="21"/>
  <c r="P18" i="21"/>
  <c r="P19" i="21"/>
  <c r="P11" i="21"/>
  <c r="S10" i="20"/>
  <c r="U9" i="20" l="1"/>
  <c r="V9" i="20"/>
  <c r="S9" i="20"/>
  <c r="U6" i="20" l="1"/>
  <c r="V6" i="20"/>
  <c r="S6" i="20"/>
  <c r="R6" i="20"/>
  <c r="U5" i="20"/>
  <c r="R5" i="20"/>
  <c r="V5" i="20"/>
  <c r="S5" i="20"/>
  <c r="U4" i="20" l="1"/>
  <c r="R4" i="20"/>
  <c r="S4" i="20"/>
  <c r="V4" i="20"/>
  <c r="U3" i="20" l="1"/>
  <c r="R3" i="20"/>
  <c r="S3" i="20"/>
  <c r="V3" i="20"/>
  <c r="V8" i="20" l="1"/>
  <c r="S8" i="20"/>
  <c r="R8" i="20"/>
  <c r="U2" i="20" l="1"/>
  <c r="R2" i="20"/>
  <c r="V2" i="20"/>
  <c r="S2" i="20"/>
  <c r="V7" i="20" l="1"/>
  <c r="U7" i="20"/>
  <c r="S7" i="20"/>
  <c r="R7" i="20" l="1"/>
  <c r="F8" i="21" l="1"/>
  <c r="D8" i="21"/>
  <c r="C8" i="21"/>
  <c r="B8" i="21"/>
  <c r="F7" i="21"/>
  <c r="D7" i="21"/>
  <c r="C7" i="21"/>
  <c r="K7" i="21" s="1"/>
  <c r="B7" i="21"/>
  <c r="J7" i="21" s="1"/>
  <c r="F6" i="21"/>
  <c r="D6" i="21"/>
  <c r="C6" i="21"/>
  <c r="K6" i="21" s="1"/>
  <c r="B6" i="21"/>
  <c r="F5" i="21"/>
  <c r="N5" i="21" s="1"/>
  <c r="D5" i="21"/>
  <c r="L5" i="21" s="1"/>
  <c r="C5" i="21"/>
  <c r="B5" i="21"/>
  <c r="J5" i="21" s="1"/>
  <c r="F4" i="21"/>
  <c r="D4" i="21"/>
  <c r="C4" i="21"/>
  <c r="B4" i="21"/>
  <c r="F3" i="21"/>
  <c r="D3" i="21"/>
  <c r="C3" i="21"/>
  <c r="B3" i="21"/>
  <c r="F2" i="21"/>
  <c r="D2" i="21"/>
  <c r="C2" i="21"/>
  <c r="B2" i="21"/>
  <c r="AK20" i="20"/>
  <c r="AK19" i="20"/>
  <c r="AK18" i="20"/>
  <c r="AK17" i="20"/>
  <c r="AK16" i="20"/>
  <c r="AK15" i="20"/>
  <c r="AK14" i="20"/>
  <c r="AJ15" i="20"/>
  <c r="G3" i="21" s="1"/>
  <c r="AJ16" i="20"/>
  <c r="G4" i="21" s="1"/>
  <c r="AJ17" i="20"/>
  <c r="E5" i="21" s="1"/>
  <c r="M5" i="21" s="1"/>
  <c r="AJ18" i="20"/>
  <c r="E6" i="21" s="1"/>
  <c r="M6" i="21" s="1"/>
  <c r="AJ19" i="20"/>
  <c r="G7" i="21" s="1"/>
  <c r="O7" i="21" s="1"/>
  <c r="AJ20" i="20"/>
  <c r="G8" i="21" s="1"/>
  <c r="AJ14" i="20"/>
  <c r="G2" i="21" s="1"/>
  <c r="AI20" i="20"/>
  <c r="AI19" i="20"/>
  <c r="AI18" i="20"/>
  <c r="AI17" i="20"/>
  <c r="AI16" i="20"/>
  <c r="AI15" i="20"/>
  <c r="AI14" i="20"/>
  <c r="AG20" i="20"/>
  <c r="AG19" i="20"/>
  <c r="AG18" i="20"/>
  <c r="AG17" i="20"/>
  <c r="AG16" i="20"/>
  <c r="AG15" i="20"/>
  <c r="AG14" i="20"/>
  <c r="AH20" i="20"/>
  <c r="AH19" i="20"/>
  <c r="AH18" i="20"/>
  <c r="AH17" i="20"/>
  <c r="AH16" i="20"/>
  <c r="AH15" i="20"/>
  <c r="AH14" i="20"/>
  <c r="BJ8" i="19"/>
  <c r="BK8" i="19" s="1"/>
  <c r="BJ7" i="19"/>
  <c r="BK7" i="19" s="1"/>
  <c r="BJ6" i="19"/>
  <c r="BK6" i="19" s="1"/>
  <c r="BJ5" i="19"/>
  <c r="BK5" i="19" s="1"/>
  <c r="BJ4" i="19"/>
  <c r="BK4" i="19" s="1"/>
  <c r="BJ3" i="19"/>
  <c r="BK3" i="19" s="1"/>
  <c r="BJ2" i="19"/>
  <c r="BK2" i="19" s="1"/>
  <c r="BI8" i="19"/>
  <c r="AN20" i="20" s="1"/>
  <c r="BI7" i="19"/>
  <c r="AN19" i="20" s="1"/>
  <c r="BI6" i="19"/>
  <c r="AN18" i="20" s="1"/>
  <c r="BI5" i="19"/>
  <c r="AN17" i="20" s="1"/>
  <c r="BI4" i="19"/>
  <c r="AN16" i="20" s="1"/>
  <c r="BI3" i="19"/>
  <c r="AN15" i="20" s="1"/>
  <c r="BI2" i="19"/>
  <c r="AN14" i="20" s="1"/>
  <c r="BE3" i="19"/>
  <c r="BE4" i="19"/>
  <c r="BE5" i="19"/>
  <c r="BE6" i="19"/>
  <c r="BE7" i="19"/>
  <c r="BE8" i="19"/>
  <c r="BE2" i="19"/>
  <c r="BD3" i="19"/>
  <c r="BD4" i="19"/>
  <c r="BD5" i="19"/>
  <c r="BD6" i="19"/>
  <c r="BD7" i="19"/>
  <c r="BD8" i="19"/>
  <c r="BD2" i="19"/>
  <c r="K3" i="21" l="1"/>
  <c r="K8" i="21"/>
  <c r="L3" i="21"/>
  <c r="J4" i="21"/>
  <c r="J6" i="21"/>
  <c r="J8" i="21"/>
  <c r="K2" i="21"/>
  <c r="L2" i="21"/>
  <c r="L6" i="21"/>
  <c r="L8" i="21"/>
  <c r="J3" i="21"/>
  <c r="K5" i="21"/>
  <c r="L7" i="21"/>
  <c r="K4" i="21"/>
  <c r="J2" i="21"/>
  <c r="L4" i="21"/>
  <c r="N2" i="21"/>
  <c r="N7" i="21"/>
  <c r="N4" i="21"/>
  <c r="N6" i="21"/>
  <c r="N3" i="21"/>
  <c r="G6" i="21"/>
  <c r="O6" i="21" s="1"/>
  <c r="N8" i="21"/>
  <c r="E4" i="21"/>
  <c r="G5" i="21"/>
  <c r="O5" i="21" s="1"/>
  <c r="E3" i="21"/>
  <c r="E2" i="21"/>
  <c r="E8" i="21"/>
  <c r="E7" i="21"/>
  <c r="M7" i="21" s="1"/>
  <c r="AP10" i="19"/>
  <c r="M3" i="21" l="1"/>
  <c r="O4" i="21"/>
  <c r="M4" i="21"/>
  <c r="O2" i="21"/>
  <c r="O3" i="21"/>
  <c r="M8" i="21"/>
  <c r="M2" i="21"/>
  <c r="O8" i="21"/>
  <c r="AP9" i="19"/>
  <c r="AP12" i="19" l="1"/>
  <c r="AP7" i="19" l="1"/>
  <c r="AP6" i="19" l="1"/>
  <c r="AP5" i="19" l="1"/>
  <c r="AP4" i="19" l="1"/>
  <c r="AP2" i="19" l="1"/>
  <c r="AP8" i="19" l="1"/>
  <c r="AQ12" i="19" l="1"/>
  <c r="AQ8" i="19" l="1"/>
  <c r="AQ7" i="19" l="1"/>
  <c r="AQ6" i="19" l="1"/>
  <c r="AQ4" i="19" l="1"/>
  <c r="AL13" i="19" l="1"/>
  <c r="AM13" i="19"/>
  <c r="AN13" i="19"/>
  <c r="AO13" i="19"/>
  <c r="AP13" i="19"/>
  <c r="AQ9" i="19"/>
  <c r="AQ11" i="19" l="1"/>
  <c r="AQ2" i="19" l="1"/>
  <c r="AQ5" i="19" l="1"/>
  <c r="AQ10" i="19" l="1"/>
  <c r="AN3" i="19"/>
  <c r="AO3" i="19"/>
  <c r="AN4" i="19"/>
  <c r="AO4" i="19"/>
  <c r="AN5" i="19"/>
  <c r="AO5" i="19"/>
  <c r="AN6" i="19"/>
  <c r="AO6" i="19"/>
  <c r="AN7" i="19"/>
  <c r="AO7" i="19"/>
  <c r="AN8" i="19"/>
  <c r="AO8" i="19"/>
  <c r="AN9" i="19"/>
  <c r="AO9" i="19"/>
  <c r="AN10" i="19"/>
  <c r="AO10" i="19"/>
  <c r="AN11" i="19"/>
  <c r="AO11" i="19"/>
  <c r="AN12" i="19"/>
  <c r="AO12" i="19"/>
  <c r="AO2" i="19"/>
  <c r="AN2" i="19"/>
  <c r="AM4" i="19"/>
  <c r="AM5" i="19"/>
  <c r="AM6" i="19"/>
  <c r="AM7" i="19"/>
  <c r="AM8" i="19"/>
  <c r="AM9" i="19"/>
  <c r="AM10" i="19"/>
  <c r="AM11" i="19"/>
  <c r="AM12" i="19"/>
  <c r="AM3" i="19"/>
  <c r="AM2" i="19"/>
  <c r="AL4" i="19"/>
  <c r="AL5" i="19"/>
  <c r="AL6" i="19"/>
  <c r="AL7" i="19"/>
  <c r="AL8" i="19"/>
  <c r="AL9" i="19"/>
  <c r="AL10" i="19"/>
  <c r="AL11" i="19"/>
  <c r="AL12" i="19"/>
  <c r="AL3" i="19"/>
  <c r="AL2" i="19"/>
  <c r="AQ13" i="19" l="1"/>
  <c r="AF3" i="19"/>
  <c r="AU3" i="19" s="1"/>
  <c r="AS3" i="19" l="1"/>
  <c r="AW3" i="19" s="1"/>
  <c r="V10" i="20" l="1"/>
  <c r="U10" i="20"/>
  <c r="T4" i="20"/>
  <c r="T5" i="20"/>
  <c r="T6" i="20"/>
  <c r="T7" i="20"/>
  <c r="T8" i="20"/>
  <c r="T9" i="20"/>
  <c r="T10" i="20"/>
  <c r="T11" i="20"/>
  <c r="T3" i="20"/>
  <c r="T2" i="20"/>
  <c r="R10" i="20"/>
  <c r="AF20" i="20"/>
  <c r="AF15" i="20"/>
  <c r="AF16" i="20"/>
  <c r="AF17" i="20"/>
  <c r="AF18" i="20"/>
  <c r="AF19" i="20"/>
  <c r="AF14" i="20"/>
  <c r="I8" i="19"/>
  <c r="B15" i="19" a="1"/>
  <c r="B15" i="19" s="1"/>
  <c r="J20" i="20"/>
  <c r="I20" i="20"/>
  <c r="H20" i="20"/>
  <c r="G20" i="20"/>
  <c r="F20" i="20"/>
  <c r="E20" i="20"/>
  <c r="D20" i="20"/>
  <c r="C20" i="20"/>
  <c r="B20" i="20"/>
  <c r="J19" i="20"/>
  <c r="I19" i="20"/>
  <c r="H19" i="20"/>
  <c r="G19" i="20"/>
  <c r="F19" i="20"/>
  <c r="E19" i="20"/>
  <c r="D19" i="20"/>
  <c r="C19" i="20"/>
  <c r="B19" i="20"/>
  <c r="J18" i="20"/>
  <c r="I18" i="20"/>
  <c r="H18" i="20"/>
  <c r="G18" i="20"/>
  <c r="F18" i="20"/>
  <c r="E18" i="20"/>
  <c r="D18" i="20"/>
  <c r="C18" i="20"/>
  <c r="B18" i="20"/>
  <c r="K18" i="20" s="1"/>
  <c r="J17" i="20"/>
  <c r="I17" i="20"/>
  <c r="H17" i="20"/>
  <c r="G17" i="20"/>
  <c r="F17" i="20"/>
  <c r="E17" i="20"/>
  <c r="D17" i="20"/>
  <c r="C17" i="20"/>
  <c r="B17" i="20"/>
  <c r="J16" i="20"/>
  <c r="I16" i="20"/>
  <c r="H16" i="20"/>
  <c r="G16" i="20"/>
  <c r="F16" i="20"/>
  <c r="E16" i="20"/>
  <c r="D16" i="20"/>
  <c r="C16" i="20"/>
  <c r="B16" i="20"/>
  <c r="J15" i="20"/>
  <c r="I15" i="20"/>
  <c r="H15" i="20"/>
  <c r="G15" i="20"/>
  <c r="F15" i="20"/>
  <c r="E15" i="20"/>
  <c r="D15" i="20"/>
  <c r="C15" i="20"/>
  <c r="B15" i="20"/>
  <c r="J14" i="20"/>
  <c r="I14" i="20"/>
  <c r="H14" i="20"/>
  <c r="G14" i="20"/>
  <c r="F14" i="20"/>
  <c r="E14" i="20"/>
  <c r="D14" i="20"/>
  <c r="C14" i="20"/>
  <c r="B14" i="20"/>
  <c r="B8" i="20"/>
  <c r="E12" i="19"/>
  <c r="E11" i="20" s="1"/>
  <c r="C12" i="19"/>
  <c r="C11" i="20" s="1"/>
  <c r="B12" i="19"/>
  <c r="B11" i="20" s="1"/>
  <c r="B21" i="20" l="1"/>
  <c r="H21" i="20"/>
  <c r="Q17" i="20" s="1"/>
  <c r="J21" i="20"/>
  <c r="S15" i="20" s="1"/>
  <c r="I21" i="20"/>
  <c r="I24" i="19" s="1"/>
  <c r="K20" i="20"/>
  <c r="Q15" i="20"/>
  <c r="Q16" i="20"/>
  <c r="Q18" i="20"/>
  <c r="Q19" i="20"/>
  <c r="K16" i="20"/>
  <c r="R19" i="20"/>
  <c r="K14" i="20"/>
  <c r="K19" i="20"/>
  <c r="G21" i="20"/>
  <c r="P15" i="20" s="1"/>
  <c r="F21" i="20"/>
  <c r="O19" i="20" s="1"/>
  <c r="BC3" i="19"/>
  <c r="A3" i="21"/>
  <c r="Q20" i="20"/>
  <c r="A4" i="21"/>
  <c r="BC4" i="19"/>
  <c r="Q14" i="20"/>
  <c r="E21" i="20"/>
  <c r="E24" i="19" s="1"/>
  <c r="BC8" i="19"/>
  <c r="A8" i="21"/>
  <c r="C21" i="20"/>
  <c r="L19" i="20" s="1"/>
  <c r="J24" i="19"/>
  <c r="R14" i="20"/>
  <c r="S14" i="20"/>
  <c r="D21" i="20"/>
  <c r="M14" i="20" s="1"/>
  <c r="H24" i="19"/>
  <c r="BC7" i="19"/>
  <c r="A7" i="21"/>
  <c r="A6" i="21"/>
  <c r="BC6" i="19"/>
  <c r="BC2" i="19"/>
  <c r="A2" i="21"/>
  <c r="A5" i="21"/>
  <c r="BC5" i="19"/>
  <c r="J11" i="19"/>
  <c r="I11" i="19"/>
  <c r="L11" i="19"/>
  <c r="S20" i="20"/>
  <c r="S19" i="20"/>
  <c r="S18" i="20"/>
  <c r="S17" i="20"/>
  <c r="S16" i="20"/>
  <c r="K15" i="20"/>
  <c r="B24" i="19"/>
  <c r="K17" i="20"/>
  <c r="P18" i="20" l="1"/>
  <c r="P16" i="20"/>
  <c r="R20" i="20"/>
  <c r="R17" i="20"/>
  <c r="P14" i="20"/>
  <c r="L20" i="20"/>
  <c r="C24" i="19"/>
  <c r="P17" i="20"/>
  <c r="L17" i="20"/>
  <c r="L14" i="20"/>
  <c r="R16" i="20"/>
  <c r="Q21" i="20"/>
  <c r="N20" i="20"/>
  <c r="G24" i="19"/>
  <c r="P19" i="20"/>
  <c r="N16" i="20"/>
  <c r="R18" i="20"/>
  <c r="D24" i="19"/>
  <c r="P20" i="20"/>
  <c r="R15" i="20"/>
  <c r="M18" i="20"/>
  <c r="N15" i="20"/>
  <c r="N17" i="20"/>
  <c r="M19" i="20"/>
  <c r="O15" i="20"/>
  <c r="F24" i="19"/>
  <c r="M16" i="20"/>
  <c r="M17" i="20"/>
  <c r="N18" i="20"/>
  <c r="L16" i="20"/>
  <c r="O17" i="20"/>
  <c r="S21" i="20"/>
  <c r="M20" i="20"/>
  <c r="M15" i="20"/>
  <c r="O20" i="20"/>
  <c r="L18" i="20"/>
  <c r="O16" i="20"/>
  <c r="N14" i="20"/>
  <c r="N19" i="20"/>
  <c r="O14" i="20"/>
  <c r="T14" i="20" s="1"/>
  <c r="K21" i="20"/>
  <c r="B16" i="19" a="1"/>
  <c r="B16" i="19" s="1"/>
  <c r="O18" i="20"/>
  <c r="L15" i="20"/>
  <c r="T19" i="20" l="1"/>
  <c r="P21" i="20"/>
  <c r="R21" i="20"/>
  <c r="M21" i="20"/>
  <c r="L21" i="20"/>
  <c r="T18" i="20"/>
  <c r="AC18" i="20" s="1"/>
  <c r="T17" i="20"/>
  <c r="Z17" i="20" s="1"/>
  <c r="AB18" i="20"/>
  <c r="U14" i="20"/>
  <c r="Z14" i="20"/>
  <c r="AA14" i="20"/>
  <c r="AC14" i="20"/>
  <c r="AB14" i="20"/>
  <c r="V14" i="20"/>
  <c r="W14" i="20"/>
  <c r="Z19" i="20"/>
  <c r="U19" i="20"/>
  <c r="W19" i="20"/>
  <c r="X19" i="20"/>
  <c r="V19" i="20"/>
  <c r="AB19" i="20"/>
  <c r="Y19" i="20"/>
  <c r="AA19" i="20"/>
  <c r="AC19" i="20"/>
  <c r="T20" i="20"/>
  <c r="Y20" i="20" s="1"/>
  <c r="T15" i="20"/>
  <c r="X15" i="20" s="1"/>
  <c r="N21" i="20"/>
  <c r="X14" i="20"/>
  <c r="O21" i="20"/>
  <c r="Y14" i="20"/>
  <c r="T16" i="20"/>
  <c r="X18" i="20" l="1"/>
  <c r="X17" i="20"/>
  <c r="Y18" i="20"/>
  <c r="V17" i="20"/>
  <c r="AA18" i="20"/>
  <c r="AB17" i="20"/>
  <c r="V18" i="20"/>
  <c r="AC17" i="20"/>
  <c r="W17" i="20"/>
  <c r="W18" i="20"/>
  <c r="U17" i="20"/>
  <c r="Y17" i="20"/>
  <c r="Z18" i="20"/>
  <c r="AA17" i="20"/>
  <c r="U18" i="20"/>
  <c r="AD18" i="20" s="1"/>
  <c r="AD19" i="20"/>
  <c r="Z16" i="20"/>
  <c r="AA16" i="20"/>
  <c r="U16" i="20"/>
  <c r="AC16" i="20"/>
  <c r="AB16" i="20"/>
  <c r="X16" i="20"/>
  <c r="V16" i="20"/>
  <c r="AD14" i="20"/>
  <c r="T21" i="20"/>
  <c r="Y16" i="20"/>
  <c r="Z15" i="20"/>
  <c r="U15" i="20"/>
  <c r="AB15" i="20"/>
  <c r="AC15" i="20"/>
  <c r="AA15" i="20"/>
  <c r="Y15" i="20"/>
  <c r="W15" i="20"/>
  <c r="V15" i="20"/>
  <c r="U20" i="20"/>
  <c r="AB20" i="20"/>
  <c r="AC20" i="20"/>
  <c r="AA20" i="20"/>
  <c r="V20" i="20"/>
  <c r="Z20" i="20"/>
  <c r="X20" i="20"/>
  <c r="W16" i="20"/>
  <c r="W20" i="20"/>
  <c r="AD17" i="20" l="1"/>
  <c r="AA21" i="20"/>
  <c r="AD16" i="20"/>
  <c r="X21" i="20"/>
  <c r="Y21" i="20"/>
  <c r="AC21" i="20"/>
  <c r="V21" i="20"/>
  <c r="AB21" i="20"/>
  <c r="Z21" i="20"/>
  <c r="W21" i="20"/>
  <c r="AD15" i="20"/>
  <c r="AD20" i="20"/>
  <c r="U21" i="20"/>
  <c r="E11" i="19"/>
  <c r="C11" i="19"/>
  <c r="B11" i="19"/>
  <c r="AD21" i="20" l="1"/>
  <c r="K16" i="19" s="1"/>
  <c r="B10" i="20"/>
  <c r="I10" i="19"/>
  <c r="C10" i="20"/>
  <c r="J10" i="19"/>
  <c r="E10" i="20"/>
  <c r="L10" i="19"/>
  <c r="E10" i="19" l="1"/>
  <c r="C10" i="19"/>
  <c r="B10" i="19"/>
  <c r="B9" i="20" l="1"/>
  <c r="I9" i="19"/>
  <c r="C9" i="20"/>
  <c r="J9" i="19"/>
  <c r="E9" i="20"/>
  <c r="L9" i="19"/>
  <c r="E7" i="19"/>
  <c r="C7" i="19"/>
  <c r="B7" i="19"/>
  <c r="C6" i="20" l="1"/>
  <c r="J6" i="19"/>
  <c r="E6" i="20"/>
  <c r="L6" i="19"/>
  <c r="B6" i="20"/>
  <c r="I6" i="19"/>
  <c r="E6" i="19"/>
  <c r="C6" i="19"/>
  <c r="B6" i="19"/>
  <c r="E5" i="20" l="1"/>
  <c r="L5" i="19"/>
  <c r="C5" i="20"/>
  <c r="J5" i="19"/>
  <c r="B5" i="20"/>
  <c r="I5" i="19"/>
  <c r="E5" i="19"/>
  <c r="C5" i="19"/>
  <c r="B5" i="19"/>
  <c r="E4" i="20" l="1"/>
  <c r="L4" i="19"/>
  <c r="C4" i="20"/>
  <c r="J4" i="19"/>
  <c r="B4" i="20"/>
  <c r="I4" i="19"/>
  <c r="E4" i="19"/>
  <c r="C4" i="19"/>
  <c r="B4" i="19"/>
  <c r="C3" i="20" l="1"/>
  <c r="J3" i="19"/>
  <c r="E3" i="20"/>
  <c r="L3" i="19"/>
  <c r="B3" i="20"/>
  <c r="I3" i="19"/>
  <c r="E9" i="19"/>
  <c r="C9" i="19"/>
  <c r="C8" i="20" l="1"/>
  <c r="J8" i="19"/>
  <c r="E8" i="20"/>
  <c r="L8" i="19"/>
  <c r="E2" i="19"/>
  <c r="C2" i="19"/>
  <c r="B2" i="19"/>
  <c r="C2" i="20" l="1"/>
  <c r="J2" i="19"/>
  <c r="B2" i="20"/>
  <c r="I2" i="19"/>
  <c r="E2" i="20"/>
  <c r="L2" i="19"/>
  <c r="D9" i="19"/>
  <c r="D10" i="19"/>
  <c r="D11" i="19"/>
  <c r="D12" i="19"/>
  <c r="D8" i="19"/>
  <c r="D4" i="19"/>
  <c r="D5" i="19"/>
  <c r="D6" i="19"/>
  <c r="D7" i="19"/>
  <c r="D2" i="19"/>
  <c r="E8" i="19"/>
  <c r="L7" i="19" s="1"/>
  <c r="C8" i="19"/>
  <c r="J7" i="19" s="1"/>
  <c r="B8" i="19"/>
  <c r="I7" i="19" s="1"/>
  <c r="D6" i="20" l="1"/>
  <c r="K6" i="19"/>
  <c r="D9" i="20"/>
  <c r="K9" i="19"/>
  <c r="D2" i="20"/>
  <c r="K2" i="19"/>
  <c r="D8" i="20"/>
  <c r="K8" i="19"/>
  <c r="D5" i="20"/>
  <c r="K5" i="19"/>
  <c r="D4" i="20"/>
  <c r="H4" i="20" s="1"/>
  <c r="K4" i="19"/>
  <c r="D3" i="20"/>
  <c r="K3" i="19"/>
  <c r="D7" i="20"/>
  <c r="K7" i="19"/>
  <c r="D11" i="20"/>
  <c r="H11" i="20" s="1"/>
  <c r="K11" i="19"/>
  <c r="D10" i="20"/>
  <c r="K10" i="19"/>
  <c r="B13" i="19"/>
  <c r="B7" i="20"/>
  <c r="C13" i="19"/>
  <c r="C7" i="20"/>
  <c r="E13" i="19"/>
  <c r="E7" i="20"/>
  <c r="D13" i="19"/>
  <c r="H8" i="20" l="1"/>
  <c r="H10" i="20"/>
  <c r="H6" i="20"/>
  <c r="H3" i="20"/>
  <c r="H9" i="20"/>
  <c r="H5" i="20"/>
  <c r="H7" i="20"/>
  <c r="H2" i="20"/>
  <c r="F7" i="20"/>
  <c r="F4" i="20"/>
  <c r="F11" i="20"/>
  <c r="F3" i="20"/>
  <c r="F5" i="20"/>
  <c r="F2" i="20"/>
  <c r="F8" i="20"/>
  <c r="F6" i="20"/>
  <c r="F10" i="20"/>
  <c r="F9" i="20"/>
  <c r="G7" i="20"/>
  <c r="G4" i="20"/>
  <c r="G3" i="20"/>
  <c r="G11" i="20"/>
  <c r="G6" i="20"/>
  <c r="G5" i="20"/>
  <c r="G2" i="20"/>
  <c r="G8" i="20"/>
  <c r="G10" i="20"/>
  <c r="G9" i="20"/>
  <c r="I7" i="20"/>
  <c r="I4" i="20"/>
  <c r="I3" i="20"/>
  <c r="I5" i="20"/>
  <c r="I2" i="20"/>
  <c r="I8" i="20"/>
  <c r="I11" i="20"/>
  <c r="I6" i="20"/>
  <c r="I10" i="20"/>
  <c r="I9" i="20"/>
  <c r="BF5" i="19" l="1"/>
  <c r="BG5" i="19" s="1"/>
  <c r="BH5" i="19" s="1"/>
  <c r="BF4" i="19"/>
  <c r="BG4" i="19" s="1"/>
  <c r="BH4" i="19" s="1"/>
  <c r="BF2" i="19"/>
  <c r="BG2" i="19" s="1"/>
  <c r="BH2" i="19" s="1"/>
  <c r="BF3" i="19"/>
  <c r="BG3" i="19" s="1"/>
  <c r="BH3" i="19" s="1"/>
  <c r="BF6" i="19"/>
  <c r="BG6" i="19" s="1"/>
  <c r="BH6" i="19" s="1"/>
  <c r="BF8" i="19"/>
  <c r="BG8" i="19" s="1"/>
  <c r="BH8" i="19" s="1"/>
  <c r="BF7" i="19"/>
  <c r="BG7" i="19" s="1"/>
  <c r="BH7" i="19" s="1"/>
  <c r="J6" i="20"/>
  <c r="K6" i="20" s="1"/>
  <c r="J8" i="20"/>
  <c r="K8" i="20" s="1"/>
  <c r="J2" i="20"/>
  <c r="L3" i="20" s="1"/>
  <c r="J5" i="20"/>
  <c r="K5" i="20" s="1"/>
  <c r="J3" i="20"/>
  <c r="K3" i="20" s="1"/>
  <c r="J11" i="20"/>
  <c r="K11" i="20" s="1"/>
  <c r="J9" i="20"/>
  <c r="K9" i="20" s="1"/>
  <c r="J4" i="20"/>
  <c r="K4" i="20" s="1"/>
  <c r="J10" i="20"/>
  <c r="K10" i="20" s="1"/>
  <c r="J7" i="20"/>
  <c r="K7" i="20" s="1"/>
  <c r="BL6" i="19" l="1"/>
  <c r="AL18" i="20" s="1"/>
  <c r="AM18" i="20"/>
  <c r="AM17" i="20"/>
  <c r="BL5" i="19"/>
  <c r="AL17" i="20" s="1"/>
  <c r="BL8" i="19"/>
  <c r="AL20" i="20" s="1"/>
  <c r="AM20" i="20"/>
  <c r="AM16" i="20"/>
  <c r="BL4" i="19"/>
  <c r="AL16" i="20" s="1"/>
  <c r="AM15" i="20"/>
  <c r="BL3" i="19"/>
  <c r="AL15" i="20" s="1"/>
  <c r="BL7" i="19"/>
  <c r="AL19" i="20" s="1"/>
  <c r="AM19" i="20"/>
  <c r="BL2" i="19"/>
  <c r="AL14" i="20" s="1"/>
  <c r="AM14" i="20"/>
  <c r="N3" i="20"/>
  <c r="L6" i="20"/>
  <c r="N11" i="20"/>
  <c r="N8" i="20"/>
  <c r="K2" i="20"/>
  <c r="N6" i="20"/>
  <c r="L2" i="20"/>
  <c r="L8" i="20"/>
  <c r="L11" i="20"/>
  <c r="N4" i="20"/>
  <c r="N9" i="20"/>
  <c r="L5" i="20"/>
  <c r="M11" i="20"/>
  <c r="M10" i="20"/>
  <c r="M2" i="20"/>
  <c r="M9" i="20"/>
  <c r="M7" i="20"/>
  <c r="M3" i="20"/>
  <c r="O3" i="20" s="1"/>
  <c r="F4" i="19" s="1"/>
  <c r="M3" i="19" s="1"/>
  <c r="M6" i="20"/>
  <c r="M5" i="20"/>
  <c r="M8" i="20"/>
  <c r="M4" i="20"/>
  <c r="N2" i="20"/>
  <c r="N7" i="20"/>
  <c r="L4" i="20"/>
  <c r="N10" i="20"/>
  <c r="L7" i="20"/>
  <c r="L9" i="20"/>
  <c r="L10" i="20"/>
  <c r="N5" i="20"/>
  <c r="O6" i="20" l="1"/>
  <c r="F7" i="19" s="1"/>
  <c r="M6" i="19" s="1"/>
  <c r="O9" i="20"/>
  <c r="F10" i="19" s="1"/>
  <c r="M9" i="19" s="1"/>
  <c r="O8" i="20"/>
  <c r="F9" i="19" s="1"/>
  <c r="M8" i="19" s="1"/>
  <c r="O11" i="20"/>
  <c r="F12" i="19" s="1"/>
  <c r="M11" i="19" s="1"/>
  <c r="O5" i="20"/>
  <c r="F6" i="19" s="1"/>
  <c r="M5" i="19" s="1"/>
  <c r="O2" i="20"/>
  <c r="F2" i="19" s="1"/>
  <c r="M2" i="19" s="1"/>
  <c r="O4" i="20"/>
  <c r="F5" i="19" s="1"/>
  <c r="M4" i="19" s="1"/>
  <c r="O7" i="20"/>
  <c r="F8" i="19" s="1"/>
  <c r="M7" i="19" s="1"/>
  <c r="O10" i="20"/>
  <c r="F11" i="19" s="1"/>
  <c r="M10" i="19" s="1"/>
  <c r="F13" i="19" l="1"/>
  <c r="AI17" i="19" s="1"/>
  <c r="AF2" i="18" l="1"/>
  <c r="AH5" i="18"/>
  <c r="AZ12" i="19" l="1"/>
  <c r="AZ11" i="19"/>
  <c r="AZ9" i="19"/>
  <c r="AZ8" i="19"/>
  <c r="AZ7" i="19"/>
  <c r="AZ5" i="19"/>
  <c r="AZ4" i="19"/>
  <c r="AZ2" i="19"/>
  <c r="AZ6" i="19"/>
  <c r="S6" i="19"/>
  <c r="S5" i="19"/>
  <c r="S4" i="19"/>
  <c r="S3" i="19"/>
  <c r="S2" i="19"/>
  <c r="U14" i="19"/>
  <c r="U13" i="19"/>
  <c r="U12" i="19"/>
  <c r="U11" i="19"/>
  <c r="U10" i="19"/>
  <c r="S14" i="19"/>
  <c r="S13" i="19"/>
  <c r="S12" i="19"/>
  <c r="S11" i="19"/>
  <c r="S10" i="19"/>
  <c r="R11" i="19"/>
  <c r="R12" i="19"/>
  <c r="R13" i="19"/>
  <c r="R14" i="19"/>
  <c r="R10" i="19"/>
  <c r="AJ6" i="19"/>
  <c r="AJ2" i="19"/>
  <c r="AJ3" i="19"/>
  <c r="AI12" i="19"/>
  <c r="AH12" i="19"/>
  <c r="AC13" i="19"/>
  <c r="AC12" i="19"/>
  <c r="AC11" i="19"/>
  <c r="AC10" i="19"/>
  <c r="AC9" i="19"/>
  <c r="AC8" i="19"/>
  <c r="AC7" i="19"/>
  <c r="AC6" i="19"/>
  <c r="AC5" i="19"/>
  <c r="AC4" i="19"/>
  <c r="AC3" i="19"/>
  <c r="AC2" i="19"/>
  <c r="A2" i="20" s="1"/>
  <c r="Q2" i="20" l="1"/>
  <c r="A2" i="22"/>
  <c r="K2" i="22" s="1"/>
  <c r="AK3" i="19"/>
  <c r="I3" i="21"/>
  <c r="Q3" i="21" s="1"/>
  <c r="AK6" i="19"/>
  <c r="I6" i="21"/>
  <c r="AK2" i="19"/>
  <c r="I2" i="21"/>
  <c r="AY2" i="19"/>
  <c r="A2" i="19"/>
  <c r="H2" i="19" s="1"/>
  <c r="AY3" i="19"/>
  <c r="AY11" i="19"/>
  <c r="A11" i="19"/>
  <c r="AY4" i="19"/>
  <c r="A4" i="19"/>
  <c r="AY12" i="19"/>
  <c r="A12" i="19"/>
  <c r="AY10" i="19"/>
  <c r="A10" i="19"/>
  <c r="AY5" i="19"/>
  <c r="A5" i="19"/>
  <c r="AY13" i="19"/>
  <c r="A13" i="19"/>
  <c r="AY6" i="19"/>
  <c r="A6" i="19"/>
  <c r="AY7" i="19"/>
  <c r="A7" i="19"/>
  <c r="AY8" i="19"/>
  <c r="A8" i="19"/>
  <c r="AY9" i="19"/>
  <c r="A9" i="19"/>
  <c r="AZ13" i="19"/>
  <c r="AF5" i="18" s="1"/>
  <c r="BA13" i="19"/>
  <c r="AG5" i="18" s="1"/>
  <c r="AL12" i="16"/>
  <c r="C12" i="16" s="1"/>
  <c r="AL10" i="16"/>
  <c r="C10" i="16" s="1"/>
  <c r="AL8" i="16"/>
  <c r="C8" i="16" s="1"/>
  <c r="AL7" i="16"/>
  <c r="C7" i="16" s="1"/>
  <c r="AL6" i="16"/>
  <c r="C6" i="16" s="1"/>
  <c r="L3" i="18"/>
  <c r="AL4" i="16"/>
  <c r="C4" i="16" s="1"/>
  <c r="AL3" i="16"/>
  <c r="C3" i="16" s="1"/>
  <c r="AL9" i="16"/>
  <c r="C9" i="16" s="1"/>
  <c r="AL2" i="16"/>
  <c r="C2" i="16" s="1"/>
  <c r="AL11" i="16"/>
  <c r="C11" i="16" s="1"/>
  <c r="AL5" i="16"/>
  <c r="C5" i="16" s="1"/>
  <c r="AM12" i="16"/>
  <c r="AM10" i="16"/>
  <c r="AM8" i="16"/>
  <c r="AM7" i="16"/>
  <c r="AM6" i="16"/>
  <c r="AM4" i="16"/>
  <c r="AM3" i="16"/>
  <c r="AM9" i="16"/>
  <c r="AM2" i="16"/>
  <c r="AM11" i="16"/>
  <c r="AM5" i="16"/>
  <c r="A3" i="20" l="1"/>
  <c r="H3" i="19"/>
  <c r="A10" i="20"/>
  <c r="H10" i="19"/>
  <c r="A8" i="20"/>
  <c r="H8" i="19"/>
  <c r="A4" i="20"/>
  <c r="H4" i="19"/>
  <c r="A6" i="20"/>
  <c r="H6" i="19"/>
  <c r="A9" i="20"/>
  <c r="H9" i="19"/>
  <c r="A7" i="20"/>
  <c r="H7" i="19"/>
  <c r="A5" i="20"/>
  <c r="H5" i="19"/>
  <c r="A11" i="20"/>
  <c r="H11" i="19"/>
  <c r="AM13" i="16"/>
  <c r="M3" i="18" s="1"/>
  <c r="AL13" i="16"/>
  <c r="K3" i="18" s="1"/>
  <c r="Q5" i="20" l="1"/>
  <c r="A5" i="22"/>
  <c r="K5" i="22" s="1"/>
  <c r="Q8" i="20"/>
  <c r="A8" i="22"/>
  <c r="K8" i="22" s="1"/>
  <c r="Q7" i="20"/>
  <c r="A7" i="22"/>
  <c r="K7" i="22" s="1"/>
  <c r="Q4" i="20"/>
  <c r="A4" i="22"/>
  <c r="K4" i="22" s="1"/>
  <c r="Q10" i="20"/>
  <c r="A10" i="22"/>
  <c r="K10" i="22" s="1"/>
  <c r="Q9" i="20"/>
  <c r="A9" i="22"/>
  <c r="K9" i="22" s="1"/>
  <c r="Q11" i="20"/>
  <c r="A11" i="22"/>
  <c r="K11" i="22" s="1"/>
  <c r="Q6" i="20"/>
  <c r="A6" i="22"/>
  <c r="K6" i="22" s="1"/>
  <c r="Q3" i="20"/>
  <c r="A3" i="22"/>
  <c r="K3" i="22" s="1"/>
  <c r="AA9" i="14"/>
  <c r="AA12" i="14"/>
  <c r="AA10" i="14"/>
  <c r="AA8" i="14"/>
  <c r="AA7" i="14"/>
  <c r="AA6" i="14"/>
  <c r="AA11" i="14"/>
  <c r="AA5" i="14"/>
  <c r="AA4" i="14"/>
  <c r="AA3" i="14"/>
  <c r="AA2" i="14"/>
  <c r="AC9" i="14"/>
  <c r="C23" i="17"/>
  <c r="M9" i="17" s="1"/>
  <c r="B23" i="17"/>
  <c r="O9" i="17"/>
  <c r="D20" i="22" s="1"/>
  <c r="L9" i="17"/>
  <c r="K9" i="17"/>
  <c r="J9" i="17"/>
  <c r="E9" i="17"/>
  <c r="C9" i="17"/>
  <c r="B9" i="17"/>
  <c r="F8" i="22" s="1"/>
  <c r="F9" i="16"/>
  <c r="D23" i="17" s="1"/>
  <c r="AC10" i="14"/>
  <c r="C24" i="17"/>
  <c r="M10" i="17" s="1"/>
  <c r="B24" i="17"/>
  <c r="O10" i="17"/>
  <c r="D21" i="22" s="1"/>
  <c r="L10" i="17"/>
  <c r="K10" i="17"/>
  <c r="J11" i="17"/>
  <c r="J10" i="17"/>
  <c r="E10" i="17"/>
  <c r="C10" i="17"/>
  <c r="B10" i="17"/>
  <c r="F9" i="22" s="1"/>
  <c r="F10" i="16"/>
  <c r="F8" i="16"/>
  <c r="D22" i="17" s="1"/>
  <c r="O8" i="17"/>
  <c r="D19" i="22" s="1"/>
  <c r="L8" i="17"/>
  <c r="K8" i="17"/>
  <c r="J8" i="17"/>
  <c r="E8" i="17"/>
  <c r="C8" i="17"/>
  <c r="B7" i="22" s="1"/>
  <c r="B8" i="17"/>
  <c r="F7" i="22" s="1"/>
  <c r="C22" i="17"/>
  <c r="M8" i="17" s="1"/>
  <c r="B22" i="17"/>
  <c r="AC8" i="14"/>
  <c r="AC7" i="14"/>
  <c r="F7" i="16"/>
  <c r="D21" i="17" s="1"/>
  <c r="C21" i="17"/>
  <c r="M7" i="17" s="1"/>
  <c r="B21" i="17"/>
  <c r="O7" i="17"/>
  <c r="D18" i="22" s="1"/>
  <c r="L7" i="17"/>
  <c r="K7" i="17"/>
  <c r="J7" i="17"/>
  <c r="E7" i="17"/>
  <c r="C7" i="17"/>
  <c r="B7" i="17"/>
  <c r="F6" i="22" s="1"/>
  <c r="AC6" i="14"/>
  <c r="O6" i="17"/>
  <c r="D17" i="22" s="1"/>
  <c r="L6" i="17"/>
  <c r="K6" i="17"/>
  <c r="J6" i="17"/>
  <c r="C20" i="17"/>
  <c r="M6" i="17" s="1"/>
  <c r="B20" i="17"/>
  <c r="E6" i="17"/>
  <c r="C6" i="17"/>
  <c r="B6" i="17"/>
  <c r="F5" i="22" s="1"/>
  <c r="F6" i="16"/>
  <c r="D20" i="17" s="1"/>
  <c r="F11" i="16"/>
  <c r="D25" i="17" s="1"/>
  <c r="O11" i="17"/>
  <c r="D22" i="22" s="1"/>
  <c r="L11" i="17"/>
  <c r="K11" i="17"/>
  <c r="C25" i="17"/>
  <c r="M11" i="17" s="1"/>
  <c r="B25" i="17"/>
  <c r="E11" i="17"/>
  <c r="E10" i="22" s="1"/>
  <c r="C11" i="17"/>
  <c r="B11" i="17"/>
  <c r="F10" i="22" s="1"/>
  <c r="AC11" i="14"/>
  <c r="F5" i="16"/>
  <c r="D19" i="17" s="1"/>
  <c r="O5" i="17"/>
  <c r="D16" i="22" s="1"/>
  <c r="L5" i="17"/>
  <c r="K5" i="17"/>
  <c r="J5" i="17"/>
  <c r="C19" i="17"/>
  <c r="M5" i="17" s="1"/>
  <c r="B19" i="17"/>
  <c r="E5" i="17"/>
  <c r="C5" i="17"/>
  <c r="B5" i="17"/>
  <c r="F4" i="22" s="1"/>
  <c r="AC5" i="14"/>
  <c r="AC4" i="14"/>
  <c r="AC3" i="14"/>
  <c r="AC2" i="14"/>
  <c r="F4" i="16"/>
  <c r="D18" i="17" s="1"/>
  <c r="O4" i="17"/>
  <c r="D15" i="22" s="1"/>
  <c r="L4" i="17"/>
  <c r="K4" i="17"/>
  <c r="J4" i="17"/>
  <c r="C18" i="17"/>
  <c r="M4" i="17" s="1"/>
  <c r="B18" i="17"/>
  <c r="E4" i="17"/>
  <c r="C4" i="17"/>
  <c r="B3" i="22" s="1"/>
  <c r="B4" i="17"/>
  <c r="F3" i="22" s="1"/>
  <c r="O3" i="17"/>
  <c r="L3" i="17"/>
  <c r="K3" i="17"/>
  <c r="J3" i="17"/>
  <c r="C17" i="17"/>
  <c r="M3" i="17" s="1"/>
  <c r="E3" i="17"/>
  <c r="B17" i="17"/>
  <c r="O2" i="17"/>
  <c r="D14" i="22" s="1"/>
  <c r="L2" i="17"/>
  <c r="K2" i="17"/>
  <c r="J2" i="17"/>
  <c r="C16" i="17"/>
  <c r="M2" i="17" s="1"/>
  <c r="B16" i="17"/>
  <c r="E2" i="17"/>
  <c r="C2" i="17"/>
  <c r="B2" i="17"/>
  <c r="F2" i="22" s="1"/>
  <c r="F2" i="16"/>
  <c r="D16" i="17" s="1"/>
  <c r="O12" i="17"/>
  <c r="D23" i="22" s="1"/>
  <c r="L12" i="17"/>
  <c r="K12" i="17"/>
  <c r="J12" i="17"/>
  <c r="D24" i="17"/>
  <c r="AC12" i="14"/>
  <c r="C26" i="17"/>
  <c r="B26" i="17"/>
  <c r="E12" i="17"/>
  <c r="E11" i="22" s="1"/>
  <c r="C12" i="17"/>
  <c r="B11" i="22" s="1"/>
  <c r="B12" i="17"/>
  <c r="F11" i="22" s="1"/>
  <c r="F12" i="16"/>
  <c r="D26" i="17" s="1"/>
  <c r="D12" i="16"/>
  <c r="N12" i="17" s="1"/>
  <c r="D10" i="16"/>
  <c r="N10" i="17" s="1"/>
  <c r="D9" i="16"/>
  <c r="D9" i="17" s="1"/>
  <c r="D8" i="16"/>
  <c r="D8" i="17" s="1"/>
  <c r="D7" i="16"/>
  <c r="N7" i="17" s="1"/>
  <c r="D6" i="16"/>
  <c r="N6" i="17" s="1"/>
  <c r="D5" i="16"/>
  <c r="N5" i="17" s="1"/>
  <c r="D4" i="16"/>
  <c r="N4" i="17" s="1"/>
  <c r="D2" i="16"/>
  <c r="N2" i="17" s="1"/>
  <c r="D11" i="16"/>
  <c r="N11" i="17" s="1"/>
  <c r="D3" i="22" l="1"/>
  <c r="AZ4" i="16"/>
  <c r="BL4" i="16"/>
  <c r="D5" i="22"/>
  <c r="BL6" i="16"/>
  <c r="AZ6" i="16"/>
  <c r="D2" i="22"/>
  <c r="BL2" i="16"/>
  <c r="AZ2" i="16"/>
  <c r="D4" i="22"/>
  <c r="AZ5" i="16"/>
  <c r="BL5" i="16"/>
  <c r="D6" i="22"/>
  <c r="AZ7" i="16"/>
  <c r="BL7" i="16"/>
  <c r="D11" i="22"/>
  <c r="BL12" i="16"/>
  <c r="AZ12" i="16"/>
  <c r="D10" i="22"/>
  <c r="BL11" i="16"/>
  <c r="AZ11" i="16"/>
  <c r="D9" i="22"/>
  <c r="BL10" i="16"/>
  <c r="AZ10" i="16"/>
  <c r="E4" i="22"/>
  <c r="B4" i="22"/>
  <c r="E9" i="22"/>
  <c r="B9" i="22"/>
  <c r="E7" i="22"/>
  <c r="E6" i="22"/>
  <c r="B6" i="22"/>
  <c r="E5" i="22"/>
  <c r="B5" i="22"/>
  <c r="E3" i="22"/>
  <c r="B8" i="22"/>
  <c r="E8" i="22"/>
  <c r="B10" i="22"/>
  <c r="B2" i="22"/>
  <c r="E2" i="22"/>
  <c r="D11" i="17"/>
  <c r="D7" i="17"/>
  <c r="D6" i="17"/>
  <c r="N8" i="17"/>
  <c r="D2" i="17"/>
  <c r="D5" i="17"/>
  <c r="N9" i="17"/>
  <c r="D12" i="17"/>
  <c r="D4" i="17"/>
  <c r="D10" i="17"/>
  <c r="B3" i="17"/>
  <c r="C3" i="17"/>
  <c r="D7" i="22" l="1"/>
  <c r="AZ8" i="16"/>
  <c r="BL8" i="16"/>
  <c r="D8" i="22"/>
  <c r="AZ9" i="16"/>
  <c r="BL9" i="16"/>
  <c r="F3" i="16"/>
  <c r="D17" i="17" s="1"/>
  <c r="D3" i="16" l="1"/>
  <c r="D3" i="17" l="1"/>
  <c r="N3" i="17"/>
  <c r="AZ3" i="16" l="1"/>
  <c r="BL3" i="16"/>
  <c r="AE3" i="16"/>
  <c r="AF3" i="16"/>
  <c r="AE4" i="16"/>
  <c r="AE5" i="16"/>
  <c r="AF5" i="16"/>
  <c r="AE6" i="16"/>
  <c r="AF6" i="16"/>
  <c r="AE7" i="16"/>
  <c r="AF7" i="16"/>
  <c r="AE8" i="16"/>
  <c r="AE9" i="16"/>
  <c r="AF9" i="16"/>
  <c r="AE10" i="16"/>
  <c r="AF10" i="16"/>
  <c r="AE11" i="16"/>
  <c r="AE12" i="16"/>
  <c r="AF12" i="16"/>
  <c r="S3" i="18"/>
  <c r="C12" i="18" s="1"/>
  <c r="R3" i="18"/>
  <c r="B12" i="18" s="1"/>
  <c r="AA24" i="13"/>
  <c r="AA23" i="13"/>
  <c r="AA22" i="13"/>
  <c r="AA21" i="13"/>
  <c r="AA20" i="13"/>
  <c r="AA19" i="13"/>
  <c r="AA18" i="13"/>
  <c r="S25" i="12"/>
  <c r="S24" i="12"/>
  <c r="S23" i="12"/>
  <c r="S22" i="12"/>
  <c r="S21" i="12"/>
  <c r="S20" i="12"/>
  <c r="Z24" i="11"/>
  <c r="Z23" i="11"/>
  <c r="Z22" i="11"/>
  <c r="Z21" i="11"/>
  <c r="Z20" i="11"/>
  <c r="Z19" i="11"/>
  <c r="Z18" i="11"/>
  <c r="K25" i="10"/>
  <c r="K24" i="10"/>
  <c r="K23" i="10"/>
  <c r="K22" i="10"/>
  <c r="K21" i="10"/>
  <c r="K20" i="10"/>
  <c r="T10" i="9"/>
  <c r="T9" i="9"/>
  <c r="T8" i="9"/>
  <c r="T7" i="9"/>
  <c r="T6" i="9"/>
  <c r="T5" i="9"/>
  <c r="T4" i="9"/>
  <c r="U22" i="8"/>
  <c r="U21" i="8"/>
  <c r="U20" i="8"/>
  <c r="U19" i="8"/>
  <c r="U18" i="8"/>
  <c r="U17" i="8"/>
  <c r="S11" i="7"/>
  <c r="S10" i="7"/>
  <c r="S9" i="7"/>
  <c r="S8" i="7"/>
  <c r="S7" i="7"/>
  <c r="S6" i="7"/>
  <c r="S5" i="7"/>
  <c r="N39" i="6"/>
  <c r="N38" i="6"/>
  <c r="N37" i="6"/>
  <c r="N36" i="6"/>
  <c r="N35" i="6"/>
  <c r="N34" i="6"/>
  <c r="T8" i="5"/>
  <c r="T7" i="5"/>
  <c r="T6" i="5"/>
  <c r="T5" i="5"/>
  <c r="T4" i="5"/>
  <c r="T3" i="5"/>
  <c r="T2" i="5"/>
  <c r="AB9" i="4"/>
  <c r="AB8" i="4"/>
  <c r="AB7" i="4"/>
  <c r="AB6" i="4"/>
  <c r="AB5" i="4"/>
  <c r="AB4" i="4"/>
  <c r="AB3" i="4"/>
  <c r="S9" i="2"/>
  <c r="S8" i="2"/>
  <c r="S7" i="2"/>
  <c r="S6" i="2"/>
  <c r="S5" i="2"/>
  <c r="S4" i="2"/>
  <c r="S3" i="2"/>
  <c r="S2" i="2"/>
  <c r="J3" i="18"/>
  <c r="AS10" i="16" l="1"/>
  <c r="AR10" i="16"/>
  <c r="T3" i="18"/>
  <c r="D12" i="18"/>
  <c r="AB2" i="18" s="1"/>
  <c r="B7" i="18"/>
  <c r="AA8" i="4" l="1"/>
  <c r="AA7" i="4"/>
  <c r="AA6" i="4"/>
  <c r="AA5" i="4"/>
  <c r="AA4" i="4"/>
  <c r="AA3" i="4"/>
  <c r="Z10" i="14"/>
  <c r="Z23" i="13"/>
  <c r="Z22" i="13"/>
  <c r="Z21" i="13"/>
  <c r="Z20" i="13"/>
  <c r="Z19" i="13"/>
  <c r="Z18" i="13"/>
  <c r="Z24" i="13" s="1"/>
  <c r="Z9" i="14" s="1"/>
  <c r="AB9" i="14" s="1"/>
  <c r="Y24" i="11"/>
  <c r="Y23" i="11"/>
  <c r="Y22" i="11"/>
  <c r="Y21" i="11"/>
  <c r="Y20" i="11"/>
  <c r="Y19" i="11"/>
  <c r="Y18" i="11"/>
  <c r="S9" i="9"/>
  <c r="S8" i="9"/>
  <c r="S7" i="9"/>
  <c r="S6" i="9"/>
  <c r="S5" i="9"/>
  <c r="S4" i="9"/>
  <c r="T21" i="8"/>
  <c r="T20" i="8"/>
  <c r="T19" i="8"/>
  <c r="T18" i="8"/>
  <c r="T17" i="8"/>
  <c r="R10" i="7"/>
  <c r="R9" i="7"/>
  <c r="R8" i="7"/>
  <c r="R7" i="7"/>
  <c r="R6" i="7"/>
  <c r="R5" i="7"/>
  <c r="R24" i="12"/>
  <c r="R23" i="12"/>
  <c r="R22" i="12"/>
  <c r="R21" i="12"/>
  <c r="R20" i="12"/>
  <c r="Z3" i="14"/>
  <c r="R8" i="2"/>
  <c r="R7" i="2"/>
  <c r="R6" i="2"/>
  <c r="R5" i="2"/>
  <c r="R4" i="2"/>
  <c r="R3" i="2"/>
  <c r="R2" i="2"/>
  <c r="AA13" i="14"/>
  <c r="X22" i="14"/>
  <c r="W22" i="14"/>
  <c r="T22" i="8"/>
  <c r="Z5" i="14" s="1"/>
  <c r="AB5" i="14" s="1"/>
  <c r="R11" i="7"/>
  <c r="Z2" i="14" s="1"/>
  <c r="AB2" i="14" s="1"/>
  <c r="R9" i="2"/>
  <c r="AC13" i="14" l="1"/>
  <c r="E8" i="18" s="1"/>
  <c r="M5" i="18" s="1"/>
  <c r="AB10" i="14"/>
  <c r="S10" i="9"/>
  <c r="Z12" i="14" s="1"/>
  <c r="AB12" i="14" s="1"/>
  <c r="R25" i="12"/>
  <c r="Z7" i="14" s="1"/>
  <c r="AB7" i="14" s="1"/>
  <c r="AB3" i="14"/>
  <c r="AA9" i="4"/>
  <c r="Z6" i="14" s="1"/>
  <c r="AB6" i="14" s="1"/>
  <c r="S5" i="18" l="1"/>
  <c r="C14" i="18"/>
  <c r="J41" i="2"/>
  <c r="K41" i="2"/>
  <c r="L41" i="2"/>
  <c r="M41" i="2"/>
  <c r="N41" i="2"/>
  <c r="J35" i="2"/>
  <c r="K35" i="2"/>
  <c r="L35" i="2"/>
  <c r="M35" i="2"/>
  <c r="N35" i="2"/>
  <c r="J29" i="2"/>
  <c r="K29" i="2"/>
  <c r="L29" i="2"/>
  <c r="M29" i="2"/>
  <c r="N29" i="2"/>
  <c r="J23" i="2"/>
  <c r="K23" i="2"/>
  <c r="L23" i="2"/>
  <c r="M23" i="2"/>
  <c r="N23" i="2"/>
  <c r="J17" i="2"/>
  <c r="K17" i="2"/>
  <c r="L17" i="2"/>
  <c r="M17" i="2"/>
  <c r="N17" i="2"/>
  <c r="I41" i="2"/>
  <c r="I35" i="2"/>
  <c r="I29" i="2"/>
  <c r="I23" i="2"/>
  <c r="I17" i="2"/>
  <c r="J11" i="2"/>
  <c r="K11" i="2"/>
  <c r="L11" i="2"/>
  <c r="M11" i="2"/>
  <c r="N11" i="2"/>
  <c r="I11" i="2"/>
  <c r="J5" i="2"/>
  <c r="K5" i="2"/>
  <c r="L5" i="2"/>
  <c r="M5" i="2"/>
  <c r="N5" i="2"/>
  <c r="I5" i="2"/>
  <c r="E3" i="18" l="1"/>
  <c r="E5" i="18"/>
  <c r="Q3" i="14"/>
  <c r="Y3" i="14" s="1"/>
  <c r="Q4" i="14"/>
  <c r="Y4" i="14" s="1"/>
  <c r="Q5" i="14"/>
  <c r="Y5" i="14" s="1"/>
  <c r="Q6" i="14"/>
  <c r="Y6" i="14" s="1"/>
  <c r="Q7" i="14"/>
  <c r="Y7" i="14" s="1"/>
  <c r="Q8" i="14"/>
  <c r="Y8" i="14" s="1"/>
  <c r="Q9" i="14"/>
  <c r="Y9" i="14" s="1"/>
  <c r="Q10" i="14"/>
  <c r="Y10" i="14" s="1"/>
  <c r="Q11" i="14"/>
  <c r="Y11" i="14" s="1"/>
  <c r="Q12" i="14"/>
  <c r="Y12" i="14" s="1"/>
  <c r="Q13" i="14"/>
  <c r="Q2" i="14"/>
  <c r="Y2" i="14" s="1"/>
  <c r="O16" i="14" a="1"/>
  <c r="O16" i="14" s="1"/>
  <c r="S10" i="14" l="1"/>
  <c r="D13" i="17" l="1"/>
  <c r="B13" i="17"/>
  <c r="C2" i="18" s="1"/>
  <c r="E13" i="17" l="1"/>
  <c r="C5" i="18"/>
  <c r="B27" i="17"/>
  <c r="E2" i="18" s="1"/>
  <c r="D27" i="17"/>
  <c r="C8" i="18" s="1"/>
  <c r="K5" i="18" s="1"/>
  <c r="N13" i="17"/>
  <c r="AG2" i="18" s="1"/>
  <c r="J13" i="17"/>
  <c r="M12" i="16"/>
  <c r="AD12" i="16" s="1"/>
  <c r="AK12" i="16" s="1"/>
  <c r="M11" i="16"/>
  <c r="AD11" i="16" s="1"/>
  <c r="AK11" i="16" s="1"/>
  <c r="M10" i="16"/>
  <c r="AD10" i="16" s="1"/>
  <c r="AK10" i="16" s="1"/>
  <c r="M9" i="16"/>
  <c r="AD9" i="16" s="1"/>
  <c r="AK9" i="16" s="1"/>
  <c r="M8" i="16"/>
  <c r="AD8" i="16" s="1"/>
  <c r="AK8" i="16" s="1"/>
  <c r="M7" i="16"/>
  <c r="AD7" i="16" s="1"/>
  <c r="AK7" i="16" s="1"/>
  <c r="M6" i="16"/>
  <c r="AD6" i="16" s="1"/>
  <c r="AK6" i="16" s="1"/>
  <c r="M5" i="16"/>
  <c r="AD5" i="16" s="1"/>
  <c r="AK5" i="16" s="1"/>
  <c r="M4" i="16"/>
  <c r="AD4" i="16" s="1"/>
  <c r="AK4" i="16" s="1"/>
  <c r="M3" i="16"/>
  <c r="AD3" i="16" s="1"/>
  <c r="AK3" i="16" s="1"/>
  <c r="M2" i="16"/>
  <c r="AD2" i="16" s="1"/>
  <c r="AK2" i="16" s="1"/>
  <c r="N11" i="16"/>
  <c r="N10" i="16"/>
  <c r="N9" i="16"/>
  <c r="N8" i="16"/>
  <c r="N7" i="16"/>
  <c r="N6" i="16"/>
  <c r="N4" i="16"/>
  <c r="N3" i="16"/>
  <c r="C4" i="18" l="1"/>
  <c r="K4" i="18" s="1"/>
  <c r="AG6" i="16"/>
  <c r="AG10" i="16"/>
  <c r="AG4" i="16"/>
  <c r="AG7" i="16"/>
  <c r="AG11" i="16"/>
  <c r="AG3" i="16"/>
  <c r="AG9" i="16"/>
  <c r="AG8" i="16"/>
  <c r="L13" i="17"/>
  <c r="E7" i="18" s="1"/>
  <c r="G3" i="16"/>
  <c r="G4" i="16"/>
  <c r="G5" i="16"/>
  <c r="G6" i="16"/>
  <c r="G7" i="16"/>
  <c r="G8" i="16"/>
  <c r="G9" i="16"/>
  <c r="G10" i="16"/>
  <c r="G11" i="16"/>
  <c r="G2" i="16"/>
  <c r="N2" i="16"/>
  <c r="AG2" i="16" l="1"/>
  <c r="N5" i="16"/>
  <c r="O13" i="17" l="1"/>
  <c r="AI2" i="18" s="1"/>
  <c r="AG5" i="16"/>
  <c r="K13" i="17"/>
  <c r="C13" i="16"/>
  <c r="D13" i="16"/>
  <c r="N12" i="16"/>
  <c r="AG12" i="16" s="1"/>
  <c r="G12" i="16"/>
  <c r="G13" i="16" s="1"/>
  <c r="F13" i="16"/>
  <c r="E4" i="18" l="1"/>
  <c r="M4" i="18" s="1"/>
  <c r="S4" i="18" s="1"/>
  <c r="C13" i="18" s="1"/>
  <c r="A12" i="16" l="1"/>
  <c r="A11" i="16"/>
  <c r="A10" i="16"/>
  <c r="A9" i="16"/>
  <c r="A8" i="16"/>
  <c r="A7" i="16"/>
  <c r="A6" i="16"/>
  <c r="A5" i="16"/>
  <c r="A4" i="16"/>
  <c r="A3" i="16"/>
  <c r="A2" i="16"/>
  <c r="G12" i="15"/>
  <c r="G11" i="15"/>
  <c r="G10" i="15"/>
  <c r="G9" i="15"/>
  <c r="G8" i="15"/>
  <c r="G7" i="15"/>
  <c r="G6" i="15"/>
  <c r="G5" i="15" l="1"/>
  <c r="G4" i="15" l="1"/>
  <c r="G3" i="15" l="1"/>
  <c r="G2" i="15" l="1"/>
  <c r="G13" i="15" s="1"/>
  <c r="E3" i="15" l="1"/>
  <c r="Q3" i="15" s="1"/>
  <c r="E4" i="15"/>
  <c r="Q4" i="15" s="1"/>
  <c r="E5" i="15"/>
  <c r="Q5" i="15" s="1"/>
  <c r="E6" i="15"/>
  <c r="Q6" i="15" s="1"/>
  <c r="E7" i="15"/>
  <c r="Q7" i="15" s="1"/>
  <c r="E8" i="15"/>
  <c r="Q8" i="15" s="1"/>
  <c r="E9" i="15"/>
  <c r="Q9" i="15" s="1"/>
  <c r="E10" i="15"/>
  <c r="Q10" i="15" s="1"/>
  <c r="E11" i="15"/>
  <c r="Q11" i="15" s="1"/>
  <c r="E12" i="15"/>
  <c r="Q12" i="15" s="1"/>
  <c r="E2" i="15"/>
  <c r="Q2" i="15" s="1"/>
  <c r="O11" i="14"/>
  <c r="H11" i="15" s="1"/>
  <c r="R11" i="15" s="1"/>
  <c r="N11" i="14"/>
  <c r="L11" i="14"/>
  <c r="K11" i="14"/>
  <c r="S11" i="14" s="1"/>
  <c r="J11" i="14"/>
  <c r="R11" i="14" s="1"/>
  <c r="O10" i="14" l="1"/>
  <c r="H10" i="15" s="1"/>
  <c r="R10" i="15" s="1"/>
  <c r="N10" i="14"/>
  <c r="J10" i="14"/>
  <c r="R10" i="14" s="1"/>
  <c r="L10" i="14" l="1"/>
  <c r="N9" i="14" l="1"/>
  <c r="O9" i="14"/>
  <c r="H9" i="15" s="1"/>
  <c r="R9" i="15" s="1"/>
  <c r="L9" i="14"/>
  <c r="K9" i="14"/>
  <c r="S9" i="14" s="1"/>
  <c r="J9" i="14"/>
  <c r="R9" i="14" s="1"/>
  <c r="N8" i="14" l="1"/>
  <c r="K8" i="14"/>
  <c r="S8" i="14" s="1"/>
  <c r="L8" i="14" l="1"/>
  <c r="J8" i="14"/>
  <c r="R8" i="14" s="1"/>
  <c r="O8" i="14"/>
  <c r="H8" i="15" s="1"/>
  <c r="R8" i="15" s="1"/>
  <c r="O7" i="14" l="1"/>
  <c r="H7" i="15" s="1"/>
  <c r="R7" i="15" s="1"/>
  <c r="N7" i="14"/>
  <c r="J7" i="14" l="1"/>
  <c r="R7" i="14" s="1"/>
  <c r="K7" i="14" l="1"/>
  <c r="S7" i="14" s="1"/>
  <c r="O6" i="14" l="1"/>
  <c r="H6" i="15" s="1"/>
  <c r="R6" i="15" s="1"/>
  <c r="N6" i="14"/>
  <c r="K6" i="14"/>
  <c r="S6" i="14" s="1"/>
  <c r="J6" i="14"/>
  <c r="R6" i="14" s="1"/>
  <c r="L6" i="14" l="1"/>
  <c r="O5" i="14" l="1"/>
  <c r="H5" i="15" s="1"/>
  <c r="R5" i="15" s="1"/>
  <c r="N5" i="14"/>
  <c r="L5" i="14"/>
  <c r="K5" i="14"/>
  <c r="S5" i="14" s="1"/>
  <c r="J5" i="14"/>
  <c r="R5" i="14" s="1"/>
  <c r="N4" i="14" l="1"/>
  <c r="L4" i="14"/>
  <c r="K4" i="14"/>
  <c r="S4" i="14" s="1"/>
  <c r="J4" i="14"/>
  <c r="R4" i="14" s="1"/>
  <c r="O4" i="14"/>
  <c r="H4" i="15" s="1"/>
  <c r="R4" i="15" s="1"/>
  <c r="O3" i="14" l="1"/>
  <c r="H3" i="15" s="1"/>
  <c r="R3" i="15" s="1"/>
  <c r="N3" i="14"/>
  <c r="K3" i="14" l="1"/>
  <c r="S3" i="14" s="1"/>
  <c r="J3" i="14"/>
  <c r="R3" i="14" s="1"/>
  <c r="N2" i="14" l="1"/>
  <c r="L2" i="14"/>
  <c r="K2" i="14"/>
  <c r="S2" i="14" s="1"/>
  <c r="J2" i="14"/>
  <c r="R2" i="14" s="1"/>
  <c r="H2" i="15" l="1"/>
  <c r="R2" i="15" s="1"/>
  <c r="AE2" i="16" s="1"/>
  <c r="O12" i="14" l="1"/>
  <c r="M3" i="14"/>
  <c r="B25" i="14"/>
  <c r="C25" i="14"/>
  <c r="M12" i="14" s="1"/>
  <c r="D25" i="14"/>
  <c r="J12" i="15" s="1"/>
  <c r="K12" i="15" s="1"/>
  <c r="O13" i="14" l="1"/>
  <c r="H12" i="15"/>
  <c r="R12" i="15" s="1"/>
  <c r="N12" i="14"/>
  <c r="N13" i="14" s="1"/>
  <c r="B4" i="18" s="1"/>
  <c r="J4" i="18" s="1"/>
  <c r="L12" i="14"/>
  <c r="K12" i="14"/>
  <c r="J12" i="14"/>
  <c r="D4" i="18" l="1"/>
  <c r="L4" i="18" s="1"/>
  <c r="R4" i="18" s="1"/>
  <c r="B13" i="18" s="1"/>
  <c r="D13" i="18" s="1"/>
  <c r="AB3" i="18" s="1"/>
  <c r="AH2" i="18"/>
  <c r="T4" i="18"/>
  <c r="J13" i="14"/>
  <c r="R13" i="14" s="1"/>
  <c r="R12" i="14"/>
  <c r="K13" i="14"/>
  <c r="S13" i="14" s="1"/>
  <c r="S12" i="14"/>
  <c r="D23" i="14"/>
  <c r="J10" i="15" s="1"/>
  <c r="K10" i="15" s="1"/>
  <c r="C23" i="14"/>
  <c r="M10" i="14" s="1"/>
  <c r="B23" i="14"/>
  <c r="D22" i="14" l="1"/>
  <c r="J9" i="15" s="1"/>
  <c r="K9" i="15" s="1"/>
  <c r="C22" i="14"/>
  <c r="M9" i="14" s="1"/>
  <c r="B22" i="14"/>
  <c r="D21" i="14" l="1"/>
  <c r="J8" i="15" s="1"/>
  <c r="K8" i="15" s="1"/>
  <c r="C21" i="14"/>
  <c r="M8" i="14" s="1"/>
  <c r="B21" i="14"/>
  <c r="D20" i="14" l="1"/>
  <c r="J7" i="15" s="1"/>
  <c r="K7" i="15" s="1"/>
  <c r="C20" i="14"/>
  <c r="M7" i="14" s="1"/>
  <c r="B20" i="14"/>
  <c r="D19" i="14" l="1"/>
  <c r="J6" i="15" s="1"/>
  <c r="K6" i="15" s="1"/>
  <c r="C19" i="14"/>
  <c r="M6" i="14" s="1"/>
  <c r="B19" i="14"/>
  <c r="D18" i="14" l="1"/>
  <c r="J5" i="15" s="1"/>
  <c r="K5" i="15" s="1"/>
  <c r="C18" i="14"/>
  <c r="M5" i="14" s="1"/>
  <c r="B18" i="14"/>
  <c r="D17" i="14"/>
  <c r="J4" i="15" s="1"/>
  <c r="K4" i="15" s="1"/>
  <c r="C17" i="14"/>
  <c r="M4" i="14" s="1"/>
  <c r="B17" i="14"/>
  <c r="D16" i="14" l="1"/>
  <c r="J3" i="15" s="1"/>
  <c r="K3" i="15" s="1"/>
  <c r="B16" i="14"/>
  <c r="D15" i="14" l="1"/>
  <c r="J2" i="15" s="1"/>
  <c r="K2" i="15" s="1"/>
  <c r="C15" i="14"/>
  <c r="B15" i="14"/>
  <c r="M2" i="14" l="1"/>
  <c r="D24" i="14"/>
  <c r="C24" i="14"/>
  <c r="M11" i="14" s="1"/>
  <c r="B24" i="14"/>
  <c r="B26" i="14" s="1"/>
  <c r="D2" i="18" s="1"/>
  <c r="M13" i="14" l="1"/>
  <c r="D26" i="14"/>
  <c r="B8" i="18" s="1"/>
  <c r="J5" i="18" s="1"/>
  <c r="J11" i="15"/>
  <c r="K11" i="15" s="1"/>
  <c r="C26" i="14"/>
  <c r="F11" i="14"/>
  <c r="B11" i="15" s="1"/>
  <c r="F11" i="15" s="1"/>
  <c r="E11" i="14"/>
  <c r="D11" i="14"/>
  <c r="C11" i="14"/>
  <c r="B11" i="14"/>
  <c r="F10" i="14" l="1"/>
  <c r="B10" i="15" s="1"/>
  <c r="F10" i="15" s="1"/>
  <c r="E10" i="14"/>
  <c r="D10" i="14"/>
  <c r="C10" i="14"/>
  <c r="B10" i="14"/>
  <c r="B9" i="14"/>
  <c r="F9" i="14" l="1"/>
  <c r="B9" i="15" s="1"/>
  <c r="F9" i="15" s="1"/>
  <c r="E9" i="14"/>
  <c r="D9" i="14"/>
  <c r="C9" i="14"/>
  <c r="B6" i="14"/>
  <c r="F8" i="14" l="1"/>
  <c r="B8" i="15" s="1"/>
  <c r="F8" i="15" s="1"/>
  <c r="E8" i="14"/>
  <c r="D8" i="14"/>
  <c r="C8" i="14"/>
  <c r="B8" i="14"/>
  <c r="F7" i="14" l="1"/>
  <c r="B7" i="15" s="1"/>
  <c r="F7" i="15" s="1"/>
  <c r="D7" i="14"/>
  <c r="C7" i="14"/>
  <c r="B7" i="14" l="1"/>
  <c r="F6" i="14" l="1"/>
  <c r="B6" i="15" s="1"/>
  <c r="F6" i="15" s="1"/>
  <c r="D6" i="14"/>
  <c r="C6" i="14"/>
  <c r="F5" i="14" l="1"/>
  <c r="B5" i="15" s="1"/>
  <c r="F5" i="15" s="1"/>
  <c r="E5" i="14"/>
  <c r="D5" i="14"/>
  <c r="C5" i="14"/>
  <c r="B5" i="14"/>
  <c r="F4" i="14" l="1"/>
  <c r="B4" i="15" s="1"/>
  <c r="F4" i="15" s="1"/>
  <c r="E4" i="14"/>
  <c r="D4" i="14"/>
  <c r="C4" i="14"/>
  <c r="F2" i="14" l="1"/>
  <c r="B2" i="15" s="1"/>
  <c r="F2" i="15" s="1"/>
  <c r="E2" i="14"/>
  <c r="D2" i="14"/>
  <c r="C2" i="14"/>
  <c r="B2" i="14"/>
  <c r="F3" i="14" l="1"/>
  <c r="B3" i="15" s="1"/>
  <c r="F3" i="15" s="1"/>
  <c r="E3" i="14"/>
  <c r="B3" i="14"/>
  <c r="C3" i="14" l="1"/>
  <c r="D3" i="14" l="1"/>
  <c r="E12" i="14" l="1"/>
  <c r="B5" i="18" s="1"/>
  <c r="D12" i="14"/>
  <c r="C12" i="14"/>
  <c r="B12" i="14"/>
  <c r="B2" i="18" s="1"/>
  <c r="B3" i="18" l="1"/>
  <c r="S24" i="13"/>
  <c r="T24" i="13"/>
  <c r="U24" i="13"/>
  <c r="V24" i="13"/>
  <c r="S25" i="13"/>
  <c r="T25" i="13"/>
  <c r="U25" i="13"/>
  <c r="V25" i="13"/>
  <c r="S26" i="13"/>
  <c r="T26" i="13"/>
  <c r="U26" i="13"/>
  <c r="V26" i="13"/>
  <c r="S27" i="13"/>
  <c r="T27" i="13"/>
  <c r="U27" i="13"/>
  <c r="V27" i="13"/>
  <c r="S18" i="13"/>
  <c r="T18" i="13"/>
  <c r="U18" i="13"/>
  <c r="V18" i="13"/>
  <c r="S19" i="13"/>
  <c r="T19" i="13"/>
  <c r="U19" i="13"/>
  <c r="V19" i="13"/>
  <c r="S20" i="13"/>
  <c r="T20" i="13"/>
  <c r="U20" i="13"/>
  <c r="V20" i="13"/>
  <c r="S21" i="13"/>
  <c r="T21" i="13"/>
  <c r="U21" i="13"/>
  <c r="V21" i="13"/>
  <c r="S10" i="13"/>
  <c r="T10" i="13"/>
  <c r="U10" i="13"/>
  <c r="V10" i="13"/>
  <c r="W10" i="13"/>
  <c r="S11" i="13"/>
  <c r="T11" i="13"/>
  <c r="U11" i="13"/>
  <c r="V11" i="13"/>
  <c r="W11" i="13"/>
  <c r="S12" i="13"/>
  <c r="T12" i="13"/>
  <c r="U12" i="13"/>
  <c r="V12" i="13"/>
  <c r="W12" i="13"/>
  <c r="S13" i="13"/>
  <c r="T13" i="13"/>
  <c r="U13" i="13"/>
  <c r="V13" i="13"/>
  <c r="W13" i="13"/>
  <c r="S14" i="13"/>
  <c r="T14" i="13"/>
  <c r="U14" i="13"/>
  <c r="V14" i="13"/>
  <c r="W14" i="13"/>
  <c r="S15" i="13"/>
  <c r="T15" i="13"/>
  <c r="U15" i="13"/>
  <c r="V15" i="13"/>
  <c r="W15" i="13"/>
  <c r="S2" i="13"/>
  <c r="T2" i="13"/>
  <c r="U2" i="13"/>
  <c r="V2" i="13"/>
  <c r="W2" i="13"/>
  <c r="S3" i="13"/>
  <c r="T3" i="13"/>
  <c r="U3" i="13"/>
  <c r="V3" i="13"/>
  <c r="W3" i="13"/>
  <c r="S4" i="13"/>
  <c r="T4" i="13"/>
  <c r="U4" i="13"/>
  <c r="V4" i="13"/>
  <c r="W4" i="13"/>
  <c r="S5" i="13"/>
  <c r="T5" i="13"/>
  <c r="U5" i="13"/>
  <c r="V5" i="13"/>
  <c r="W5" i="13"/>
  <c r="S6" i="13"/>
  <c r="T6" i="13"/>
  <c r="U6" i="13"/>
  <c r="V6" i="13"/>
  <c r="W6" i="13"/>
  <c r="S7" i="13"/>
  <c r="T7" i="13"/>
  <c r="U7" i="13"/>
  <c r="V7" i="13"/>
  <c r="W7" i="13"/>
  <c r="K24" i="13"/>
  <c r="L24" i="13"/>
  <c r="M24" i="13"/>
  <c r="N24" i="13"/>
  <c r="K25" i="13"/>
  <c r="L25" i="13"/>
  <c r="M25" i="13"/>
  <c r="N25" i="13"/>
  <c r="K26" i="13"/>
  <c r="L26" i="13"/>
  <c r="M26" i="13"/>
  <c r="N26" i="13"/>
  <c r="K27" i="13"/>
  <c r="L27" i="13"/>
  <c r="M27" i="13"/>
  <c r="N27" i="13"/>
  <c r="K18" i="13"/>
  <c r="L18" i="13"/>
  <c r="M18" i="13"/>
  <c r="N18" i="13"/>
  <c r="K19" i="13"/>
  <c r="L19" i="13"/>
  <c r="M19" i="13"/>
  <c r="N19" i="13"/>
  <c r="K20" i="13"/>
  <c r="L20" i="13"/>
  <c r="M20" i="13"/>
  <c r="N20" i="13"/>
  <c r="K21" i="13"/>
  <c r="L21" i="13"/>
  <c r="M21" i="13"/>
  <c r="N21" i="13"/>
  <c r="K10" i="13"/>
  <c r="L10" i="13"/>
  <c r="M10" i="13"/>
  <c r="N10" i="13"/>
  <c r="O10" i="13"/>
  <c r="K11" i="13"/>
  <c r="L11" i="13"/>
  <c r="M11" i="13"/>
  <c r="N11" i="13"/>
  <c r="O11" i="13"/>
  <c r="K12" i="13"/>
  <c r="L12" i="13"/>
  <c r="M12" i="13"/>
  <c r="N12" i="13"/>
  <c r="O12" i="13"/>
  <c r="K13" i="13"/>
  <c r="L13" i="13"/>
  <c r="M13" i="13"/>
  <c r="N13" i="13"/>
  <c r="O13" i="13"/>
  <c r="K14" i="13"/>
  <c r="L14" i="13"/>
  <c r="M14" i="13"/>
  <c r="N14" i="13"/>
  <c r="O14" i="13"/>
  <c r="K15" i="13"/>
  <c r="L15" i="13"/>
  <c r="M15" i="13"/>
  <c r="N15" i="13"/>
  <c r="O15" i="13"/>
  <c r="K2" i="13"/>
  <c r="L2" i="13"/>
  <c r="M2" i="13"/>
  <c r="N2" i="13"/>
  <c r="O2" i="13"/>
  <c r="K3" i="13"/>
  <c r="L3" i="13"/>
  <c r="M3" i="13"/>
  <c r="N3" i="13"/>
  <c r="O3" i="13"/>
  <c r="K4" i="13"/>
  <c r="L4" i="13"/>
  <c r="M4" i="13"/>
  <c r="N4" i="13"/>
  <c r="O4" i="13"/>
  <c r="K5" i="13"/>
  <c r="L5" i="13"/>
  <c r="M5" i="13"/>
  <c r="N5" i="13"/>
  <c r="O5" i="13"/>
  <c r="K6" i="13"/>
  <c r="L6" i="13"/>
  <c r="M6" i="13"/>
  <c r="N6" i="13"/>
  <c r="O6" i="13"/>
  <c r="K7" i="13"/>
  <c r="L7" i="13"/>
  <c r="M7" i="13"/>
  <c r="N7" i="13"/>
  <c r="O7" i="13"/>
  <c r="C24" i="13"/>
  <c r="D24" i="13"/>
  <c r="E24" i="13"/>
  <c r="F24" i="13"/>
  <c r="C25" i="13"/>
  <c r="D25" i="13"/>
  <c r="E25" i="13"/>
  <c r="F25" i="13"/>
  <c r="C26" i="13"/>
  <c r="D26" i="13"/>
  <c r="E26" i="13"/>
  <c r="F26" i="13"/>
  <c r="C27" i="13"/>
  <c r="D27" i="13"/>
  <c r="E27" i="13"/>
  <c r="F27" i="13"/>
  <c r="C18" i="13"/>
  <c r="D18" i="13"/>
  <c r="E18" i="13"/>
  <c r="F18" i="13"/>
  <c r="C19" i="13"/>
  <c r="D19" i="13"/>
  <c r="E19" i="13"/>
  <c r="F19" i="13"/>
  <c r="C20" i="13"/>
  <c r="D20" i="13"/>
  <c r="E20" i="13"/>
  <c r="F20" i="13"/>
  <c r="C21" i="13"/>
  <c r="D21" i="13"/>
  <c r="E21" i="13"/>
  <c r="F21" i="13"/>
  <c r="C10" i="13"/>
  <c r="D10" i="13"/>
  <c r="E10" i="13"/>
  <c r="F10" i="13"/>
  <c r="G10" i="13"/>
  <c r="C11" i="13"/>
  <c r="D11" i="13"/>
  <c r="E11" i="13"/>
  <c r="F11" i="13"/>
  <c r="G11" i="13"/>
  <c r="C12" i="13"/>
  <c r="D12" i="13"/>
  <c r="E12" i="13"/>
  <c r="F12" i="13"/>
  <c r="G12" i="13"/>
  <c r="C13" i="13"/>
  <c r="D13" i="13"/>
  <c r="E13" i="13"/>
  <c r="F13" i="13"/>
  <c r="G13" i="13"/>
  <c r="C14" i="13"/>
  <c r="D14" i="13"/>
  <c r="E14" i="13"/>
  <c r="F14" i="13"/>
  <c r="G14" i="13"/>
  <c r="C15" i="13"/>
  <c r="D15" i="13"/>
  <c r="E15" i="13"/>
  <c r="F15" i="13"/>
  <c r="G15" i="13"/>
  <c r="C2" i="13"/>
  <c r="D2" i="13"/>
  <c r="E2" i="13"/>
  <c r="F2" i="13"/>
  <c r="G2" i="13"/>
  <c r="C3" i="13"/>
  <c r="D3" i="13"/>
  <c r="E3" i="13"/>
  <c r="F3" i="13"/>
  <c r="G3" i="13"/>
  <c r="C4" i="13"/>
  <c r="D4" i="13"/>
  <c r="E4" i="13"/>
  <c r="F4" i="13"/>
  <c r="G4" i="13"/>
  <c r="C5" i="13"/>
  <c r="D5" i="13"/>
  <c r="E5" i="13"/>
  <c r="F5" i="13"/>
  <c r="G5" i="13"/>
  <c r="C6" i="13"/>
  <c r="D6" i="13"/>
  <c r="E6" i="13"/>
  <c r="F6" i="13"/>
  <c r="G6" i="13"/>
  <c r="C7" i="13"/>
  <c r="D7" i="13"/>
  <c r="E7" i="13"/>
  <c r="F7" i="13"/>
  <c r="G7" i="13"/>
  <c r="R27" i="13"/>
  <c r="R26" i="13"/>
  <c r="R25" i="13"/>
  <c r="R24" i="13"/>
  <c r="R21" i="13"/>
  <c r="R20" i="13"/>
  <c r="R19" i="13"/>
  <c r="R18" i="13"/>
  <c r="R15" i="13"/>
  <c r="R14" i="13"/>
  <c r="R13" i="13"/>
  <c r="R12" i="13"/>
  <c r="R11" i="13"/>
  <c r="R10" i="13"/>
  <c r="R7" i="13"/>
  <c r="R6" i="13"/>
  <c r="R5" i="13"/>
  <c r="R4" i="13"/>
  <c r="R3" i="13"/>
  <c r="R2" i="13"/>
  <c r="J27" i="13"/>
  <c r="J26" i="13"/>
  <c r="J25" i="13"/>
  <c r="J24" i="13"/>
  <c r="J21" i="13"/>
  <c r="J20" i="13"/>
  <c r="J19" i="13"/>
  <c r="J18" i="13"/>
  <c r="J15" i="13"/>
  <c r="J14" i="13"/>
  <c r="J13" i="13"/>
  <c r="J12" i="13"/>
  <c r="J11" i="13"/>
  <c r="J10" i="13"/>
  <c r="J7" i="13"/>
  <c r="J6" i="13"/>
  <c r="J5" i="13"/>
  <c r="J4" i="13"/>
  <c r="J3" i="13"/>
  <c r="J2" i="13"/>
  <c r="B27" i="13"/>
  <c r="B26" i="13"/>
  <c r="B25" i="13"/>
  <c r="B24" i="13"/>
  <c r="B21" i="13"/>
  <c r="B20" i="13"/>
  <c r="B19" i="13"/>
  <c r="B18" i="13"/>
  <c r="B15" i="13"/>
  <c r="B14" i="13"/>
  <c r="B13" i="13"/>
  <c r="B12" i="13"/>
  <c r="B11" i="13"/>
  <c r="B10" i="13"/>
  <c r="B7" i="13"/>
  <c r="B6" i="13"/>
  <c r="B5" i="13"/>
  <c r="B4" i="13"/>
  <c r="B3" i="13"/>
  <c r="B2" i="13"/>
  <c r="Z15" i="3"/>
  <c r="Z14" i="3"/>
  <c r="Z13" i="3"/>
  <c r="Z12" i="3"/>
  <c r="Z11" i="3"/>
  <c r="Z10" i="3"/>
  <c r="Y15" i="3"/>
  <c r="Y14" i="3"/>
  <c r="Y13" i="3"/>
  <c r="Y12" i="3"/>
  <c r="Y11" i="3"/>
  <c r="Y10" i="3"/>
  <c r="X11" i="3"/>
  <c r="X12" i="3"/>
  <c r="X13" i="3"/>
  <c r="X14" i="3"/>
  <c r="X15" i="3"/>
  <c r="X10" i="3"/>
  <c r="W15" i="3"/>
  <c r="W14" i="3"/>
  <c r="W13" i="3"/>
  <c r="W12" i="3"/>
  <c r="W11" i="3"/>
  <c r="W10" i="3"/>
  <c r="AA10" i="3" l="1"/>
  <c r="I9" i="15"/>
  <c r="AA15" i="3"/>
  <c r="AA12" i="3"/>
  <c r="AA14" i="3"/>
  <c r="AA11" i="3"/>
  <c r="AA13" i="3"/>
  <c r="Z5" i="3"/>
  <c r="Z6" i="3"/>
  <c r="Z4" i="3"/>
  <c r="Z3" i="3"/>
  <c r="Z2" i="3"/>
  <c r="Y6" i="3"/>
  <c r="Y4" i="3"/>
  <c r="Y3" i="3"/>
  <c r="Y2" i="3"/>
  <c r="X3" i="3"/>
  <c r="X4" i="3"/>
  <c r="X5" i="3"/>
  <c r="X6" i="3"/>
  <c r="X2" i="3"/>
  <c r="W3" i="3"/>
  <c r="W4" i="3"/>
  <c r="W5" i="3"/>
  <c r="W6" i="3"/>
  <c r="W2" i="3"/>
  <c r="I7" i="15" l="1"/>
  <c r="AA6" i="3"/>
  <c r="AA3" i="3"/>
  <c r="AA4" i="3"/>
  <c r="AA2" i="3"/>
  <c r="Y5" i="3"/>
  <c r="AA5" i="3" s="1"/>
  <c r="S11" i="12"/>
  <c r="T11" i="12"/>
  <c r="U11" i="12"/>
  <c r="V11" i="12"/>
  <c r="S12" i="12"/>
  <c r="T12" i="12"/>
  <c r="U12" i="12"/>
  <c r="V12" i="12"/>
  <c r="S13" i="12"/>
  <c r="T13" i="12"/>
  <c r="U13" i="12"/>
  <c r="V13" i="12"/>
  <c r="S14" i="12"/>
  <c r="T14" i="12"/>
  <c r="U14" i="12"/>
  <c r="V14" i="12"/>
  <c r="K26" i="12"/>
  <c r="L26" i="12"/>
  <c r="M26" i="12"/>
  <c r="N26" i="12"/>
  <c r="K27" i="12"/>
  <c r="L27" i="12"/>
  <c r="M27" i="12"/>
  <c r="N27" i="12"/>
  <c r="K28" i="12"/>
  <c r="L28" i="12"/>
  <c r="M28" i="12"/>
  <c r="N28" i="12"/>
  <c r="K29" i="12"/>
  <c r="L29" i="12"/>
  <c r="M29" i="12"/>
  <c r="N29" i="12"/>
  <c r="K20" i="12"/>
  <c r="L20" i="12"/>
  <c r="M20" i="12"/>
  <c r="N20" i="12"/>
  <c r="K21" i="12"/>
  <c r="L21" i="12"/>
  <c r="M21" i="12"/>
  <c r="N21" i="12"/>
  <c r="K22" i="12"/>
  <c r="L22" i="12"/>
  <c r="M22" i="12"/>
  <c r="N22" i="12"/>
  <c r="K23" i="12"/>
  <c r="L23" i="12"/>
  <c r="M23" i="12"/>
  <c r="N23" i="12"/>
  <c r="C26" i="12"/>
  <c r="D26" i="12"/>
  <c r="E26" i="12"/>
  <c r="F26" i="12"/>
  <c r="C27" i="12"/>
  <c r="D27" i="12"/>
  <c r="E27" i="12"/>
  <c r="F27" i="12"/>
  <c r="C28" i="12"/>
  <c r="D28" i="12"/>
  <c r="E28" i="12"/>
  <c r="F28" i="12"/>
  <c r="C29" i="12"/>
  <c r="D29" i="12"/>
  <c r="E29" i="12"/>
  <c r="F29" i="12"/>
  <c r="C20" i="12"/>
  <c r="D20" i="12"/>
  <c r="E20" i="12"/>
  <c r="F20" i="12"/>
  <c r="C21" i="12"/>
  <c r="D21" i="12"/>
  <c r="E21" i="12"/>
  <c r="F21" i="12"/>
  <c r="C22" i="12"/>
  <c r="D22" i="12"/>
  <c r="E22" i="12"/>
  <c r="F22" i="12"/>
  <c r="C23" i="12"/>
  <c r="D23" i="12"/>
  <c r="E23" i="12"/>
  <c r="F23" i="12"/>
  <c r="R14" i="12"/>
  <c r="R13" i="12"/>
  <c r="R12" i="12"/>
  <c r="R11" i="12"/>
  <c r="J29" i="12"/>
  <c r="J28" i="12"/>
  <c r="J27" i="12"/>
  <c r="J26" i="12"/>
  <c r="B29" i="12"/>
  <c r="B28" i="12"/>
  <c r="B27" i="12"/>
  <c r="B26" i="12"/>
  <c r="J23" i="12"/>
  <c r="J22" i="12"/>
  <c r="J21" i="12"/>
  <c r="J20" i="12"/>
  <c r="B23" i="12"/>
  <c r="B22" i="12"/>
  <c r="B21" i="12"/>
  <c r="B20" i="12"/>
  <c r="S2" i="12"/>
  <c r="T2" i="12"/>
  <c r="U2" i="12"/>
  <c r="V2" i="12"/>
  <c r="W2" i="12"/>
  <c r="S3" i="12"/>
  <c r="T3" i="12"/>
  <c r="U3" i="12"/>
  <c r="V3" i="12"/>
  <c r="W3" i="12"/>
  <c r="S4" i="12"/>
  <c r="T4" i="12"/>
  <c r="U4" i="12"/>
  <c r="V4" i="12"/>
  <c r="W4" i="12"/>
  <c r="S5" i="12"/>
  <c r="T5" i="12"/>
  <c r="U5" i="12"/>
  <c r="V5" i="12"/>
  <c r="W5" i="12"/>
  <c r="S6" i="12"/>
  <c r="T6" i="12"/>
  <c r="U6" i="12"/>
  <c r="V6" i="12"/>
  <c r="W6" i="12"/>
  <c r="S7" i="12"/>
  <c r="T7" i="12"/>
  <c r="U7" i="12"/>
  <c r="V7" i="12"/>
  <c r="W7" i="12"/>
  <c r="S8" i="12"/>
  <c r="T8" i="12"/>
  <c r="U8" i="12"/>
  <c r="V8" i="12"/>
  <c r="W8" i="12"/>
  <c r="R8" i="12"/>
  <c r="R7" i="12"/>
  <c r="R6" i="12"/>
  <c r="R5" i="12"/>
  <c r="R4" i="12"/>
  <c r="R3" i="12"/>
  <c r="R2" i="12"/>
  <c r="K11" i="12"/>
  <c r="L11" i="12"/>
  <c r="M11" i="12"/>
  <c r="N11" i="12"/>
  <c r="O11" i="12"/>
  <c r="K12" i="12"/>
  <c r="L12" i="12"/>
  <c r="M12" i="12"/>
  <c r="N12" i="12"/>
  <c r="O12" i="12"/>
  <c r="K13" i="12"/>
  <c r="L13" i="12"/>
  <c r="M13" i="12"/>
  <c r="N13" i="12"/>
  <c r="O13" i="12"/>
  <c r="K14" i="12"/>
  <c r="L14" i="12"/>
  <c r="M14" i="12"/>
  <c r="N14" i="12"/>
  <c r="O14" i="12"/>
  <c r="K15" i="12"/>
  <c r="L15" i="12"/>
  <c r="M15" i="12"/>
  <c r="N15" i="12"/>
  <c r="O15" i="12"/>
  <c r="K16" i="12"/>
  <c r="L16" i="12"/>
  <c r="M16" i="12"/>
  <c r="N16" i="12"/>
  <c r="O16" i="12"/>
  <c r="K17" i="12"/>
  <c r="L17" i="12"/>
  <c r="M17" i="12"/>
  <c r="N17" i="12"/>
  <c r="O17" i="12"/>
  <c r="J17" i="12"/>
  <c r="J16" i="12"/>
  <c r="J15" i="12"/>
  <c r="J14" i="12"/>
  <c r="J13" i="12"/>
  <c r="J12" i="12"/>
  <c r="J11" i="12"/>
  <c r="K2" i="12"/>
  <c r="L2" i="12"/>
  <c r="M2" i="12"/>
  <c r="N2" i="12"/>
  <c r="O2" i="12"/>
  <c r="K3" i="12"/>
  <c r="L3" i="12"/>
  <c r="M3" i="12"/>
  <c r="N3" i="12"/>
  <c r="O3" i="12"/>
  <c r="K4" i="12"/>
  <c r="L4" i="12"/>
  <c r="M4" i="12"/>
  <c r="N4" i="12"/>
  <c r="O4" i="12"/>
  <c r="K5" i="12"/>
  <c r="L5" i="12"/>
  <c r="M5" i="12"/>
  <c r="N5" i="12"/>
  <c r="O5" i="12"/>
  <c r="K6" i="12"/>
  <c r="L6" i="12"/>
  <c r="M6" i="12"/>
  <c r="N6" i="12"/>
  <c r="O6" i="12"/>
  <c r="K7" i="12"/>
  <c r="L7" i="12"/>
  <c r="M7" i="12"/>
  <c r="N7" i="12"/>
  <c r="O7" i="12"/>
  <c r="K8" i="12"/>
  <c r="L8" i="12"/>
  <c r="M8" i="12"/>
  <c r="N8" i="12"/>
  <c r="O8" i="12"/>
  <c r="J8" i="12"/>
  <c r="J7" i="12"/>
  <c r="J6" i="12"/>
  <c r="J5" i="12"/>
  <c r="J4" i="12"/>
  <c r="J3" i="12"/>
  <c r="J2" i="12"/>
  <c r="C11" i="12"/>
  <c r="D11" i="12"/>
  <c r="E11" i="12"/>
  <c r="F11" i="12"/>
  <c r="G11" i="12"/>
  <c r="C12" i="12"/>
  <c r="D12" i="12"/>
  <c r="E12" i="12"/>
  <c r="F12" i="12"/>
  <c r="G12" i="12"/>
  <c r="C13" i="12"/>
  <c r="D13" i="12"/>
  <c r="E13" i="12"/>
  <c r="F13" i="12"/>
  <c r="G13" i="12"/>
  <c r="C14" i="12"/>
  <c r="D14" i="12"/>
  <c r="E14" i="12"/>
  <c r="F14" i="12"/>
  <c r="G14" i="12"/>
  <c r="C15" i="12"/>
  <c r="D15" i="12"/>
  <c r="E15" i="12"/>
  <c r="F15" i="12"/>
  <c r="G15" i="12"/>
  <c r="C16" i="12"/>
  <c r="D16" i="12"/>
  <c r="E16" i="12"/>
  <c r="F16" i="12"/>
  <c r="G16" i="12"/>
  <c r="C17" i="12"/>
  <c r="D17" i="12"/>
  <c r="E17" i="12"/>
  <c r="F17" i="12"/>
  <c r="G17" i="12"/>
  <c r="B17" i="12"/>
  <c r="B16" i="12"/>
  <c r="B15" i="12"/>
  <c r="B14" i="12"/>
  <c r="B13" i="12"/>
  <c r="B12" i="12"/>
  <c r="B11" i="12"/>
  <c r="C2" i="12"/>
  <c r="D2" i="12"/>
  <c r="E2" i="12"/>
  <c r="F2" i="12"/>
  <c r="G2" i="12"/>
  <c r="C3" i="12"/>
  <c r="D3" i="12"/>
  <c r="E3" i="12"/>
  <c r="F3" i="12"/>
  <c r="G3" i="12"/>
  <c r="C4" i="12"/>
  <c r="D4" i="12"/>
  <c r="E4" i="12"/>
  <c r="F4" i="12"/>
  <c r="G4" i="12"/>
  <c r="C5" i="12"/>
  <c r="D5" i="12"/>
  <c r="E5" i="12"/>
  <c r="F5" i="12"/>
  <c r="G5" i="12"/>
  <c r="C6" i="12"/>
  <c r="D6" i="12"/>
  <c r="E6" i="12"/>
  <c r="F6" i="12"/>
  <c r="G6" i="12"/>
  <c r="C7" i="12"/>
  <c r="D7" i="12"/>
  <c r="E7" i="12"/>
  <c r="F7" i="12"/>
  <c r="G7" i="12"/>
  <c r="C8" i="12"/>
  <c r="D8" i="12"/>
  <c r="E8" i="12"/>
  <c r="F8" i="12"/>
  <c r="G8" i="12"/>
  <c r="B8" i="12"/>
  <c r="B7" i="12"/>
  <c r="B6" i="12"/>
  <c r="B5" i="12"/>
  <c r="B4" i="12"/>
  <c r="B3" i="12"/>
  <c r="B2" i="12"/>
  <c r="S22" i="3" l="1"/>
  <c r="S21" i="3"/>
  <c r="S20" i="3"/>
  <c r="S19" i="3"/>
  <c r="S18" i="3"/>
  <c r="S17" i="3"/>
  <c r="R22" i="3"/>
  <c r="R21" i="3"/>
  <c r="T21" i="3" s="1"/>
  <c r="R20" i="3"/>
  <c r="R19" i="3"/>
  <c r="R18" i="3"/>
  <c r="R17" i="3"/>
  <c r="Q18" i="3"/>
  <c r="Q19" i="3"/>
  <c r="Q20" i="3"/>
  <c r="Q21" i="3"/>
  <c r="Q22" i="3"/>
  <c r="Q17" i="3"/>
  <c r="P22" i="3"/>
  <c r="P21" i="3"/>
  <c r="P20" i="3"/>
  <c r="P19" i="3"/>
  <c r="P18" i="3"/>
  <c r="P17" i="3"/>
  <c r="S24" i="11"/>
  <c r="T24" i="11"/>
  <c r="U24" i="11"/>
  <c r="V24" i="11"/>
  <c r="S25" i="11"/>
  <c r="T25" i="11"/>
  <c r="U25" i="11"/>
  <c r="V25" i="11"/>
  <c r="S26" i="11"/>
  <c r="T26" i="11"/>
  <c r="U26" i="11"/>
  <c r="V26" i="11"/>
  <c r="S27" i="11"/>
  <c r="T27" i="11"/>
  <c r="U27" i="11"/>
  <c r="V27" i="11"/>
  <c r="S18" i="11"/>
  <c r="T18" i="11"/>
  <c r="U18" i="11"/>
  <c r="V18" i="11"/>
  <c r="S19" i="11"/>
  <c r="T19" i="11"/>
  <c r="U19" i="11"/>
  <c r="V19" i="11"/>
  <c r="S20" i="11"/>
  <c r="T20" i="11"/>
  <c r="U20" i="11"/>
  <c r="V20" i="11"/>
  <c r="S21" i="11"/>
  <c r="T21" i="11"/>
  <c r="U21" i="11"/>
  <c r="V21" i="11"/>
  <c r="K24" i="11"/>
  <c r="L24" i="11"/>
  <c r="M24" i="11"/>
  <c r="N24" i="11"/>
  <c r="K25" i="11"/>
  <c r="L25" i="11"/>
  <c r="M25" i="11"/>
  <c r="N25" i="11"/>
  <c r="K26" i="11"/>
  <c r="L26" i="11"/>
  <c r="M26" i="11"/>
  <c r="N26" i="11"/>
  <c r="K27" i="11"/>
  <c r="L27" i="11"/>
  <c r="M27" i="11"/>
  <c r="N27" i="11"/>
  <c r="K18" i="11"/>
  <c r="L18" i="11"/>
  <c r="M18" i="11"/>
  <c r="N18" i="11"/>
  <c r="K19" i="11"/>
  <c r="L19" i="11"/>
  <c r="M19" i="11"/>
  <c r="N19" i="11"/>
  <c r="K20" i="11"/>
  <c r="L20" i="11"/>
  <c r="M20" i="11"/>
  <c r="N20" i="11"/>
  <c r="K21" i="11"/>
  <c r="L21" i="11"/>
  <c r="M21" i="11"/>
  <c r="N21" i="11"/>
  <c r="C24" i="11"/>
  <c r="D24" i="11"/>
  <c r="E24" i="11"/>
  <c r="F24" i="11"/>
  <c r="C25" i="11"/>
  <c r="D25" i="11"/>
  <c r="E25" i="11"/>
  <c r="F25" i="11"/>
  <c r="C26" i="11"/>
  <c r="D26" i="11"/>
  <c r="E26" i="11"/>
  <c r="F26" i="11"/>
  <c r="C27" i="11"/>
  <c r="D27" i="11"/>
  <c r="E27" i="11"/>
  <c r="F27" i="11"/>
  <c r="C18" i="11"/>
  <c r="D18" i="11"/>
  <c r="E18" i="11"/>
  <c r="F18" i="11"/>
  <c r="C19" i="11"/>
  <c r="D19" i="11"/>
  <c r="E19" i="11"/>
  <c r="F19" i="11"/>
  <c r="C20" i="11"/>
  <c r="D20" i="11"/>
  <c r="E20" i="11"/>
  <c r="F20" i="11"/>
  <c r="C21" i="11"/>
  <c r="D21" i="11"/>
  <c r="E21" i="11"/>
  <c r="F21" i="11"/>
  <c r="R27" i="11"/>
  <c r="R26" i="11"/>
  <c r="R25" i="11"/>
  <c r="R24" i="11"/>
  <c r="R21" i="11"/>
  <c r="R20" i="11"/>
  <c r="R19" i="11"/>
  <c r="R18" i="11"/>
  <c r="J27" i="11"/>
  <c r="J26" i="11"/>
  <c r="J25" i="11"/>
  <c r="J24" i="11"/>
  <c r="J21" i="11"/>
  <c r="J20" i="11"/>
  <c r="J19" i="11"/>
  <c r="J18" i="11"/>
  <c r="B27" i="11"/>
  <c r="B26" i="11"/>
  <c r="B25" i="11"/>
  <c r="B24" i="11"/>
  <c r="B21" i="11"/>
  <c r="B20" i="11"/>
  <c r="B19" i="11"/>
  <c r="B18" i="11"/>
  <c r="S10" i="11"/>
  <c r="T10" i="11"/>
  <c r="U10" i="11"/>
  <c r="V10" i="11"/>
  <c r="W10" i="11"/>
  <c r="S11" i="11"/>
  <c r="T11" i="11"/>
  <c r="U11" i="11"/>
  <c r="V11" i="11"/>
  <c r="W11" i="11"/>
  <c r="S12" i="11"/>
  <c r="T12" i="11"/>
  <c r="U12" i="11"/>
  <c r="V12" i="11"/>
  <c r="W12" i="11"/>
  <c r="S13" i="11"/>
  <c r="T13" i="11"/>
  <c r="U13" i="11"/>
  <c r="V13" i="11"/>
  <c r="W13" i="11"/>
  <c r="S14" i="11"/>
  <c r="T14" i="11"/>
  <c r="U14" i="11"/>
  <c r="V14" i="11"/>
  <c r="W14" i="11"/>
  <c r="S2" i="11"/>
  <c r="T2" i="11"/>
  <c r="U2" i="11"/>
  <c r="V2" i="11"/>
  <c r="W2" i="11"/>
  <c r="S3" i="11"/>
  <c r="T3" i="11"/>
  <c r="U3" i="11"/>
  <c r="V3" i="11"/>
  <c r="W3" i="11"/>
  <c r="S4" i="11"/>
  <c r="T4" i="11"/>
  <c r="U4" i="11"/>
  <c r="V4" i="11"/>
  <c r="W4" i="11"/>
  <c r="S5" i="11"/>
  <c r="T5" i="11"/>
  <c r="U5" i="11"/>
  <c r="V5" i="11"/>
  <c r="W5" i="11"/>
  <c r="S6" i="11"/>
  <c r="T6" i="11"/>
  <c r="U6" i="11"/>
  <c r="V6" i="11"/>
  <c r="W6" i="11"/>
  <c r="K10" i="11"/>
  <c r="L10" i="11"/>
  <c r="M10" i="11"/>
  <c r="N10" i="11"/>
  <c r="O10" i="11"/>
  <c r="K11" i="11"/>
  <c r="L11" i="11"/>
  <c r="M11" i="11"/>
  <c r="N11" i="11"/>
  <c r="O11" i="11"/>
  <c r="K12" i="11"/>
  <c r="L12" i="11"/>
  <c r="M12" i="11"/>
  <c r="N12" i="11"/>
  <c r="O12" i="11"/>
  <c r="K13" i="11"/>
  <c r="L13" i="11"/>
  <c r="M13" i="11"/>
  <c r="N13" i="11"/>
  <c r="O13" i="11"/>
  <c r="K14" i="11"/>
  <c r="L14" i="11"/>
  <c r="M14" i="11"/>
  <c r="N14" i="11"/>
  <c r="O14" i="11"/>
  <c r="K2" i="11"/>
  <c r="L2" i="11"/>
  <c r="M2" i="11"/>
  <c r="N2" i="11"/>
  <c r="O2" i="11"/>
  <c r="K3" i="11"/>
  <c r="L3" i="11"/>
  <c r="M3" i="11"/>
  <c r="N3" i="11"/>
  <c r="O3" i="11"/>
  <c r="K4" i="11"/>
  <c r="L4" i="11"/>
  <c r="M4" i="11"/>
  <c r="N4" i="11"/>
  <c r="O4" i="11"/>
  <c r="K5" i="11"/>
  <c r="L5" i="11"/>
  <c r="M5" i="11"/>
  <c r="N5" i="11"/>
  <c r="O5" i="11"/>
  <c r="K6" i="11"/>
  <c r="L6" i="11"/>
  <c r="M6" i="11"/>
  <c r="N6" i="11"/>
  <c r="O6" i="11"/>
  <c r="C10" i="11"/>
  <c r="D10" i="11"/>
  <c r="E10" i="11"/>
  <c r="F10" i="11"/>
  <c r="G10" i="11"/>
  <c r="C11" i="11"/>
  <c r="D11" i="11"/>
  <c r="E11" i="11"/>
  <c r="F11" i="11"/>
  <c r="G11" i="11"/>
  <c r="C12" i="11"/>
  <c r="D12" i="11"/>
  <c r="E12" i="11"/>
  <c r="F12" i="11"/>
  <c r="G12" i="11"/>
  <c r="C13" i="11"/>
  <c r="D13" i="11"/>
  <c r="E13" i="11"/>
  <c r="F13" i="11"/>
  <c r="G13" i="11"/>
  <c r="C14" i="11"/>
  <c r="D14" i="11"/>
  <c r="E14" i="11"/>
  <c r="F14" i="11"/>
  <c r="G14" i="11"/>
  <c r="C2" i="11"/>
  <c r="D2" i="11"/>
  <c r="E2" i="11"/>
  <c r="F2" i="11"/>
  <c r="G2" i="11"/>
  <c r="C3" i="11"/>
  <c r="D3" i="11"/>
  <c r="E3" i="11"/>
  <c r="F3" i="11"/>
  <c r="G3" i="11"/>
  <c r="C4" i="11"/>
  <c r="D4" i="11"/>
  <c r="E4" i="11"/>
  <c r="F4" i="11"/>
  <c r="G4" i="11"/>
  <c r="C5" i="11"/>
  <c r="D5" i="11"/>
  <c r="E5" i="11"/>
  <c r="F5" i="11"/>
  <c r="G5" i="11"/>
  <c r="C6" i="11"/>
  <c r="D6" i="11"/>
  <c r="E6" i="11"/>
  <c r="F6" i="11"/>
  <c r="G6" i="11"/>
  <c r="R14" i="11"/>
  <c r="R13" i="11"/>
  <c r="R6" i="11"/>
  <c r="R5" i="11"/>
  <c r="J14" i="11"/>
  <c r="J13" i="11"/>
  <c r="J6" i="11"/>
  <c r="J5" i="11"/>
  <c r="B14" i="11"/>
  <c r="B13" i="11"/>
  <c r="B6" i="11"/>
  <c r="B5" i="11"/>
  <c r="R12" i="11"/>
  <c r="R11" i="11"/>
  <c r="R4" i="11"/>
  <c r="R3" i="11"/>
  <c r="R2" i="11"/>
  <c r="J12" i="11"/>
  <c r="J11" i="11"/>
  <c r="J10" i="11"/>
  <c r="J4" i="11"/>
  <c r="J3" i="11"/>
  <c r="J2" i="11"/>
  <c r="B12" i="11"/>
  <c r="B11" i="11"/>
  <c r="B10" i="11"/>
  <c r="B4" i="11"/>
  <c r="B3" i="11"/>
  <c r="B2" i="11"/>
  <c r="R10" i="11"/>
  <c r="I10" i="15" l="1"/>
  <c r="T22" i="3"/>
  <c r="T20" i="3"/>
  <c r="T19" i="3"/>
  <c r="T17" i="3"/>
  <c r="T18" i="3"/>
  <c r="D7" i="11"/>
  <c r="C7" i="11"/>
  <c r="B7" i="11"/>
  <c r="U15" i="11"/>
  <c r="V15" i="11"/>
  <c r="S15" i="11"/>
  <c r="T15" i="11"/>
  <c r="R15" i="11"/>
  <c r="F7" i="11"/>
  <c r="T7" i="11"/>
  <c r="S7" i="11"/>
  <c r="U7" i="11"/>
  <c r="V7" i="11"/>
  <c r="R7" i="11"/>
  <c r="E7" i="11"/>
  <c r="N15" i="11"/>
  <c r="K15" i="11"/>
  <c r="L15" i="11"/>
  <c r="M15" i="11"/>
  <c r="J15" i="11"/>
  <c r="L7" i="11"/>
  <c r="K7" i="11"/>
  <c r="N7" i="11"/>
  <c r="M7" i="11"/>
  <c r="J7" i="11"/>
  <c r="F15" i="11"/>
  <c r="E15" i="11"/>
  <c r="D15" i="11"/>
  <c r="C15" i="11"/>
  <c r="B15" i="11"/>
  <c r="O15" i="11" l="1"/>
  <c r="W7" i="11"/>
  <c r="W15" i="11"/>
  <c r="O7" i="11"/>
  <c r="G15" i="11"/>
  <c r="G7" i="11"/>
  <c r="C44" i="10" l="1"/>
  <c r="D44" i="10"/>
  <c r="E44" i="10"/>
  <c r="F44" i="10"/>
  <c r="C45" i="10"/>
  <c r="D45" i="10"/>
  <c r="E45" i="10"/>
  <c r="F45" i="10"/>
  <c r="C46" i="10"/>
  <c r="D46" i="10"/>
  <c r="E46" i="10"/>
  <c r="F46" i="10"/>
  <c r="J24" i="10" s="1"/>
  <c r="C47" i="10"/>
  <c r="D47" i="10"/>
  <c r="E47" i="10"/>
  <c r="F47" i="10"/>
  <c r="B47" i="10"/>
  <c r="B46" i="10"/>
  <c r="B45" i="10"/>
  <c r="B44" i="10"/>
  <c r="C38" i="10"/>
  <c r="D38" i="10"/>
  <c r="E38" i="10"/>
  <c r="F38" i="10"/>
  <c r="G38" i="10"/>
  <c r="C39" i="10"/>
  <c r="D39" i="10"/>
  <c r="E39" i="10"/>
  <c r="F39" i="10"/>
  <c r="G39" i="10"/>
  <c r="C40" i="10"/>
  <c r="D40" i="10"/>
  <c r="E40" i="10"/>
  <c r="F40" i="10"/>
  <c r="G40" i="10"/>
  <c r="J23" i="10" s="1"/>
  <c r="C41" i="10"/>
  <c r="D41" i="10"/>
  <c r="E41" i="10"/>
  <c r="F41" i="10"/>
  <c r="G41" i="10"/>
  <c r="B41" i="10"/>
  <c r="B40" i="10"/>
  <c r="B39" i="10"/>
  <c r="B38" i="10"/>
  <c r="C32" i="10"/>
  <c r="D32" i="10"/>
  <c r="E32" i="10"/>
  <c r="F32" i="10"/>
  <c r="G32" i="10"/>
  <c r="C33" i="10"/>
  <c r="D33" i="10"/>
  <c r="E33" i="10"/>
  <c r="F33" i="10"/>
  <c r="G33" i="10"/>
  <c r="C34" i="10"/>
  <c r="D34" i="10"/>
  <c r="E34" i="10"/>
  <c r="F34" i="10"/>
  <c r="G34" i="10"/>
  <c r="J22" i="10" s="1"/>
  <c r="C35" i="10"/>
  <c r="D35" i="10"/>
  <c r="E35" i="10"/>
  <c r="F35" i="10"/>
  <c r="G35" i="10"/>
  <c r="B35" i="10"/>
  <c r="B34" i="10"/>
  <c r="B33" i="10"/>
  <c r="B32" i="10"/>
  <c r="C26" i="10"/>
  <c r="D26" i="10"/>
  <c r="E26" i="10"/>
  <c r="F26" i="10"/>
  <c r="G26" i="10"/>
  <c r="C27" i="10"/>
  <c r="D27" i="10"/>
  <c r="E27" i="10"/>
  <c r="F27" i="10"/>
  <c r="G27" i="10"/>
  <c r="C28" i="10"/>
  <c r="D28" i="10"/>
  <c r="E28" i="10"/>
  <c r="F28" i="10"/>
  <c r="G28" i="10"/>
  <c r="J21" i="10" s="1"/>
  <c r="C29" i="10"/>
  <c r="D29" i="10"/>
  <c r="E29" i="10"/>
  <c r="F29" i="10"/>
  <c r="G29" i="10"/>
  <c r="B29" i="10"/>
  <c r="B28" i="10"/>
  <c r="B27" i="10"/>
  <c r="B26" i="10"/>
  <c r="C20" i="10"/>
  <c r="D20" i="10"/>
  <c r="E20" i="10"/>
  <c r="F20" i="10"/>
  <c r="G20" i="10"/>
  <c r="C21" i="10"/>
  <c r="D21" i="10"/>
  <c r="E21" i="10"/>
  <c r="F21" i="10"/>
  <c r="G21" i="10"/>
  <c r="C22" i="10"/>
  <c r="D22" i="10"/>
  <c r="E22" i="10"/>
  <c r="F22" i="10"/>
  <c r="G22" i="10"/>
  <c r="J20" i="10" s="1"/>
  <c r="J25" i="10" s="1"/>
  <c r="Z4" i="14" s="1"/>
  <c r="AB4" i="14" s="1"/>
  <c r="C23" i="10"/>
  <c r="D23" i="10"/>
  <c r="E23" i="10"/>
  <c r="F23" i="10"/>
  <c r="G23" i="10"/>
  <c r="B23" i="10"/>
  <c r="B22" i="10"/>
  <c r="B21" i="10"/>
  <c r="B20" i="10"/>
  <c r="F7" i="10"/>
  <c r="E7" i="10"/>
  <c r="D7" i="10"/>
  <c r="C7" i="10"/>
  <c r="B7" i="10"/>
  <c r="Q6" i="10"/>
  <c r="R6" i="10"/>
  <c r="S6" i="10"/>
  <c r="T6" i="10"/>
  <c r="U6" i="10"/>
  <c r="Q7" i="10"/>
  <c r="R7" i="10"/>
  <c r="S7" i="10"/>
  <c r="T7" i="10"/>
  <c r="U7" i="10"/>
  <c r="Q8" i="10"/>
  <c r="R8" i="10"/>
  <c r="S8" i="10"/>
  <c r="T8" i="10"/>
  <c r="U8" i="10"/>
  <c r="Q2" i="10"/>
  <c r="R2" i="10"/>
  <c r="S2" i="10"/>
  <c r="T2" i="10"/>
  <c r="U2" i="10"/>
  <c r="Q3" i="10"/>
  <c r="R3" i="10"/>
  <c r="S3" i="10"/>
  <c r="T3" i="10"/>
  <c r="U3" i="10"/>
  <c r="Q4" i="10"/>
  <c r="R4" i="10"/>
  <c r="S4" i="10"/>
  <c r="T4" i="10"/>
  <c r="U4" i="10"/>
  <c r="P8" i="10"/>
  <c r="P7" i="10"/>
  <c r="P6" i="10"/>
  <c r="P4" i="10"/>
  <c r="P3" i="10"/>
  <c r="P2" i="10"/>
  <c r="J15" i="10"/>
  <c r="K15" i="10"/>
  <c r="L15" i="10"/>
  <c r="M15" i="10"/>
  <c r="J16" i="10"/>
  <c r="K16" i="10"/>
  <c r="L16" i="10"/>
  <c r="M16" i="10"/>
  <c r="J17" i="10"/>
  <c r="K17" i="10"/>
  <c r="L17" i="10"/>
  <c r="M17" i="10"/>
  <c r="J11" i="10"/>
  <c r="K11" i="10"/>
  <c r="L11" i="10"/>
  <c r="M11" i="10"/>
  <c r="J12" i="10"/>
  <c r="K12" i="10"/>
  <c r="L12" i="10"/>
  <c r="M12" i="10"/>
  <c r="J13" i="10"/>
  <c r="K13" i="10"/>
  <c r="L13" i="10"/>
  <c r="M13" i="10"/>
  <c r="I17" i="10"/>
  <c r="I16" i="10"/>
  <c r="I15" i="10"/>
  <c r="I13" i="10"/>
  <c r="I12" i="10"/>
  <c r="I11" i="10"/>
  <c r="J6" i="10"/>
  <c r="K6" i="10"/>
  <c r="L6" i="10"/>
  <c r="M6" i="10"/>
  <c r="J7" i="10"/>
  <c r="K7" i="10"/>
  <c r="L7" i="10"/>
  <c r="M7" i="10"/>
  <c r="J8" i="10"/>
  <c r="K8" i="10"/>
  <c r="L8" i="10"/>
  <c r="M8" i="10"/>
  <c r="J2" i="10"/>
  <c r="K2" i="10"/>
  <c r="L2" i="10"/>
  <c r="M2" i="10"/>
  <c r="J3" i="10"/>
  <c r="K3" i="10"/>
  <c r="L3" i="10"/>
  <c r="M3" i="10"/>
  <c r="J4" i="10"/>
  <c r="K4" i="10"/>
  <c r="L4" i="10"/>
  <c r="M4" i="10"/>
  <c r="I8" i="10"/>
  <c r="I7" i="10"/>
  <c r="I6" i="10"/>
  <c r="I4" i="10"/>
  <c r="I3" i="10"/>
  <c r="I2" i="10"/>
  <c r="C17" i="10"/>
  <c r="D17" i="10"/>
  <c r="E17" i="10"/>
  <c r="F17" i="10"/>
  <c r="B17" i="10"/>
  <c r="C15" i="10"/>
  <c r="D15" i="10"/>
  <c r="E15" i="10"/>
  <c r="F15" i="10"/>
  <c r="C12" i="10"/>
  <c r="D12" i="10"/>
  <c r="E12" i="10"/>
  <c r="F12" i="10"/>
  <c r="C13" i="10"/>
  <c r="D13" i="10"/>
  <c r="E13" i="10"/>
  <c r="F13" i="10"/>
  <c r="B15" i="10"/>
  <c r="B13" i="10"/>
  <c r="B12" i="10"/>
  <c r="F11" i="10"/>
  <c r="E11" i="10"/>
  <c r="D11" i="10"/>
  <c r="C11" i="10"/>
  <c r="B11" i="10"/>
  <c r="C16" i="10"/>
  <c r="D16" i="10"/>
  <c r="E16" i="10"/>
  <c r="F16" i="10"/>
  <c r="B16" i="10"/>
  <c r="C6" i="10"/>
  <c r="D6" i="10"/>
  <c r="E6" i="10"/>
  <c r="F6" i="10"/>
  <c r="C8" i="10"/>
  <c r="D8" i="10"/>
  <c r="E8" i="10"/>
  <c r="F8" i="10"/>
  <c r="B8" i="10"/>
  <c r="B6" i="10"/>
  <c r="C3" i="10"/>
  <c r="D3" i="10"/>
  <c r="E3" i="10"/>
  <c r="F3" i="10"/>
  <c r="C4" i="10"/>
  <c r="D4" i="10"/>
  <c r="E4" i="10"/>
  <c r="F4" i="10"/>
  <c r="B4" i="10"/>
  <c r="B3" i="10"/>
  <c r="U5" i="10"/>
  <c r="T5" i="10"/>
  <c r="S5" i="10"/>
  <c r="R5" i="10"/>
  <c r="Q5" i="10"/>
  <c r="P5" i="10"/>
  <c r="M14" i="10"/>
  <c r="L14" i="10"/>
  <c r="K14" i="10"/>
  <c r="J14" i="10"/>
  <c r="I14" i="10"/>
  <c r="M5" i="10"/>
  <c r="L5" i="10"/>
  <c r="K5" i="10"/>
  <c r="J5" i="10"/>
  <c r="I5" i="10"/>
  <c r="F14" i="10"/>
  <c r="E14" i="10"/>
  <c r="D14" i="10"/>
  <c r="C14" i="10"/>
  <c r="B14" i="10"/>
  <c r="F5" i="10"/>
  <c r="E5" i="10"/>
  <c r="D5" i="10"/>
  <c r="C5" i="10"/>
  <c r="B5" i="10"/>
  <c r="F2" i="10" l="1"/>
  <c r="E2" i="10"/>
  <c r="D2" i="10"/>
  <c r="C2" i="10"/>
  <c r="B2" i="10"/>
  <c r="Q11" i="3"/>
  <c r="Q12" i="3"/>
  <c r="Q13" i="3"/>
  <c r="Q14" i="3"/>
  <c r="Q10" i="3"/>
  <c r="S11" i="3" l="1"/>
  <c r="S13" i="3"/>
  <c r="P11" i="3"/>
  <c r="P12" i="3"/>
  <c r="P14" i="3"/>
  <c r="P13" i="3"/>
  <c r="P10" i="3"/>
  <c r="I4" i="15" l="1"/>
  <c r="S10" i="3"/>
  <c r="S14" i="3"/>
  <c r="S12" i="3"/>
  <c r="R13" i="3" l="1"/>
  <c r="T13" i="3" s="1"/>
  <c r="R12" i="3"/>
  <c r="T12" i="3" s="1"/>
  <c r="R14" i="3"/>
  <c r="T14" i="3" s="1"/>
  <c r="R10" i="3"/>
  <c r="T10" i="3" s="1"/>
  <c r="R11" i="3"/>
  <c r="T11" i="3" s="1"/>
  <c r="Q7" i="3" l="1"/>
  <c r="Q6" i="3"/>
  <c r="Q5" i="3"/>
  <c r="Q4" i="3"/>
  <c r="Q3" i="3"/>
  <c r="Q2" i="3"/>
  <c r="K39" i="9"/>
  <c r="L39" i="9"/>
  <c r="M39" i="9"/>
  <c r="N39" i="9"/>
  <c r="K40" i="9"/>
  <c r="L40" i="9"/>
  <c r="M40" i="9"/>
  <c r="N40" i="9"/>
  <c r="K41" i="9"/>
  <c r="L41" i="9"/>
  <c r="M41" i="9"/>
  <c r="N41" i="9"/>
  <c r="K34" i="9"/>
  <c r="L34" i="9"/>
  <c r="M34" i="9"/>
  <c r="N34" i="9"/>
  <c r="K35" i="9"/>
  <c r="L35" i="9"/>
  <c r="M35" i="9"/>
  <c r="N35" i="9"/>
  <c r="K36" i="9"/>
  <c r="L36" i="9"/>
  <c r="M36" i="9"/>
  <c r="N36" i="9"/>
  <c r="K29" i="9"/>
  <c r="L29" i="9"/>
  <c r="M29" i="9"/>
  <c r="N29" i="9"/>
  <c r="K30" i="9"/>
  <c r="L30" i="9"/>
  <c r="M30" i="9"/>
  <c r="N30" i="9"/>
  <c r="K31" i="9"/>
  <c r="L31" i="9"/>
  <c r="M31" i="9"/>
  <c r="N31" i="9"/>
  <c r="C39" i="9"/>
  <c r="D39" i="9"/>
  <c r="E39" i="9"/>
  <c r="F39" i="9"/>
  <c r="C40" i="9"/>
  <c r="D40" i="9"/>
  <c r="E40" i="9"/>
  <c r="F40" i="9"/>
  <c r="C41" i="9"/>
  <c r="D41" i="9"/>
  <c r="E41" i="9"/>
  <c r="F41" i="9"/>
  <c r="C34" i="9"/>
  <c r="D34" i="9"/>
  <c r="E34" i="9"/>
  <c r="F34" i="9"/>
  <c r="C35" i="9"/>
  <c r="D35" i="9"/>
  <c r="E35" i="9"/>
  <c r="F35" i="9"/>
  <c r="C36" i="9"/>
  <c r="D36" i="9"/>
  <c r="E36" i="9"/>
  <c r="F36" i="9"/>
  <c r="C29" i="9"/>
  <c r="D29" i="9"/>
  <c r="E29" i="9"/>
  <c r="F29" i="9"/>
  <c r="C30" i="9"/>
  <c r="D30" i="9"/>
  <c r="E30" i="9"/>
  <c r="F30" i="9"/>
  <c r="C31" i="9"/>
  <c r="D31" i="9"/>
  <c r="E31" i="9"/>
  <c r="F31" i="9"/>
  <c r="J41" i="9"/>
  <c r="J40" i="9"/>
  <c r="J39" i="9"/>
  <c r="J36" i="9"/>
  <c r="J35" i="9"/>
  <c r="J34" i="9"/>
  <c r="J31" i="9"/>
  <c r="J30" i="9"/>
  <c r="J29" i="9"/>
  <c r="B41" i="9"/>
  <c r="B40" i="9"/>
  <c r="B39" i="9"/>
  <c r="B36" i="9"/>
  <c r="B35" i="9"/>
  <c r="B34" i="9"/>
  <c r="B31" i="9"/>
  <c r="B30" i="9"/>
  <c r="B29" i="9"/>
  <c r="K20" i="9"/>
  <c r="L20" i="9"/>
  <c r="M20" i="9"/>
  <c r="N20" i="9"/>
  <c r="O20" i="9"/>
  <c r="K21" i="9"/>
  <c r="L21" i="9"/>
  <c r="M21" i="9"/>
  <c r="N21" i="9"/>
  <c r="O21" i="9"/>
  <c r="K22" i="9"/>
  <c r="L22" i="9"/>
  <c r="M22" i="9"/>
  <c r="N22" i="9"/>
  <c r="O22" i="9"/>
  <c r="K23" i="9"/>
  <c r="L23" i="9"/>
  <c r="M23" i="9"/>
  <c r="N23" i="9"/>
  <c r="O23" i="9"/>
  <c r="K24" i="9"/>
  <c r="L24" i="9"/>
  <c r="M24" i="9"/>
  <c r="N24" i="9"/>
  <c r="O24" i="9"/>
  <c r="K25" i="9"/>
  <c r="L25" i="9"/>
  <c r="M25" i="9"/>
  <c r="N25" i="9"/>
  <c r="O25" i="9"/>
  <c r="K26" i="9"/>
  <c r="L26" i="9"/>
  <c r="M26" i="9"/>
  <c r="N26" i="9"/>
  <c r="O26" i="9"/>
  <c r="J26" i="9"/>
  <c r="J25" i="9"/>
  <c r="J24" i="9"/>
  <c r="J23" i="9"/>
  <c r="J22" i="9"/>
  <c r="J21" i="9"/>
  <c r="J20" i="9"/>
  <c r="K11" i="9"/>
  <c r="L11" i="9"/>
  <c r="M11" i="9"/>
  <c r="N11" i="9"/>
  <c r="O11" i="9"/>
  <c r="K12" i="9"/>
  <c r="L12" i="9"/>
  <c r="M12" i="9"/>
  <c r="N12" i="9"/>
  <c r="O12" i="9"/>
  <c r="K13" i="9"/>
  <c r="L13" i="9"/>
  <c r="M13" i="9"/>
  <c r="N13" i="9"/>
  <c r="O13" i="9"/>
  <c r="K14" i="9"/>
  <c r="L14" i="9"/>
  <c r="M14" i="9"/>
  <c r="N14" i="9"/>
  <c r="O14" i="9"/>
  <c r="K15" i="9"/>
  <c r="L15" i="9"/>
  <c r="M15" i="9"/>
  <c r="N15" i="9"/>
  <c r="O15" i="9"/>
  <c r="K16" i="9"/>
  <c r="L16" i="9"/>
  <c r="M16" i="9"/>
  <c r="N16" i="9"/>
  <c r="O16" i="9"/>
  <c r="K17" i="9"/>
  <c r="L17" i="9"/>
  <c r="M17" i="9"/>
  <c r="N17" i="9"/>
  <c r="O17" i="9"/>
  <c r="J17" i="9"/>
  <c r="J16" i="9"/>
  <c r="J15" i="9"/>
  <c r="J14" i="9"/>
  <c r="J13" i="9"/>
  <c r="J12" i="9"/>
  <c r="J11" i="9"/>
  <c r="K2" i="9"/>
  <c r="L2" i="9"/>
  <c r="M2" i="9"/>
  <c r="N2" i="9"/>
  <c r="O2" i="9"/>
  <c r="K3" i="9"/>
  <c r="L3" i="9"/>
  <c r="M3" i="9"/>
  <c r="N3" i="9"/>
  <c r="O3" i="9"/>
  <c r="K4" i="9"/>
  <c r="L4" i="9"/>
  <c r="M4" i="9"/>
  <c r="N4" i="9"/>
  <c r="O4" i="9"/>
  <c r="K5" i="9"/>
  <c r="L5" i="9"/>
  <c r="M5" i="9"/>
  <c r="N5" i="9"/>
  <c r="O5" i="9"/>
  <c r="K6" i="9"/>
  <c r="L6" i="9"/>
  <c r="M6" i="9"/>
  <c r="N6" i="9"/>
  <c r="O6" i="9"/>
  <c r="J6" i="9"/>
  <c r="J5" i="9"/>
  <c r="J4" i="9"/>
  <c r="J3" i="9"/>
  <c r="J2" i="9"/>
  <c r="C20" i="9"/>
  <c r="D20" i="9"/>
  <c r="E20" i="9"/>
  <c r="F20" i="9"/>
  <c r="G20" i="9"/>
  <c r="C21" i="9"/>
  <c r="D21" i="9"/>
  <c r="E21" i="9"/>
  <c r="F21" i="9"/>
  <c r="G21" i="9"/>
  <c r="C22" i="9"/>
  <c r="D22" i="9"/>
  <c r="E22" i="9"/>
  <c r="F22" i="9"/>
  <c r="G22" i="9"/>
  <c r="C23" i="9"/>
  <c r="D23" i="9"/>
  <c r="E23" i="9"/>
  <c r="F23" i="9"/>
  <c r="G23" i="9"/>
  <c r="C24" i="9"/>
  <c r="D24" i="9"/>
  <c r="E24" i="9"/>
  <c r="F24" i="9"/>
  <c r="G24" i="9"/>
  <c r="C25" i="9"/>
  <c r="D25" i="9"/>
  <c r="E25" i="9"/>
  <c r="F25" i="9"/>
  <c r="G25" i="9"/>
  <c r="C26" i="9"/>
  <c r="D26" i="9"/>
  <c r="E26" i="9"/>
  <c r="F26" i="9"/>
  <c r="G26" i="9"/>
  <c r="B26" i="9"/>
  <c r="B25" i="9"/>
  <c r="B24" i="9"/>
  <c r="B23" i="9"/>
  <c r="B22" i="9"/>
  <c r="B21" i="9"/>
  <c r="B20" i="9"/>
  <c r="C11" i="9"/>
  <c r="D11" i="9"/>
  <c r="E11" i="9"/>
  <c r="F11" i="9"/>
  <c r="G11" i="9"/>
  <c r="C12" i="9"/>
  <c r="D12" i="9"/>
  <c r="E12" i="9"/>
  <c r="F12" i="9"/>
  <c r="G12" i="9"/>
  <c r="C13" i="9"/>
  <c r="D13" i="9"/>
  <c r="E13" i="9"/>
  <c r="F13" i="9"/>
  <c r="G13" i="9"/>
  <c r="C14" i="9"/>
  <c r="D14" i="9"/>
  <c r="E14" i="9"/>
  <c r="F14" i="9"/>
  <c r="G14" i="9"/>
  <c r="C15" i="9"/>
  <c r="D15" i="9"/>
  <c r="E15" i="9"/>
  <c r="F15" i="9"/>
  <c r="G15" i="9"/>
  <c r="C16" i="9"/>
  <c r="D16" i="9"/>
  <c r="E16" i="9"/>
  <c r="F16" i="9"/>
  <c r="G16" i="9"/>
  <c r="C17" i="9"/>
  <c r="D17" i="9"/>
  <c r="E17" i="9"/>
  <c r="F17" i="9"/>
  <c r="G17" i="9"/>
  <c r="B17" i="9"/>
  <c r="B16" i="9"/>
  <c r="B15" i="9"/>
  <c r="B14" i="9"/>
  <c r="B13" i="9"/>
  <c r="B12" i="9"/>
  <c r="B11" i="9"/>
  <c r="C2" i="9"/>
  <c r="D2" i="9"/>
  <c r="E2" i="9"/>
  <c r="F2" i="9"/>
  <c r="G2" i="9"/>
  <c r="C3" i="9"/>
  <c r="D3" i="9"/>
  <c r="E3" i="9"/>
  <c r="F3" i="9"/>
  <c r="G3" i="9"/>
  <c r="C4" i="9"/>
  <c r="D4" i="9"/>
  <c r="E4" i="9"/>
  <c r="F4" i="9"/>
  <c r="G4" i="9"/>
  <c r="C5" i="9"/>
  <c r="D5" i="9"/>
  <c r="E5" i="9"/>
  <c r="F5" i="9"/>
  <c r="G5" i="9"/>
  <c r="C6" i="9"/>
  <c r="D6" i="9"/>
  <c r="E6" i="9"/>
  <c r="F6" i="9"/>
  <c r="G6" i="9"/>
  <c r="C7" i="9"/>
  <c r="D7" i="9"/>
  <c r="E7" i="9"/>
  <c r="F7" i="9"/>
  <c r="G7" i="9"/>
  <c r="C8" i="9"/>
  <c r="D8" i="9"/>
  <c r="E8" i="9"/>
  <c r="F8" i="9"/>
  <c r="G8" i="9"/>
  <c r="B8" i="9"/>
  <c r="B7" i="9"/>
  <c r="B6" i="9"/>
  <c r="B5" i="9"/>
  <c r="B4" i="9"/>
  <c r="B3" i="9"/>
  <c r="B2" i="9"/>
  <c r="J18" i="3" l="1"/>
  <c r="J19" i="3"/>
  <c r="J20" i="3"/>
  <c r="J21" i="3"/>
  <c r="J17" i="3"/>
  <c r="S10" i="8"/>
  <c r="S13" i="8" s="1"/>
  <c r="T10" i="8"/>
  <c r="T14" i="8" s="1"/>
  <c r="U10" i="8"/>
  <c r="V10" i="8"/>
  <c r="W10" i="8"/>
  <c r="S11" i="8"/>
  <c r="T11" i="8"/>
  <c r="U11" i="8"/>
  <c r="V11" i="8"/>
  <c r="W11" i="8"/>
  <c r="W13" i="8" s="1"/>
  <c r="S12" i="8"/>
  <c r="T12" i="8"/>
  <c r="U12" i="8"/>
  <c r="V12" i="8"/>
  <c r="W12" i="8"/>
  <c r="R12" i="8"/>
  <c r="R11" i="8"/>
  <c r="R10" i="8"/>
  <c r="S2" i="8"/>
  <c r="T2" i="8"/>
  <c r="U2" i="8"/>
  <c r="V2" i="8"/>
  <c r="S3" i="8"/>
  <c r="T3" i="8"/>
  <c r="U3" i="8"/>
  <c r="V3" i="8"/>
  <c r="S4" i="8"/>
  <c r="T4" i="8"/>
  <c r="U4" i="8"/>
  <c r="V4" i="8"/>
  <c r="S5" i="8"/>
  <c r="T5" i="8"/>
  <c r="U5" i="8"/>
  <c r="V5" i="8"/>
  <c r="S6" i="8"/>
  <c r="T6" i="8"/>
  <c r="U6" i="8"/>
  <c r="V6" i="8"/>
  <c r="S7" i="8"/>
  <c r="T7" i="8"/>
  <c r="U7" i="8"/>
  <c r="V7" i="8"/>
  <c r="R7" i="8"/>
  <c r="R6" i="8"/>
  <c r="R5" i="8"/>
  <c r="R4" i="8"/>
  <c r="R3" i="8"/>
  <c r="R2" i="8"/>
  <c r="K25" i="8"/>
  <c r="L25" i="8"/>
  <c r="M25" i="8"/>
  <c r="N25" i="8"/>
  <c r="O25" i="8"/>
  <c r="K26" i="8"/>
  <c r="L26" i="8"/>
  <c r="M26" i="8"/>
  <c r="N26" i="8"/>
  <c r="O26" i="8"/>
  <c r="K27" i="8"/>
  <c r="L27" i="8"/>
  <c r="M27" i="8"/>
  <c r="N27" i="8"/>
  <c r="O27" i="8"/>
  <c r="J27" i="8"/>
  <c r="J26" i="8"/>
  <c r="J25" i="8"/>
  <c r="K17" i="8"/>
  <c r="L17" i="8"/>
  <c r="M17" i="8"/>
  <c r="N17" i="8"/>
  <c r="K18" i="8"/>
  <c r="L18" i="8"/>
  <c r="M18" i="8"/>
  <c r="N18" i="8"/>
  <c r="K19" i="8"/>
  <c r="L19" i="8"/>
  <c r="M19" i="8"/>
  <c r="N19" i="8"/>
  <c r="K20" i="8"/>
  <c r="L20" i="8"/>
  <c r="M20" i="8"/>
  <c r="N20" i="8"/>
  <c r="K21" i="8"/>
  <c r="L21" i="8"/>
  <c r="M21" i="8"/>
  <c r="N21" i="8"/>
  <c r="K22" i="8"/>
  <c r="L22" i="8"/>
  <c r="M22" i="8"/>
  <c r="N22" i="8"/>
  <c r="J22" i="8"/>
  <c r="J21" i="8"/>
  <c r="J20" i="8"/>
  <c r="J19" i="8"/>
  <c r="J18" i="8"/>
  <c r="J17" i="8"/>
  <c r="K10" i="8"/>
  <c r="L10" i="8"/>
  <c r="M10" i="8"/>
  <c r="N10" i="8"/>
  <c r="O10" i="8"/>
  <c r="K11" i="8"/>
  <c r="L11" i="8"/>
  <c r="M11" i="8"/>
  <c r="N11" i="8"/>
  <c r="O11" i="8"/>
  <c r="K12" i="8"/>
  <c r="L12" i="8"/>
  <c r="M12" i="8"/>
  <c r="N12" i="8"/>
  <c r="O12" i="8"/>
  <c r="J12" i="8"/>
  <c r="J11" i="8"/>
  <c r="J10" i="8"/>
  <c r="K2" i="8"/>
  <c r="L2" i="8"/>
  <c r="M2" i="8"/>
  <c r="N2" i="8"/>
  <c r="K3" i="8"/>
  <c r="L3" i="8"/>
  <c r="M3" i="8"/>
  <c r="N3" i="8"/>
  <c r="K4" i="8"/>
  <c r="L4" i="8"/>
  <c r="M4" i="8"/>
  <c r="N4" i="8"/>
  <c r="K5" i="8"/>
  <c r="L5" i="8"/>
  <c r="M5" i="8"/>
  <c r="N5" i="8"/>
  <c r="K6" i="8"/>
  <c r="L6" i="8"/>
  <c r="M6" i="8"/>
  <c r="N6" i="8"/>
  <c r="K7" i="8"/>
  <c r="L7" i="8"/>
  <c r="M7" i="8"/>
  <c r="N7" i="8"/>
  <c r="J7" i="8"/>
  <c r="J6" i="8"/>
  <c r="J5" i="8"/>
  <c r="J4" i="8"/>
  <c r="J3" i="8"/>
  <c r="J2" i="8"/>
  <c r="C25" i="8"/>
  <c r="D25" i="8"/>
  <c r="E25" i="8"/>
  <c r="F25" i="8"/>
  <c r="G25" i="8"/>
  <c r="C26" i="8"/>
  <c r="D26" i="8"/>
  <c r="E26" i="8"/>
  <c r="F26" i="8"/>
  <c r="G26" i="8"/>
  <c r="C27" i="8"/>
  <c r="D27" i="8"/>
  <c r="E27" i="8"/>
  <c r="F27" i="8"/>
  <c r="G27" i="8"/>
  <c r="B27" i="8"/>
  <c r="B26" i="8"/>
  <c r="B25" i="8"/>
  <c r="C17" i="8"/>
  <c r="D17" i="8"/>
  <c r="E17" i="8"/>
  <c r="F17" i="8"/>
  <c r="C18" i="8"/>
  <c r="D18" i="8"/>
  <c r="E18" i="8"/>
  <c r="F18" i="8"/>
  <c r="C19" i="8"/>
  <c r="D19" i="8"/>
  <c r="E19" i="8"/>
  <c r="F19" i="8"/>
  <c r="C20" i="8"/>
  <c r="D20" i="8"/>
  <c r="E20" i="8"/>
  <c r="F20" i="8"/>
  <c r="C21" i="8"/>
  <c r="D21" i="8"/>
  <c r="E21" i="8"/>
  <c r="F21" i="8"/>
  <c r="C22" i="8"/>
  <c r="D22" i="8"/>
  <c r="E22" i="8"/>
  <c r="F22" i="8"/>
  <c r="B22" i="8"/>
  <c r="B21" i="8"/>
  <c r="B20" i="8"/>
  <c r="B19" i="8"/>
  <c r="B18" i="8"/>
  <c r="B17" i="8"/>
  <c r="C10" i="8"/>
  <c r="D10" i="8"/>
  <c r="E10" i="8"/>
  <c r="F10" i="8"/>
  <c r="G10" i="8"/>
  <c r="C11" i="8"/>
  <c r="D11" i="8"/>
  <c r="E11" i="8"/>
  <c r="F11" i="8"/>
  <c r="G11" i="8"/>
  <c r="C12" i="8"/>
  <c r="D12" i="8"/>
  <c r="E12" i="8"/>
  <c r="F12" i="8"/>
  <c r="G12" i="8"/>
  <c r="G14" i="8" s="1"/>
  <c r="B12" i="8"/>
  <c r="B11" i="8"/>
  <c r="B10" i="8"/>
  <c r="C2" i="8"/>
  <c r="D2" i="8"/>
  <c r="E2" i="8"/>
  <c r="F2" i="8"/>
  <c r="C3" i="8"/>
  <c r="D3" i="8"/>
  <c r="E3" i="8"/>
  <c r="F3" i="8"/>
  <c r="C4" i="8"/>
  <c r="D4" i="8"/>
  <c r="E4" i="8"/>
  <c r="F4" i="8"/>
  <c r="C5" i="8"/>
  <c r="D5" i="8"/>
  <c r="E5" i="8"/>
  <c r="F5" i="8"/>
  <c r="C6" i="8"/>
  <c r="D6" i="8"/>
  <c r="E6" i="8"/>
  <c r="F6" i="8"/>
  <c r="C7" i="8"/>
  <c r="D7" i="8"/>
  <c r="E7" i="8"/>
  <c r="F7" i="8"/>
  <c r="B7" i="8"/>
  <c r="B6" i="8"/>
  <c r="B5" i="8"/>
  <c r="B4" i="8"/>
  <c r="B3" i="8"/>
  <c r="B2" i="8"/>
  <c r="V13" i="8" l="1"/>
  <c r="N14" i="8"/>
  <c r="N29" i="8"/>
  <c r="R13" i="8"/>
  <c r="W14" i="8"/>
  <c r="V14" i="8"/>
  <c r="K14" i="8"/>
  <c r="M13" i="8"/>
  <c r="U13" i="8"/>
  <c r="C13" i="8"/>
  <c r="C28" i="8"/>
  <c r="D29" i="8"/>
  <c r="F28" i="8"/>
  <c r="M14" i="8"/>
  <c r="L14" i="8"/>
  <c r="L29" i="8"/>
  <c r="S14" i="8"/>
  <c r="C14" i="8"/>
  <c r="C29" i="8"/>
  <c r="G13" i="8"/>
  <c r="J13" i="8"/>
  <c r="K29" i="8"/>
  <c r="U14" i="8"/>
  <c r="R14" i="8"/>
  <c r="B13" i="8"/>
  <c r="E28" i="8"/>
  <c r="K13" i="8"/>
  <c r="F29" i="8"/>
  <c r="K28" i="8"/>
  <c r="E14" i="8"/>
  <c r="E29" i="8"/>
  <c r="M29" i="8"/>
  <c r="G28" i="8"/>
  <c r="F13" i="8"/>
  <c r="D14" i="8"/>
  <c r="D13" i="8"/>
  <c r="F14" i="8"/>
  <c r="O29" i="8"/>
  <c r="D28" i="8"/>
  <c r="O28" i="8"/>
  <c r="O14" i="8"/>
  <c r="L13" i="8"/>
  <c r="O13" i="8"/>
  <c r="T13" i="8"/>
  <c r="B28" i="8"/>
  <c r="G29" i="8"/>
  <c r="N28" i="8"/>
  <c r="E13" i="8"/>
  <c r="M28" i="8"/>
  <c r="L28" i="8"/>
  <c r="N13" i="8"/>
  <c r="J29" i="8"/>
  <c r="J28" i="8"/>
  <c r="J14" i="8"/>
  <c r="B29" i="8"/>
  <c r="B14" i="8"/>
  <c r="I20" i="3" l="1"/>
  <c r="I21" i="3"/>
  <c r="L21" i="3" l="1"/>
  <c r="L20" i="3"/>
  <c r="I18" i="3"/>
  <c r="I19" i="3"/>
  <c r="I17" i="3"/>
  <c r="I5" i="15" s="1"/>
  <c r="L19" i="3" l="1"/>
  <c r="L17" i="3"/>
  <c r="L18" i="3"/>
  <c r="K20" i="3" l="1"/>
  <c r="M20" i="3" s="1"/>
  <c r="K21" i="3"/>
  <c r="M21" i="3" s="1"/>
  <c r="J10" i="3"/>
  <c r="J11" i="3"/>
  <c r="J12" i="3"/>
  <c r="J13" i="3"/>
  <c r="J14" i="3"/>
  <c r="J9" i="3"/>
  <c r="K40" i="7"/>
  <c r="L40" i="7"/>
  <c r="M40" i="7"/>
  <c r="N40" i="7"/>
  <c r="O40" i="7"/>
  <c r="K41" i="7"/>
  <c r="K43" i="7" s="1"/>
  <c r="L41" i="7"/>
  <c r="M41" i="7"/>
  <c r="M43" i="7" s="1"/>
  <c r="N41" i="7"/>
  <c r="O41" i="7"/>
  <c r="K42" i="7"/>
  <c r="K44" i="7" s="1"/>
  <c r="L42" i="7"/>
  <c r="M42" i="7"/>
  <c r="N42" i="7"/>
  <c r="O42" i="7"/>
  <c r="J42" i="7"/>
  <c r="J41" i="7"/>
  <c r="J40" i="7"/>
  <c r="K32" i="7"/>
  <c r="L32" i="7"/>
  <c r="M32" i="7"/>
  <c r="N32" i="7"/>
  <c r="K33" i="7"/>
  <c r="L33" i="7"/>
  <c r="M33" i="7"/>
  <c r="N33" i="7"/>
  <c r="K34" i="7"/>
  <c r="L34" i="7"/>
  <c r="M34" i="7"/>
  <c r="N34" i="7"/>
  <c r="K35" i="7"/>
  <c r="L35" i="7"/>
  <c r="M35" i="7"/>
  <c r="N35" i="7"/>
  <c r="K36" i="7"/>
  <c r="L36" i="7"/>
  <c r="M36" i="7"/>
  <c r="N36" i="7"/>
  <c r="J36" i="7"/>
  <c r="J35" i="7"/>
  <c r="J34" i="7"/>
  <c r="J33" i="7"/>
  <c r="J32" i="7"/>
  <c r="K25" i="7"/>
  <c r="L25" i="7"/>
  <c r="M25" i="7"/>
  <c r="N25" i="7"/>
  <c r="K26" i="7"/>
  <c r="L26" i="7"/>
  <c r="M26" i="7"/>
  <c r="N26" i="7"/>
  <c r="K27" i="7"/>
  <c r="K29" i="7" s="1"/>
  <c r="L27" i="7"/>
  <c r="L29" i="7" s="1"/>
  <c r="M27" i="7"/>
  <c r="N27" i="7"/>
  <c r="N29" i="7" s="1"/>
  <c r="J27" i="7"/>
  <c r="J26" i="7"/>
  <c r="J25" i="7"/>
  <c r="K17" i="7"/>
  <c r="L17" i="7"/>
  <c r="M17" i="7"/>
  <c r="N17" i="7"/>
  <c r="O17" i="7"/>
  <c r="K18" i="7"/>
  <c r="L18" i="7"/>
  <c r="M18" i="7"/>
  <c r="N18" i="7"/>
  <c r="O18" i="7"/>
  <c r="K19" i="7"/>
  <c r="L19" i="7"/>
  <c r="M19" i="7"/>
  <c r="N19" i="7"/>
  <c r="O19" i="7"/>
  <c r="K20" i="7"/>
  <c r="L20" i="7"/>
  <c r="M20" i="7"/>
  <c r="N20" i="7"/>
  <c r="O20" i="7"/>
  <c r="K21" i="7"/>
  <c r="L21" i="7"/>
  <c r="M21" i="7"/>
  <c r="N21" i="7"/>
  <c r="O21" i="7"/>
  <c r="J21" i="7"/>
  <c r="J20" i="7"/>
  <c r="J19" i="7"/>
  <c r="J18" i="7"/>
  <c r="J17" i="7"/>
  <c r="K10" i="7"/>
  <c r="L10" i="7"/>
  <c r="M10" i="7"/>
  <c r="N10" i="7"/>
  <c r="O10" i="7"/>
  <c r="K11" i="7"/>
  <c r="L11" i="7"/>
  <c r="M11" i="7"/>
  <c r="N11" i="7"/>
  <c r="O11" i="7"/>
  <c r="K12" i="7"/>
  <c r="L12" i="7"/>
  <c r="M12" i="7"/>
  <c r="N12" i="7"/>
  <c r="O12" i="7"/>
  <c r="J12" i="7"/>
  <c r="J11" i="7"/>
  <c r="J10" i="7"/>
  <c r="K2" i="7"/>
  <c r="L2" i="7"/>
  <c r="M2" i="7"/>
  <c r="N2" i="7"/>
  <c r="K3" i="7"/>
  <c r="L3" i="7"/>
  <c r="M3" i="7"/>
  <c r="N3" i="7"/>
  <c r="K4" i="7"/>
  <c r="L4" i="7"/>
  <c r="M4" i="7"/>
  <c r="N4" i="7"/>
  <c r="K5" i="7"/>
  <c r="L5" i="7"/>
  <c r="M5" i="7"/>
  <c r="N5" i="7"/>
  <c r="K6" i="7"/>
  <c r="L6" i="7"/>
  <c r="M6" i="7"/>
  <c r="N6" i="7"/>
  <c r="J6" i="7"/>
  <c r="J5" i="7"/>
  <c r="J4" i="7"/>
  <c r="J3" i="7"/>
  <c r="J2" i="7"/>
  <c r="C40" i="7"/>
  <c r="D40" i="7"/>
  <c r="E40" i="7"/>
  <c r="F40" i="7"/>
  <c r="C41" i="7"/>
  <c r="D41" i="7"/>
  <c r="E41" i="7"/>
  <c r="F41" i="7"/>
  <c r="C42" i="7"/>
  <c r="D42" i="7"/>
  <c r="E42" i="7"/>
  <c r="F42" i="7"/>
  <c r="B42" i="7"/>
  <c r="B41" i="7"/>
  <c r="B40" i="7"/>
  <c r="C32" i="7"/>
  <c r="D32" i="7"/>
  <c r="E32" i="7"/>
  <c r="F32" i="7"/>
  <c r="G32" i="7"/>
  <c r="C33" i="7"/>
  <c r="D33" i="7"/>
  <c r="E33" i="7"/>
  <c r="F33" i="7"/>
  <c r="G33" i="7"/>
  <c r="C34" i="7"/>
  <c r="D34" i="7"/>
  <c r="E34" i="7"/>
  <c r="F34" i="7"/>
  <c r="G34" i="7"/>
  <c r="C35" i="7"/>
  <c r="D35" i="7"/>
  <c r="E35" i="7"/>
  <c r="F35" i="7"/>
  <c r="G35" i="7"/>
  <c r="C36" i="7"/>
  <c r="D36" i="7"/>
  <c r="E36" i="7"/>
  <c r="F36" i="7"/>
  <c r="G36" i="7"/>
  <c r="B36" i="7"/>
  <c r="B35" i="7"/>
  <c r="B34" i="7"/>
  <c r="B33" i="7"/>
  <c r="B32" i="7"/>
  <c r="C25" i="7"/>
  <c r="D25" i="7"/>
  <c r="E25" i="7"/>
  <c r="F25" i="7"/>
  <c r="C26" i="7"/>
  <c r="D26" i="7"/>
  <c r="E26" i="7"/>
  <c r="F26" i="7"/>
  <c r="C27" i="7"/>
  <c r="C29" i="7" s="1"/>
  <c r="D27" i="7"/>
  <c r="E27" i="7"/>
  <c r="E29" i="7" s="1"/>
  <c r="F27" i="7"/>
  <c r="F29" i="7" s="1"/>
  <c r="B27" i="7"/>
  <c r="B26" i="7"/>
  <c r="B25" i="7"/>
  <c r="C17" i="7"/>
  <c r="D17" i="7"/>
  <c r="E17" i="7"/>
  <c r="F17" i="7"/>
  <c r="G17" i="7"/>
  <c r="C18" i="7"/>
  <c r="D18" i="7"/>
  <c r="E18" i="7"/>
  <c r="F18" i="7"/>
  <c r="G18" i="7"/>
  <c r="C19" i="7"/>
  <c r="D19" i="7"/>
  <c r="E19" i="7"/>
  <c r="F19" i="7"/>
  <c r="G19" i="7"/>
  <c r="C20" i="7"/>
  <c r="D20" i="7"/>
  <c r="E20" i="7"/>
  <c r="F20" i="7"/>
  <c r="G20" i="7"/>
  <c r="C21" i="7"/>
  <c r="D21" i="7"/>
  <c r="E21" i="7"/>
  <c r="F21" i="7"/>
  <c r="G21" i="7"/>
  <c r="B21" i="7"/>
  <c r="B20" i="7"/>
  <c r="B19" i="7"/>
  <c r="B18" i="7"/>
  <c r="B17" i="7"/>
  <c r="C10" i="7"/>
  <c r="D10" i="7"/>
  <c r="E10" i="7"/>
  <c r="F10" i="7"/>
  <c r="C11" i="7"/>
  <c r="D11" i="7"/>
  <c r="E11" i="7"/>
  <c r="F11" i="7"/>
  <c r="C12" i="7"/>
  <c r="C14" i="7" s="1"/>
  <c r="D12" i="7"/>
  <c r="D14" i="7" s="1"/>
  <c r="E12" i="7"/>
  <c r="E14" i="7" s="1"/>
  <c r="F12" i="7"/>
  <c r="F14" i="7" s="1"/>
  <c r="B12" i="7"/>
  <c r="B11" i="7"/>
  <c r="B10" i="7"/>
  <c r="B14" i="7" s="1"/>
  <c r="C2" i="7"/>
  <c r="D2" i="7"/>
  <c r="E2" i="7"/>
  <c r="F2" i="7"/>
  <c r="G2" i="7"/>
  <c r="C3" i="7"/>
  <c r="D3" i="7"/>
  <c r="E3" i="7"/>
  <c r="F3" i="7"/>
  <c r="G3" i="7"/>
  <c r="C4" i="7"/>
  <c r="D4" i="7"/>
  <c r="E4" i="7"/>
  <c r="F4" i="7"/>
  <c r="G4" i="7"/>
  <c r="C5" i="7"/>
  <c r="D5" i="7"/>
  <c r="E5" i="7"/>
  <c r="F5" i="7"/>
  <c r="G5" i="7"/>
  <c r="C6" i="7"/>
  <c r="D6" i="7"/>
  <c r="E6" i="7"/>
  <c r="F6" i="7"/>
  <c r="G6" i="7"/>
  <c r="B6" i="7"/>
  <c r="B5" i="7"/>
  <c r="B4" i="7"/>
  <c r="B3" i="7"/>
  <c r="B2" i="7"/>
  <c r="L44" i="7" l="1"/>
  <c r="M44" i="7"/>
  <c r="N44" i="7"/>
  <c r="F13" i="7"/>
  <c r="K14" i="7"/>
  <c r="J28" i="7"/>
  <c r="K28" i="7"/>
  <c r="M14" i="7"/>
  <c r="O13" i="7"/>
  <c r="N28" i="7"/>
  <c r="B13" i="7"/>
  <c r="B44" i="7"/>
  <c r="E44" i="7"/>
  <c r="C44" i="7"/>
  <c r="D44" i="7"/>
  <c r="F44" i="7"/>
  <c r="D43" i="7"/>
  <c r="D29" i="7"/>
  <c r="J13" i="7"/>
  <c r="C13" i="7"/>
  <c r="M28" i="7"/>
  <c r="O44" i="7"/>
  <c r="J14" i="7"/>
  <c r="O14" i="7"/>
  <c r="D13" i="7"/>
  <c r="C28" i="7"/>
  <c r="E43" i="7"/>
  <c r="N14" i="7"/>
  <c r="M13" i="7"/>
  <c r="M29" i="7"/>
  <c r="E13" i="7"/>
  <c r="D28" i="7"/>
  <c r="C43" i="7"/>
  <c r="K13" i="7"/>
  <c r="L28" i="7"/>
  <c r="F43" i="7"/>
  <c r="E28" i="7"/>
  <c r="L14" i="7"/>
  <c r="N13" i="7"/>
  <c r="L43" i="7"/>
  <c r="O43" i="7"/>
  <c r="L13" i="7"/>
  <c r="J29" i="7"/>
  <c r="F28" i="7"/>
  <c r="N43" i="7"/>
  <c r="K18" i="3"/>
  <c r="M18" i="3" s="1"/>
  <c r="K19" i="3"/>
  <c r="M19" i="3" s="1"/>
  <c r="K17" i="3"/>
  <c r="M17" i="3" s="1"/>
  <c r="J44" i="7"/>
  <c r="J43" i="7"/>
  <c r="B43" i="7"/>
  <c r="B29" i="7"/>
  <c r="B28" i="7"/>
  <c r="I10" i="3" l="1"/>
  <c r="I11" i="3"/>
  <c r="I12" i="3"/>
  <c r="I14" i="3"/>
  <c r="I9" i="3"/>
  <c r="L12" i="3" l="1"/>
  <c r="K37" i="7"/>
  <c r="L11" i="3"/>
  <c r="J22" i="7"/>
  <c r="L13" i="3"/>
  <c r="C37" i="7"/>
  <c r="C22" i="7"/>
  <c r="B7" i="7"/>
  <c r="L14" i="3"/>
  <c r="J37" i="7"/>
  <c r="N37" i="7"/>
  <c r="M37" i="7"/>
  <c r="L37" i="7"/>
  <c r="B37" i="7"/>
  <c r="G37" i="7"/>
  <c r="F37" i="7"/>
  <c r="E37" i="7"/>
  <c r="D37" i="7"/>
  <c r="M22" i="7"/>
  <c r="L22" i="7"/>
  <c r="K22" i="7"/>
  <c r="B22" i="7"/>
  <c r="O22" i="7"/>
  <c r="F22" i="7"/>
  <c r="N22" i="7"/>
  <c r="E22" i="7"/>
  <c r="D22" i="7"/>
  <c r="G22" i="7"/>
  <c r="M7" i="7"/>
  <c r="K7" i="7"/>
  <c r="L7" i="7"/>
  <c r="J7" i="7"/>
  <c r="N7" i="7"/>
  <c r="G7" i="7"/>
  <c r="F7" i="7"/>
  <c r="E7" i="7"/>
  <c r="D7" i="7"/>
  <c r="C7" i="7"/>
  <c r="L9" i="3" l="1"/>
  <c r="L10" i="3"/>
  <c r="I13" i="3"/>
  <c r="K13" i="3"/>
  <c r="M13" i="3" s="1"/>
  <c r="O9" i="15" l="1"/>
  <c r="S9" i="15" s="1"/>
  <c r="O10" i="15"/>
  <c r="S10" i="15" s="1"/>
  <c r="O7" i="15"/>
  <c r="S7" i="15" s="1"/>
  <c r="I2" i="15"/>
  <c r="O2" i="15" s="1"/>
  <c r="S2" i="15" s="1"/>
  <c r="AF2" i="16" s="1"/>
  <c r="O4" i="15"/>
  <c r="S4" i="15" s="1"/>
  <c r="AF4" i="16" s="1"/>
  <c r="O5" i="15"/>
  <c r="S5" i="15" s="1"/>
  <c r="K11" i="3"/>
  <c r="M11" i="3" s="1"/>
  <c r="K12" i="3"/>
  <c r="M12" i="3" s="1"/>
  <c r="U2" i="15" l="1"/>
  <c r="Z2" i="15" s="1"/>
  <c r="T2" i="15"/>
  <c r="T5" i="15"/>
  <c r="U5" i="15"/>
  <c r="Z5" i="15" s="1"/>
  <c r="T7" i="15"/>
  <c r="U7" i="15"/>
  <c r="Z7" i="15" s="1"/>
  <c r="U10" i="15"/>
  <c r="Z10" i="15" s="1"/>
  <c r="T10" i="15"/>
  <c r="T4" i="15"/>
  <c r="U4" i="15"/>
  <c r="Z4" i="15" s="1"/>
  <c r="U9" i="15"/>
  <c r="Z9" i="15" s="1"/>
  <c r="T9" i="15"/>
  <c r="K10" i="3"/>
  <c r="M10" i="3" s="1"/>
  <c r="K9" i="3"/>
  <c r="M9" i="3" s="1"/>
  <c r="K14" i="3"/>
  <c r="M14" i="3" s="1"/>
  <c r="V7" i="15" l="1"/>
  <c r="W7" i="15"/>
  <c r="Y7" i="15"/>
  <c r="X7" i="15"/>
  <c r="V10" i="15"/>
  <c r="X10" i="15"/>
  <c r="W10" i="15"/>
  <c r="Y10" i="15"/>
  <c r="Y4" i="15"/>
  <c r="V4" i="15"/>
  <c r="W4" i="15"/>
  <c r="X4" i="15"/>
  <c r="W2" i="15"/>
  <c r="X2" i="15"/>
  <c r="Y2" i="15"/>
  <c r="V2" i="15"/>
  <c r="W5" i="15"/>
  <c r="Y5" i="15"/>
  <c r="V5" i="15"/>
  <c r="X5" i="15"/>
  <c r="X9" i="15"/>
  <c r="Y9" i="15"/>
  <c r="V9" i="15"/>
  <c r="W9" i="15"/>
  <c r="L6" i="3"/>
  <c r="L5" i="3"/>
  <c r="K6" i="3"/>
  <c r="M6" i="3" s="1"/>
  <c r="K5" i="3"/>
  <c r="M5" i="3" s="1"/>
  <c r="L4" i="3"/>
  <c r="K4" i="3"/>
  <c r="L3" i="3"/>
  <c r="K3" i="3"/>
  <c r="L2" i="3"/>
  <c r="K2" i="3"/>
  <c r="J3" i="3"/>
  <c r="J4" i="3"/>
  <c r="J5" i="3"/>
  <c r="J6" i="3"/>
  <c r="J2" i="3"/>
  <c r="K27" i="6"/>
  <c r="L27" i="6"/>
  <c r="M27" i="6"/>
  <c r="N27" i="6"/>
  <c r="O27" i="6"/>
  <c r="K28" i="6"/>
  <c r="L28" i="6"/>
  <c r="L30" i="6" s="1"/>
  <c r="M28" i="6"/>
  <c r="N28" i="6"/>
  <c r="O28" i="6"/>
  <c r="K29" i="6"/>
  <c r="L29" i="6"/>
  <c r="M29" i="6"/>
  <c r="N29" i="6"/>
  <c r="O29" i="6"/>
  <c r="M38" i="6" s="1"/>
  <c r="J29" i="6"/>
  <c r="J28" i="6"/>
  <c r="J27" i="6"/>
  <c r="K11" i="6"/>
  <c r="L11" i="6"/>
  <c r="M11" i="6"/>
  <c r="N11" i="6"/>
  <c r="O11" i="6"/>
  <c r="K12" i="6"/>
  <c r="L12" i="6"/>
  <c r="M12" i="6"/>
  <c r="N12" i="6"/>
  <c r="O12" i="6"/>
  <c r="K13" i="6"/>
  <c r="L13" i="6"/>
  <c r="M13" i="6"/>
  <c r="N13" i="6"/>
  <c r="O13" i="6"/>
  <c r="M37" i="6" s="1"/>
  <c r="J13" i="6"/>
  <c r="J12" i="6"/>
  <c r="J11" i="6"/>
  <c r="C43" i="6"/>
  <c r="D43" i="6"/>
  <c r="E43" i="6"/>
  <c r="F43" i="6"/>
  <c r="G43" i="6"/>
  <c r="C44" i="6"/>
  <c r="D44" i="6"/>
  <c r="E44" i="6"/>
  <c r="F44" i="6"/>
  <c r="G44" i="6"/>
  <c r="C45" i="6"/>
  <c r="D45" i="6"/>
  <c r="E45" i="6"/>
  <c r="F45" i="6"/>
  <c r="G45" i="6"/>
  <c r="B45" i="6"/>
  <c r="B44" i="6"/>
  <c r="B43" i="6"/>
  <c r="C27" i="6"/>
  <c r="D27" i="6"/>
  <c r="E27" i="6"/>
  <c r="F27" i="6"/>
  <c r="G27" i="6"/>
  <c r="C28" i="6"/>
  <c r="D28" i="6"/>
  <c r="E28" i="6"/>
  <c r="F28" i="6"/>
  <c r="G28" i="6"/>
  <c r="C29" i="6"/>
  <c r="D29" i="6"/>
  <c r="E29" i="6"/>
  <c r="F29" i="6"/>
  <c r="G29" i="6"/>
  <c r="B29" i="6"/>
  <c r="B28" i="6"/>
  <c r="B27" i="6"/>
  <c r="C11" i="6"/>
  <c r="C14" i="6" s="1"/>
  <c r="D11" i="6"/>
  <c r="E11" i="6"/>
  <c r="F11" i="6"/>
  <c r="G11" i="6"/>
  <c r="C12" i="6"/>
  <c r="D12" i="6"/>
  <c r="E12" i="6"/>
  <c r="F12" i="6"/>
  <c r="G12" i="6"/>
  <c r="C13" i="6"/>
  <c r="D13" i="6"/>
  <c r="E13" i="6"/>
  <c r="E15" i="6" s="1"/>
  <c r="F13" i="6"/>
  <c r="G13" i="6"/>
  <c r="M34" i="6" s="1"/>
  <c r="B13" i="6"/>
  <c r="B12" i="6"/>
  <c r="B11" i="6"/>
  <c r="K18" i="6"/>
  <c r="L18" i="6"/>
  <c r="M18" i="6"/>
  <c r="N18" i="6"/>
  <c r="K19" i="6"/>
  <c r="L19" i="6"/>
  <c r="M19" i="6"/>
  <c r="N19" i="6"/>
  <c r="K20" i="6"/>
  <c r="K22" i="6" s="1"/>
  <c r="L20" i="6"/>
  <c r="L22" i="6" s="1"/>
  <c r="M20" i="6"/>
  <c r="M22" i="6" s="1"/>
  <c r="N20" i="6"/>
  <c r="N22" i="6" s="1"/>
  <c r="K23" i="6"/>
  <c r="L23" i="6"/>
  <c r="M23" i="6"/>
  <c r="N23" i="6"/>
  <c r="K24" i="6"/>
  <c r="L24" i="6"/>
  <c r="M24" i="6"/>
  <c r="N24" i="6"/>
  <c r="J24" i="6"/>
  <c r="J23" i="6"/>
  <c r="J20" i="6"/>
  <c r="J19" i="6"/>
  <c r="J18" i="6"/>
  <c r="K2" i="6"/>
  <c r="L2" i="6"/>
  <c r="M2" i="6"/>
  <c r="N2" i="6"/>
  <c r="K3" i="6"/>
  <c r="L3" i="6"/>
  <c r="M3" i="6"/>
  <c r="N3" i="6"/>
  <c r="K4" i="6"/>
  <c r="K6" i="6" s="1"/>
  <c r="L4" i="6"/>
  <c r="M4" i="6"/>
  <c r="M6" i="6" s="1"/>
  <c r="N4" i="6"/>
  <c r="N6" i="6" s="1"/>
  <c r="J4" i="6"/>
  <c r="J3" i="6"/>
  <c r="J2" i="6"/>
  <c r="K7" i="6"/>
  <c r="L7" i="6"/>
  <c r="M7" i="6"/>
  <c r="N7" i="6"/>
  <c r="K8" i="6"/>
  <c r="L8" i="6"/>
  <c r="M8" i="6"/>
  <c r="N8" i="6"/>
  <c r="J8" i="6"/>
  <c r="J7" i="6"/>
  <c r="C34" i="6"/>
  <c r="D34" i="6"/>
  <c r="E34" i="6"/>
  <c r="F34" i="6"/>
  <c r="C35" i="6"/>
  <c r="D35" i="6"/>
  <c r="E35" i="6"/>
  <c r="F35" i="6"/>
  <c r="C36" i="6"/>
  <c r="D36" i="6"/>
  <c r="D38" i="6" s="1"/>
  <c r="E36" i="6"/>
  <c r="F36" i="6"/>
  <c r="F38" i="6" s="1"/>
  <c r="C39" i="6"/>
  <c r="D39" i="6"/>
  <c r="E39" i="6"/>
  <c r="F39" i="6"/>
  <c r="C40" i="6"/>
  <c r="D40" i="6"/>
  <c r="E40" i="6"/>
  <c r="F40" i="6"/>
  <c r="B40" i="6"/>
  <c r="B39" i="6"/>
  <c r="B36" i="6"/>
  <c r="B35" i="6"/>
  <c r="B34" i="6"/>
  <c r="C18" i="6"/>
  <c r="D18" i="6"/>
  <c r="E18" i="6"/>
  <c r="F18" i="6"/>
  <c r="C19" i="6"/>
  <c r="D19" i="6"/>
  <c r="E19" i="6"/>
  <c r="F19" i="6"/>
  <c r="C20" i="6"/>
  <c r="C22" i="6" s="1"/>
  <c r="D20" i="6"/>
  <c r="D22" i="6" s="1"/>
  <c r="E20" i="6"/>
  <c r="E22" i="6" s="1"/>
  <c r="F20" i="6"/>
  <c r="C23" i="6"/>
  <c r="D23" i="6"/>
  <c r="E23" i="6"/>
  <c r="F23" i="6"/>
  <c r="C24" i="6"/>
  <c r="D24" i="6"/>
  <c r="E24" i="6"/>
  <c r="F24" i="6"/>
  <c r="B24" i="6"/>
  <c r="B23" i="6"/>
  <c r="B20" i="6"/>
  <c r="B19" i="6"/>
  <c r="B18" i="6"/>
  <c r="C2" i="6"/>
  <c r="D2" i="6"/>
  <c r="E2" i="6"/>
  <c r="F2" i="6"/>
  <c r="C3" i="6"/>
  <c r="D3" i="6"/>
  <c r="E3" i="6"/>
  <c r="F3" i="6"/>
  <c r="C4" i="6"/>
  <c r="C6" i="6" s="1"/>
  <c r="D4" i="6"/>
  <c r="E4" i="6"/>
  <c r="E6" i="6" s="1"/>
  <c r="F4" i="6"/>
  <c r="F6" i="6" s="1"/>
  <c r="C7" i="6"/>
  <c r="D7" i="6"/>
  <c r="E7" i="6"/>
  <c r="F7" i="6"/>
  <c r="C8" i="6"/>
  <c r="D8" i="6"/>
  <c r="E8" i="6"/>
  <c r="F8" i="6"/>
  <c r="B8" i="6"/>
  <c r="B7" i="6"/>
  <c r="B4" i="6"/>
  <c r="B3" i="6"/>
  <c r="B2" i="6"/>
  <c r="I3" i="3"/>
  <c r="I4" i="3"/>
  <c r="I5" i="3"/>
  <c r="I6" i="3"/>
  <c r="I2" i="3"/>
  <c r="M35" i="6" l="1"/>
  <c r="M39" i="6" s="1"/>
  <c r="Z8" i="14" s="1"/>
  <c r="AB8" i="14" s="1"/>
  <c r="M36" i="6"/>
  <c r="F22" i="6"/>
  <c r="N30" i="6"/>
  <c r="M2" i="3"/>
  <c r="E38" i="6"/>
  <c r="I8" i="15"/>
  <c r="O8" i="15" s="1"/>
  <c r="S8" i="15" s="1"/>
  <c r="AF8" i="16" s="1"/>
  <c r="L31" i="6"/>
  <c r="L6" i="6"/>
  <c r="C38" i="6"/>
  <c r="D6" i="6"/>
  <c r="M4" i="3"/>
  <c r="O31" i="6"/>
  <c r="C30" i="6"/>
  <c r="D37" i="6"/>
  <c r="N5" i="6"/>
  <c r="M3" i="3"/>
  <c r="B38" i="6"/>
  <c r="L15" i="6"/>
  <c r="N31" i="6"/>
  <c r="D5" i="6"/>
  <c r="D30" i="6"/>
  <c r="G30" i="6"/>
  <c r="G47" i="6"/>
  <c r="D31" i="6"/>
  <c r="C46" i="6"/>
  <c r="F46" i="6"/>
  <c r="C47" i="6"/>
  <c r="M15" i="6"/>
  <c r="O14" i="6"/>
  <c r="M30" i="6"/>
  <c r="B5" i="6"/>
  <c r="E31" i="6"/>
  <c r="J15" i="6"/>
  <c r="M31" i="6"/>
  <c r="B6" i="6"/>
  <c r="F5" i="6"/>
  <c r="M21" i="6"/>
  <c r="C31" i="6"/>
  <c r="E5" i="6"/>
  <c r="F21" i="6"/>
  <c r="L14" i="6"/>
  <c r="C5" i="6"/>
  <c r="D47" i="6"/>
  <c r="G14" i="6"/>
  <c r="D15" i="6"/>
  <c r="K15" i="6"/>
  <c r="K30" i="6"/>
  <c r="F37" i="6"/>
  <c r="L5" i="6"/>
  <c r="F14" i="6"/>
  <c r="E46" i="6"/>
  <c r="E37" i="6"/>
  <c r="K5" i="6"/>
  <c r="E14" i="6"/>
  <c r="G15" i="6"/>
  <c r="F47" i="6"/>
  <c r="J5" i="6"/>
  <c r="F15" i="6"/>
  <c r="B46" i="6"/>
  <c r="E47" i="6"/>
  <c r="J30" i="6"/>
  <c r="J6" i="6"/>
  <c r="D14" i="6"/>
  <c r="D46" i="6"/>
  <c r="O30" i="6"/>
  <c r="E21" i="6"/>
  <c r="M5" i="6"/>
  <c r="L21" i="6"/>
  <c r="D21" i="6"/>
  <c r="K21" i="6"/>
  <c r="E30" i="6"/>
  <c r="M14" i="6"/>
  <c r="C21" i="6"/>
  <c r="C37" i="6"/>
  <c r="N21" i="6"/>
  <c r="G31" i="6"/>
  <c r="O15" i="6"/>
  <c r="F31" i="6"/>
  <c r="B47" i="6"/>
  <c r="N15" i="6"/>
  <c r="K14" i="6"/>
  <c r="K31" i="6"/>
  <c r="F30" i="6"/>
  <c r="G46" i="6"/>
  <c r="N14" i="6"/>
  <c r="C15" i="6"/>
  <c r="J31" i="6"/>
  <c r="J14" i="6"/>
  <c r="B31" i="6"/>
  <c r="B30" i="6"/>
  <c r="B15" i="6"/>
  <c r="B14" i="6"/>
  <c r="J22" i="6"/>
  <c r="J21" i="6"/>
  <c r="B37" i="6"/>
  <c r="B22" i="6"/>
  <c r="B21" i="6"/>
  <c r="T8" i="15" l="1"/>
  <c r="U8" i="15"/>
  <c r="Z8" i="15" s="1"/>
  <c r="D24" i="3"/>
  <c r="D23" i="3"/>
  <c r="D22" i="3"/>
  <c r="D20" i="3"/>
  <c r="D19" i="3"/>
  <c r="E24" i="3"/>
  <c r="E23" i="3"/>
  <c r="E22" i="3"/>
  <c r="E21" i="3"/>
  <c r="F21" i="3" s="1"/>
  <c r="E20" i="3"/>
  <c r="E19" i="3"/>
  <c r="C20" i="3"/>
  <c r="C21" i="3"/>
  <c r="C22" i="3"/>
  <c r="C23" i="3"/>
  <c r="C24" i="3"/>
  <c r="C19" i="3"/>
  <c r="B24" i="3"/>
  <c r="B23" i="3"/>
  <c r="B22" i="3"/>
  <c r="B21" i="3"/>
  <c r="B20" i="3"/>
  <c r="B19" i="3"/>
  <c r="K51" i="5"/>
  <c r="L51" i="5"/>
  <c r="M51" i="5"/>
  <c r="N51" i="5"/>
  <c r="K52" i="5"/>
  <c r="L52" i="5"/>
  <c r="M52" i="5"/>
  <c r="N52" i="5"/>
  <c r="K53" i="5"/>
  <c r="L53" i="5"/>
  <c r="M53" i="5"/>
  <c r="M55" i="5" s="1"/>
  <c r="N53" i="5"/>
  <c r="K56" i="5"/>
  <c r="L56" i="5"/>
  <c r="M56" i="5"/>
  <c r="N56" i="5"/>
  <c r="K40" i="5"/>
  <c r="L40" i="5"/>
  <c r="M40" i="5"/>
  <c r="N40" i="5"/>
  <c r="O40" i="5"/>
  <c r="K41" i="5"/>
  <c r="L41" i="5"/>
  <c r="M41" i="5"/>
  <c r="N41" i="5"/>
  <c r="O41" i="5"/>
  <c r="K42" i="5"/>
  <c r="L42" i="5"/>
  <c r="M42" i="5"/>
  <c r="N42" i="5"/>
  <c r="O42" i="5"/>
  <c r="O44" i="5" s="1"/>
  <c r="K45" i="5"/>
  <c r="L45" i="5"/>
  <c r="M45" i="5"/>
  <c r="N45" i="5"/>
  <c r="O45" i="5"/>
  <c r="K46" i="5"/>
  <c r="L46" i="5"/>
  <c r="M46" i="5"/>
  <c r="N46" i="5"/>
  <c r="O46" i="5"/>
  <c r="K47" i="5"/>
  <c r="L47" i="5"/>
  <c r="M47" i="5"/>
  <c r="N47" i="5"/>
  <c r="O47" i="5"/>
  <c r="K48" i="5"/>
  <c r="L48" i="5"/>
  <c r="M48" i="5"/>
  <c r="N48" i="5"/>
  <c r="O48" i="5"/>
  <c r="J56" i="5"/>
  <c r="J53" i="5"/>
  <c r="J52" i="5"/>
  <c r="J51" i="5"/>
  <c r="J48" i="5"/>
  <c r="J47" i="5"/>
  <c r="J46" i="5"/>
  <c r="J45" i="5"/>
  <c r="J42" i="5"/>
  <c r="J41" i="5"/>
  <c r="J40" i="5"/>
  <c r="K32" i="5"/>
  <c r="L32" i="5"/>
  <c r="M32" i="5"/>
  <c r="N32" i="5"/>
  <c r="K33" i="5"/>
  <c r="L33" i="5"/>
  <c r="M33" i="5"/>
  <c r="N33" i="5"/>
  <c r="K34" i="5"/>
  <c r="K36" i="5" s="1"/>
  <c r="L34" i="5"/>
  <c r="L36" i="5" s="1"/>
  <c r="M34" i="5"/>
  <c r="M36" i="5" s="1"/>
  <c r="N34" i="5"/>
  <c r="K37" i="5"/>
  <c r="L37" i="5"/>
  <c r="M37" i="5"/>
  <c r="N37" i="5"/>
  <c r="K21" i="5"/>
  <c r="L21" i="5"/>
  <c r="M21" i="5"/>
  <c r="N21" i="5"/>
  <c r="O21" i="5"/>
  <c r="K22" i="5"/>
  <c r="L22" i="5"/>
  <c r="M22" i="5"/>
  <c r="N22" i="5"/>
  <c r="O22" i="5"/>
  <c r="K23" i="5"/>
  <c r="L23" i="5"/>
  <c r="M23" i="5"/>
  <c r="N23" i="5"/>
  <c r="O23" i="5"/>
  <c r="O25" i="5" s="1"/>
  <c r="K26" i="5"/>
  <c r="L26" i="5"/>
  <c r="M26" i="5"/>
  <c r="N26" i="5"/>
  <c r="O26" i="5"/>
  <c r="K27" i="5"/>
  <c r="L27" i="5"/>
  <c r="M27" i="5"/>
  <c r="N27" i="5"/>
  <c r="O27" i="5"/>
  <c r="K28" i="5"/>
  <c r="L28" i="5"/>
  <c r="M28" i="5"/>
  <c r="N28" i="5"/>
  <c r="O28" i="5"/>
  <c r="K29" i="5"/>
  <c r="L29" i="5"/>
  <c r="M29" i="5"/>
  <c r="N29" i="5"/>
  <c r="O29" i="5"/>
  <c r="J37" i="5"/>
  <c r="J34" i="5"/>
  <c r="J33" i="5"/>
  <c r="J32" i="5"/>
  <c r="J29" i="5"/>
  <c r="J28" i="5"/>
  <c r="J27" i="5"/>
  <c r="J26" i="5"/>
  <c r="J23" i="5"/>
  <c r="J22" i="5"/>
  <c r="J21" i="5"/>
  <c r="K13" i="5"/>
  <c r="L13" i="5"/>
  <c r="M13" i="5"/>
  <c r="N13" i="5"/>
  <c r="K14" i="5"/>
  <c r="L14" i="5"/>
  <c r="M14" i="5"/>
  <c r="N14" i="5"/>
  <c r="K15" i="5"/>
  <c r="K17" i="5" s="1"/>
  <c r="L15" i="5"/>
  <c r="L17" i="5" s="1"/>
  <c r="M15" i="5"/>
  <c r="N15" i="5"/>
  <c r="K18" i="5"/>
  <c r="L18" i="5"/>
  <c r="M18" i="5"/>
  <c r="N18" i="5"/>
  <c r="K2" i="5"/>
  <c r="L2" i="5"/>
  <c r="M2" i="5"/>
  <c r="N2" i="5"/>
  <c r="O2" i="5"/>
  <c r="K3" i="5"/>
  <c r="L3" i="5"/>
  <c r="M3" i="5"/>
  <c r="N3" i="5"/>
  <c r="O3" i="5"/>
  <c r="K4" i="5"/>
  <c r="L4" i="5"/>
  <c r="M4" i="5"/>
  <c r="N4" i="5"/>
  <c r="O4" i="5"/>
  <c r="K7" i="5"/>
  <c r="L7" i="5"/>
  <c r="M7" i="5"/>
  <c r="N7" i="5"/>
  <c r="O7" i="5"/>
  <c r="K8" i="5"/>
  <c r="L8" i="5"/>
  <c r="M8" i="5"/>
  <c r="N8" i="5"/>
  <c r="O8" i="5"/>
  <c r="K9" i="5"/>
  <c r="L9" i="5"/>
  <c r="M9" i="5"/>
  <c r="N9" i="5"/>
  <c r="O9" i="5"/>
  <c r="K10" i="5"/>
  <c r="L10" i="5"/>
  <c r="M10" i="5"/>
  <c r="N10" i="5"/>
  <c r="O10" i="5"/>
  <c r="J18" i="5"/>
  <c r="J15" i="5"/>
  <c r="J13" i="5"/>
  <c r="J10" i="5"/>
  <c r="J9" i="5"/>
  <c r="J8" i="5"/>
  <c r="J7" i="5"/>
  <c r="J4" i="5"/>
  <c r="J3" i="5"/>
  <c r="J2" i="5"/>
  <c r="J14" i="5"/>
  <c r="C51" i="5"/>
  <c r="D51" i="5"/>
  <c r="E51" i="5"/>
  <c r="F51" i="5"/>
  <c r="C52" i="5"/>
  <c r="D52" i="5"/>
  <c r="E52" i="5"/>
  <c r="F52" i="5"/>
  <c r="C53" i="5"/>
  <c r="C55" i="5" s="1"/>
  <c r="D53" i="5"/>
  <c r="D55" i="5" s="1"/>
  <c r="E53" i="5"/>
  <c r="E55" i="5" s="1"/>
  <c r="F53" i="5"/>
  <c r="C56" i="5"/>
  <c r="D56" i="5"/>
  <c r="E56" i="5"/>
  <c r="F56" i="5"/>
  <c r="C40" i="5"/>
  <c r="D40" i="5"/>
  <c r="E40" i="5"/>
  <c r="F40" i="5"/>
  <c r="G40" i="5"/>
  <c r="C41" i="5"/>
  <c r="D41" i="5"/>
  <c r="E41" i="5"/>
  <c r="F41" i="5"/>
  <c r="G41" i="5"/>
  <c r="C42" i="5"/>
  <c r="C44" i="5" s="1"/>
  <c r="D42" i="5"/>
  <c r="E42" i="5"/>
  <c r="F42" i="5"/>
  <c r="G42" i="5"/>
  <c r="C45" i="5"/>
  <c r="D45" i="5"/>
  <c r="E45" i="5"/>
  <c r="F45" i="5"/>
  <c r="G45" i="5"/>
  <c r="C46" i="5"/>
  <c r="D46" i="5"/>
  <c r="E46" i="5"/>
  <c r="F46" i="5"/>
  <c r="G46" i="5"/>
  <c r="C47" i="5"/>
  <c r="D47" i="5"/>
  <c r="E47" i="5"/>
  <c r="F47" i="5"/>
  <c r="G47" i="5"/>
  <c r="C48" i="5"/>
  <c r="D48" i="5"/>
  <c r="E48" i="5"/>
  <c r="F48" i="5"/>
  <c r="G48" i="5"/>
  <c r="B56" i="5"/>
  <c r="B53" i="5"/>
  <c r="B52" i="5"/>
  <c r="B51" i="5"/>
  <c r="B48" i="5"/>
  <c r="B47" i="5"/>
  <c r="B46" i="5"/>
  <c r="B45" i="5"/>
  <c r="B42" i="5"/>
  <c r="B41" i="5"/>
  <c r="B40" i="5"/>
  <c r="C32" i="5"/>
  <c r="D32" i="5"/>
  <c r="E32" i="5"/>
  <c r="F32" i="5"/>
  <c r="C33" i="5"/>
  <c r="D33" i="5"/>
  <c r="E33" i="5"/>
  <c r="F33" i="5"/>
  <c r="C34" i="5"/>
  <c r="C36" i="5" s="1"/>
  <c r="D34" i="5"/>
  <c r="D36" i="5" s="1"/>
  <c r="E34" i="5"/>
  <c r="E36" i="5" s="1"/>
  <c r="F34" i="5"/>
  <c r="C37" i="5"/>
  <c r="D37" i="5"/>
  <c r="E37" i="5"/>
  <c r="F37" i="5"/>
  <c r="B37" i="5"/>
  <c r="B34" i="5"/>
  <c r="B33" i="5"/>
  <c r="B32" i="5"/>
  <c r="C21" i="5"/>
  <c r="D21" i="5"/>
  <c r="E21" i="5"/>
  <c r="F21" i="5"/>
  <c r="G21" i="5"/>
  <c r="C22" i="5"/>
  <c r="D22" i="5"/>
  <c r="E22" i="5"/>
  <c r="F22" i="5"/>
  <c r="G22" i="5"/>
  <c r="C23" i="5"/>
  <c r="D23" i="5"/>
  <c r="E23" i="5"/>
  <c r="F23" i="5"/>
  <c r="G23" i="5"/>
  <c r="C26" i="5"/>
  <c r="D26" i="5"/>
  <c r="E26" i="5"/>
  <c r="F26" i="5"/>
  <c r="G26" i="5"/>
  <c r="C27" i="5"/>
  <c r="D27" i="5"/>
  <c r="E27" i="5"/>
  <c r="F27" i="5"/>
  <c r="G27" i="5"/>
  <c r="C28" i="5"/>
  <c r="D28" i="5"/>
  <c r="E28" i="5"/>
  <c r="F28" i="5"/>
  <c r="G28" i="5"/>
  <c r="C29" i="5"/>
  <c r="D29" i="5"/>
  <c r="E29" i="5"/>
  <c r="F29" i="5"/>
  <c r="G29" i="5"/>
  <c r="B29" i="5"/>
  <c r="B28" i="5"/>
  <c r="B27" i="5"/>
  <c r="B26" i="5"/>
  <c r="B23" i="5"/>
  <c r="B22" i="5"/>
  <c r="B21" i="5"/>
  <c r="C13" i="5"/>
  <c r="D13" i="5"/>
  <c r="E13" i="5"/>
  <c r="F13" i="5"/>
  <c r="C14" i="5"/>
  <c r="D14" i="5"/>
  <c r="E14" i="5"/>
  <c r="F14" i="5"/>
  <c r="C15" i="5"/>
  <c r="C17" i="5" s="1"/>
  <c r="D15" i="5"/>
  <c r="D17" i="5" s="1"/>
  <c r="E15" i="5"/>
  <c r="E17" i="5" s="1"/>
  <c r="F15" i="5"/>
  <c r="C18" i="5"/>
  <c r="D18" i="5"/>
  <c r="E18" i="5"/>
  <c r="F18" i="5"/>
  <c r="B15" i="5"/>
  <c r="B18" i="5"/>
  <c r="B14" i="5"/>
  <c r="B13" i="5"/>
  <c r="C7" i="5"/>
  <c r="D7" i="5"/>
  <c r="E7" i="5"/>
  <c r="F7" i="5"/>
  <c r="G7" i="5"/>
  <c r="C8" i="5"/>
  <c r="D8" i="5"/>
  <c r="E8" i="5"/>
  <c r="F8" i="5"/>
  <c r="G8" i="5"/>
  <c r="C9" i="5"/>
  <c r="D9" i="5"/>
  <c r="E9" i="5"/>
  <c r="F9" i="5"/>
  <c r="G9" i="5"/>
  <c r="C10" i="5"/>
  <c r="D10" i="5"/>
  <c r="E10" i="5"/>
  <c r="F10" i="5"/>
  <c r="G10" i="5"/>
  <c r="B10" i="5"/>
  <c r="B9" i="5"/>
  <c r="B8" i="5"/>
  <c r="B7" i="5"/>
  <c r="C2" i="5"/>
  <c r="D2" i="5"/>
  <c r="E2" i="5"/>
  <c r="F2" i="5"/>
  <c r="G2" i="5"/>
  <c r="C3" i="5"/>
  <c r="D3" i="5"/>
  <c r="E3" i="5"/>
  <c r="F3" i="5"/>
  <c r="G3" i="5"/>
  <c r="C4" i="5"/>
  <c r="D4" i="5"/>
  <c r="E4" i="5"/>
  <c r="F4" i="5"/>
  <c r="G4" i="5"/>
  <c r="B4" i="5"/>
  <c r="B3" i="5"/>
  <c r="B2" i="5"/>
  <c r="M17" i="5" l="1"/>
  <c r="S4" i="5"/>
  <c r="E25" i="5"/>
  <c r="F23" i="3"/>
  <c r="F36" i="5"/>
  <c r="S3" i="5"/>
  <c r="F17" i="5"/>
  <c r="S2" i="5"/>
  <c r="N55" i="5"/>
  <c r="S7" i="5"/>
  <c r="C43" i="5"/>
  <c r="N36" i="5"/>
  <c r="S6" i="5"/>
  <c r="O43" i="5"/>
  <c r="E6" i="5"/>
  <c r="E44" i="5"/>
  <c r="L6" i="5"/>
  <c r="N17" i="5"/>
  <c r="S5" i="5"/>
  <c r="I11" i="15"/>
  <c r="O11" i="15" s="1"/>
  <c r="S11" i="15" s="1"/>
  <c r="X8" i="15"/>
  <c r="V8" i="15"/>
  <c r="W8" i="15"/>
  <c r="Y8" i="15"/>
  <c r="G25" i="5"/>
  <c r="E5" i="5"/>
  <c r="K55" i="5"/>
  <c r="E43" i="5"/>
  <c r="L5" i="5"/>
  <c r="K24" i="5"/>
  <c r="J24" i="5"/>
  <c r="J25" i="5"/>
  <c r="B25" i="5"/>
  <c r="D24" i="5"/>
  <c r="G43" i="5"/>
  <c r="N5" i="5"/>
  <c r="G44" i="5"/>
  <c r="K44" i="5"/>
  <c r="L25" i="5"/>
  <c r="N54" i="5"/>
  <c r="F55" i="5"/>
  <c r="F22" i="3"/>
  <c r="M35" i="5"/>
  <c r="L55" i="5"/>
  <c r="N24" i="5"/>
  <c r="F6" i="5"/>
  <c r="O6" i="5"/>
  <c r="N16" i="5"/>
  <c r="G5" i="5"/>
  <c r="D25" i="5"/>
  <c r="F44" i="5"/>
  <c r="E54" i="5"/>
  <c r="M6" i="5"/>
  <c r="N25" i="5"/>
  <c r="L44" i="5"/>
  <c r="B24" i="5"/>
  <c r="F5" i="5"/>
  <c r="K25" i="5"/>
  <c r="M25" i="5"/>
  <c r="D16" i="5"/>
  <c r="C35" i="5"/>
  <c r="K35" i="5"/>
  <c r="M54" i="5"/>
  <c r="C25" i="5"/>
  <c r="K6" i="5"/>
  <c r="N44" i="5"/>
  <c r="K43" i="5"/>
  <c r="F35" i="5"/>
  <c r="D54" i="5"/>
  <c r="C6" i="5"/>
  <c r="D35" i="5"/>
  <c r="M44" i="5"/>
  <c r="F20" i="3"/>
  <c r="D5" i="5"/>
  <c r="F25" i="5"/>
  <c r="C24" i="5"/>
  <c r="J5" i="5"/>
  <c r="N6" i="5"/>
  <c r="K5" i="5"/>
  <c r="L54" i="5"/>
  <c r="G6" i="5"/>
  <c r="F24" i="3"/>
  <c r="E24" i="5"/>
  <c r="B36" i="5"/>
  <c r="E35" i="5"/>
  <c r="L35" i="5"/>
  <c r="F19" i="3"/>
  <c r="B16" i="5"/>
  <c r="M5" i="5"/>
  <c r="M24" i="5"/>
  <c r="M43" i="5"/>
  <c r="C5" i="5"/>
  <c r="D43" i="5"/>
  <c r="L24" i="5"/>
  <c r="L43" i="5"/>
  <c r="K54" i="5"/>
  <c r="D6" i="5"/>
  <c r="G24" i="5"/>
  <c r="C54" i="5"/>
  <c r="O5" i="5"/>
  <c r="M16" i="5"/>
  <c r="J36" i="5"/>
  <c r="O24" i="5"/>
  <c r="F24" i="5"/>
  <c r="D44" i="5"/>
  <c r="F43" i="5"/>
  <c r="F54" i="5"/>
  <c r="N43" i="5"/>
  <c r="L16" i="5"/>
  <c r="K16" i="5"/>
  <c r="F16" i="5"/>
  <c r="E16" i="5"/>
  <c r="N35" i="5"/>
  <c r="J55" i="5"/>
  <c r="J54" i="5"/>
  <c r="J43" i="5"/>
  <c r="J44" i="5"/>
  <c r="J35" i="5"/>
  <c r="J17" i="5"/>
  <c r="J16" i="5"/>
  <c r="J6" i="5"/>
  <c r="B54" i="5"/>
  <c r="B55" i="5"/>
  <c r="B44" i="5"/>
  <c r="B43" i="5"/>
  <c r="B35" i="5"/>
  <c r="C16" i="5"/>
  <c r="B17" i="5"/>
  <c r="B6" i="5"/>
  <c r="B5" i="5"/>
  <c r="T11" i="15" l="1"/>
  <c r="AF11" i="16"/>
  <c r="S8" i="5"/>
  <c r="Z11" i="14" s="1"/>
  <c r="U11" i="15"/>
  <c r="Z11" i="15" s="1"/>
  <c r="E11" i="3"/>
  <c r="D11" i="3"/>
  <c r="C16" i="3"/>
  <c r="C15" i="3"/>
  <c r="C14" i="3"/>
  <c r="C13" i="3"/>
  <c r="C12" i="3"/>
  <c r="C11" i="3"/>
  <c r="S23" i="4"/>
  <c r="T23" i="4"/>
  <c r="U23" i="4"/>
  <c r="V23" i="4"/>
  <c r="W23" i="4"/>
  <c r="S24" i="4"/>
  <c r="T24" i="4"/>
  <c r="U24" i="4"/>
  <c r="V24" i="4"/>
  <c r="W24" i="4"/>
  <c r="S25" i="4"/>
  <c r="T25" i="4"/>
  <c r="U25" i="4"/>
  <c r="V25" i="4"/>
  <c r="W25" i="4"/>
  <c r="R25" i="4"/>
  <c r="R24" i="4"/>
  <c r="R23" i="4"/>
  <c r="S16" i="4"/>
  <c r="T16" i="4"/>
  <c r="U16" i="4"/>
  <c r="V16" i="4"/>
  <c r="S17" i="4"/>
  <c r="T17" i="4"/>
  <c r="U17" i="4"/>
  <c r="V17" i="4"/>
  <c r="S18" i="4"/>
  <c r="S20" i="4" s="1"/>
  <c r="T18" i="4"/>
  <c r="U18" i="4"/>
  <c r="U20" i="4" s="1"/>
  <c r="V18" i="4"/>
  <c r="R18" i="4"/>
  <c r="R17" i="4"/>
  <c r="R16" i="4"/>
  <c r="S9" i="4"/>
  <c r="T9" i="4"/>
  <c r="U9" i="4"/>
  <c r="V9" i="4"/>
  <c r="S10" i="4"/>
  <c r="T10" i="4"/>
  <c r="U10" i="4"/>
  <c r="V10" i="4"/>
  <c r="S11" i="4"/>
  <c r="S13" i="4" s="1"/>
  <c r="T11" i="4"/>
  <c r="T13" i="4" s="1"/>
  <c r="U11" i="4"/>
  <c r="U13" i="4" s="1"/>
  <c r="V11" i="4"/>
  <c r="V13" i="4" s="1"/>
  <c r="S2" i="4"/>
  <c r="T2" i="4"/>
  <c r="U2" i="4"/>
  <c r="V2" i="4"/>
  <c r="W2" i="4"/>
  <c r="S3" i="4"/>
  <c r="T3" i="4"/>
  <c r="U3" i="4"/>
  <c r="V3" i="4"/>
  <c r="W3" i="4"/>
  <c r="W5" i="4" s="1"/>
  <c r="S4" i="4"/>
  <c r="T4" i="4"/>
  <c r="U4" i="4"/>
  <c r="V4" i="4"/>
  <c r="W4" i="4"/>
  <c r="R11" i="4"/>
  <c r="R10" i="4"/>
  <c r="R9" i="4"/>
  <c r="R4" i="4"/>
  <c r="R3" i="4"/>
  <c r="R2" i="4"/>
  <c r="K23" i="4"/>
  <c r="L23" i="4"/>
  <c r="M23" i="4"/>
  <c r="N23" i="4"/>
  <c r="K24" i="4"/>
  <c r="L24" i="4"/>
  <c r="M24" i="4"/>
  <c r="N24" i="4"/>
  <c r="K25" i="4"/>
  <c r="K27" i="4" s="1"/>
  <c r="L25" i="4"/>
  <c r="M25" i="4"/>
  <c r="M27" i="4" s="1"/>
  <c r="N25" i="4"/>
  <c r="J25" i="4"/>
  <c r="J24" i="4"/>
  <c r="J23" i="4"/>
  <c r="K16" i="4"/>
  <c r="L16" i="4"/>
  <c r="M16" i="4"/>
  <c r="N16" i="4"/>
  <c r="O16" i="4"/>
  <c r="K17" i="4"/>
  <c r="L17" i="4"/>
  <c r="M17" i="4"/>
  <c r="N17" i="4"/>
  <c r="O17" i="4"/>
  <c r="K18" i="4"/>
  <c r="L18" i="4"/>
  <c r="M18" i="4"/>
  <c r="M20" i="4" s="1"/>
  <c r="N18" i="4"/>
  <c r="N20" i="4" s="1"/>
  <c r="O18" i="4"/>
  <c r="J18" i="4"/>
  <c r="J17" i="4"/>
  <c r="J16" i="4"/>
  <c r="K9" i="4"/>
  <c r="L9" i="4"/>
  <c r="M9" i="4"/>
  <c r="N9" i="4"/>
  <c r="K10" i="4"/>
  <c r="L10" i="4"/>
  <c r="M10" i="4"/>
  <c r="N10" i="4"/>
  <c r="K11" i="4"/>
  <c r="K13" i="4" s="1"/>
  <c r="L11" i="4"/>
  <c r="M11" i="4"/>
  <c r="M13" i="4" s="1"/>
  <c r="N11" i="4"/>
  <c r="J11" i="4"/>
  <c r="J10" i="4"/>
  <c r="J9" i="4"/>
  <c r="K2" i="4"/>
  <c r="L2" i="4"/>
  <c r="M2" i="4"/>
  <c r="N2" i="4"/>
  <c r="O2" i="4"/>
  <c r="K3" i="4"/>
  <c r="L3" i="4"/>
  <c r="M3" i="4"/>
  <c r="N3" i="4"/>
  <c r="O3" i="4"/>
  <c r="K4" i="4"/>
  <c r="L4" i="4"/>
  <c r="M4" i="4"/>
  <c r="N4" i="4"/>
  <c r="O4" i="4"/>
  <c r="J3" i="4"/>
  <c r="J2" i="4"/>
  <c r="J4" i="4"/>
  <c r="C23" i="4"/>
  <c r="D23" i="4"/>
  <c r="E23" i="4"/>
  <c r="F23" i="4"/>
  <c r="G23" i="4"/>
  <c r="C24" i="4"/>
  <c r="D24" i="4"/>
  <c r="E24" i="4"/>
  <c r="F24" i="4"/>
  <c r="G24" i="4"/>
  <c r="C25" i="4"/>
  <c r="D25" i="4"/>
  <c r="E25" i="4"/>
  <c r="F25" i="4"/>
  <c r="G25" i="4"/>
  <c r="B25" i="4"/>
  <c r="B24" i="4"/>
  <c r="B23" i="4"/>
  <c r="C16" i="4"/>
  <c r="D16" i="4"/>
  <c r="E16" i="4"/>
  <c r="F16" i="4"/>
  <c r="C17" i="4"/>
  <c r="D17" i="4"/>
  <c r="E17" i="4"/>
  <c r="F17" i="4"/>
  <c r="C18" i="4"/>
  <c r="C20" i="4" s="1"/>
  <c r="D18" i="4"/>
  <c r="D20" i="4" s="1"/>
  <c r="E18" i="4"/>
  <c r="E20" i="4" s="1"/>
  <c r="F18" i="4"/>
  <c r="F20" i="4" s="1"/>
  <c r="B17" i="4"/>
  <c r="B16" i="4"/>
  <c r="B18" i="4"/>
  <c r="C9" i="4"/>
  <c r="D9" i="4"/>
  <c r="E9" i="4"/>
  <c r="F9" i="4"/>
  <c r="C10" i="4"/>
  <c r="D10" i="4"/>
  <c r="E10" i="4"/>
  <c r="F10" i="4"/>
  <c r="C11" i="4"/>
  <c r="D11" i="4"/>
  <c r="E11" i="4"/>
  <c r="E13" i="4" s="1"/>
  <c r="F11" i="4"/>
  <c r="F13" i="4" s="1"/>
  <c r="B11" i="4"/>
  <c r="B10" i="4"/>
  <c r="B9" i="4"/>
  <c r="C2" i="4"/>
  <c r="D2" i="4"/>
  <c r="E2" i="4"/>
  <c r="F2" i="4"/>
  <c r="G2" i="4"/>
  <c r="C3" i="4"/>
  <c r="D3" i="4"/>
  <c r="E3" i="4"/>
  <c r="F3" i="4"/>
  <c r="G3" i="4"/>
  <c r="C4" i="4"/>
  <c r="D4" i="4"/>
  <c r="E4" i="4"/>
  <c r="F4" i="4"/>
  <c r="G4" i="4"/>
  <c r="C6" i="4"/>
  <c r="D6" i="4"/>
  <c r="E6" i="4"/>
  <c r="F6" i="4"/>
  <c r="G6" i="4"/>
  <c r="C5" i="4"/>
  <c r="D5" i="4"/>
  <c r="E5" i="4"/>
  <c r="F5" i="4"/>
  <c r="G5" i="4"/>
  <c r="B6" i="4"/>
  <c r="B5" i="4"/>
  <c r="B4" i="4"/>
  <c r="B3" i="4"/>
  <c r="B2" i="4"/>
  <c r="AS7" i="16" l="1"/>
  <c r="C18" i="18" s="1"/>
  <c r="AR7" i="16"/>
  <c r="B18" i="18" s="1"/>
  <c r="AB11" i="14"/>
  <c r="AB13" i="14" s="1"/>
  <c r="D8" i="18" s="1"/>
  <c r="L5" i="18" s="1"/>
  <c r="Z13" i="14"/>
  <c r="U27" i="4"/>
  <c r="V20" i="4"/>
  <c r="U26" i="4"/>
  <c r="X11" i="15"/>
  <c r="W11" i="15"/>
  <c r="V11" i="15"/>
  <c r="Y11" i="15"/>
  <c r="L13" i="4"/>
  <c r="D13" i="4"/>
  <c r="E27" i="4"/>
  <c r="S26" i="4"/>
  <c r="J27" i="4"/>
  <c r="V5" i="4"/>
  <c r="S6" i="4"/>
  <c r="E26" i="4"/>
  <c r="J6" i="4"/>
  <c r="V6" i="4"/>
  <c r="S27" i="4"/>
  <c r="R19" i="4"/>
  <c r="C27" i="4"/>
  <c r="K6" i="4"/>
  <c r="M19" i="4"/>
  <c r="N6" i="4"/>
  <c r="N27" i="4"/>
  <c r="T20" i="4"/>
  <c r="C19" i="4"/>
  <c r="G27" i="4"/>
  <c r="U5" i="4"/>
  <c r="W27" i="4"/>
  <c r="F27" i="4"/>
  <c r="L5" i="4"/>
  <c r="O19" i="4"/>
  <c r="K19" i="4"/>
  <c r="M6" i="4"/>
  <c r="O5" i="4"/>
  <c r="L6" i="4"/>
  <c r="O20" i="4"/>
  <c r="T6" i="4"/>
  <c r="T26" i="4"/>
  <c r="E12" i="4"/>
  <c r="F26" i="4"/>
  <c r="L12" i="4"/>
  <c r="R5" i="4"/>
  <c r="U6" i="4"/>
  <c r="L27" i="4"/>
  <c r="S5" i="4"/>
  <c r="N5" i="4"/>
  <c r="R6" i="4"/>
  <c r="M5" i="4"/>
  <c r="K26" i="4"/>
  <c r="O6" i="4"/>
  <c r="K20" i="4"/>
  <c r="T19" i="4"/>
  <c r="M12" i="4"/>
  <c r="C13" i="4"/>
  <c r="W26" i="4"/>
  <c r="F12" i="4"/>
  <c r="T27" i="4"/>
  <c r="U12" i="4"/>
  <c r="N13" i="4"/>
  <c r="D12" i="4"/>
  <c r="S12" i="4"/>
  <c r="F11" i="3"/>
  <c r="C12" i="4"/>
  <c r="B20" i="4"/>
  <c r="J12" i="4"/>
  <c r="L20" i="4"/>
  <c r="R13" i="4"/>
  <c r="V27" i="4"/>
  <c r="J5" i="4"/>
  <c r="K5" i="4"/>
  <c r="N19" i="4"/>
  <c r="W6" i="4"/>
  <c r="T5" i="4"/>
  <c r="V12" i="4"/>
  <c r="V19" i="4"/>
  <c r="L19" i="4"/>
  <c r="E19" i="4"/>
  <c r="S19" i="4"/>
  <c r="K12" i="4"/>
  <c r="U19" i="4"/>
  <c r="F19" i="4"/>
  <c r="N12" i="4"/>
  <c r="D19" i="4"/>
  <c r="D27" i="4"/>
  <c r="J26" i="4"/>
  <c r="M26" i="4"/>
  <c r="V26" i="4"/>
  <c r="B12" i="4"/>
  <c r="C26" i="4"/>
  <c r="R26" i="4"/>
  <c r="D26" i="4"/>
  <c r="B13" i="4"/>
  <c r="G26" i="4"/>
  <c r="N26" i="4"/>
  <c r="L26" i="4"/>
  <c r="T12" i="4"/>
  <c r="R27" i="4"/>
  <c r="R20" i="4"/>
  <c r="R12" i="4"/>
  <c r="J20" i="4"/>
  <c r="J19" i="4"/>
  <c r="J13" i="4"/>
  <c r="B27" i="4"/>
  <c r="B26" i="4"/>
  <c r="B19" i="4"/>
  <c r="R5" i="18" l="1"/>
  <c r="T5" i="18" s="1"/>
  <c r="B14" i="18"/>
  <c r="D14" i="18" s="1"/>
  <c r="E13" i="3"/>
  <c r="E15" i="3"/>
  <c r="E16" i="3"/>
  <c r="E14" i="3"/>
  <c r="E12" i="3"/>
  <c r="B11" i="3"/>
  <c r="AB4" i="18" l="1"/>
  <c r="AB5" i="18" s="1"/>
  <c r="D15" i="18"/>
  <c r="X4" i="18" s="1"/>
  <c r="B15" i="3"/>
  <c r="B16" i="3"/>
  <c r="B12" i="3"/>
  <c r="I6" i="15" s="1"/>
  <c r="O6" i="15" s="1"/>
  <c r="S6" i="15" s="1"/>
  <c r="B13" i="3"/>
  <c r="B14" i="3"/>
  <c r="X3" i="18" l="1"/>
  <c r="X2" i="18"/>
  <c r="T6" i="15"/>
  <c r="U6" i="15"/>
  <c r="Z6" i="15" s="1"/>
  <c r="D12" i="3"/>
  <c r="F12" i="3" s="1"/>
  <c r="W6" i="15" l="1"/>
  <c r="Y6" i="15"/>
  <c r="V6" i="15"/>
  <c r="X6" i="15"/>
  <c r="D16" i="3"/>
  <c r="F16" i="3" s="1"/>
  <c r="D14" i="3" l="1"/>
  <c r="F14" i="3" s="1"/>
  <c r="D13" i="3"/>
  <c r="F13" i="3" s="1"/>
  <c r="D15" i="3" l="1"/>
  <c r="F15" i="3" s="1"/>
  <c r="E8" i="3" l="1"/>
  <c r="E7" i="3"/>
  <c r="E6" i="3"/>
  <c r="E5" i="3"/>
  <c r="E4" i="3"/>
  <c r="E3" i="3"/>
  <c r="D8" i="3"/>
  <c r="D7" i="3"/>
  <c r="D6" i="3"/>
  <c r="D5" i="3"/>
  <c r="D4" i="3"/>
  <c r="D3" i="3"/>
  <c r="E2" i="3"/>
  <c r="D2" i="3"/>
  <c r="B8" i="3"/>
  <c r="B7" i="3"/>
  <c r="B6" i="3"/>
  <c r="B5" i="3"/>
  <c r="B4" i="3"/>
  <c r="B3" i="3"/>
  <c r="B2" i="3"/>
  <c r="J38" i="2"/>
  <c r="K38" i="2"/>
  <c r="L38" i="2"/>
  <c r="M38" i="2"/>
  <c r="N38" i="2"/>
  <c r="J39" i="2"/>
  <c r="K39" i="2"/>
  <c r="L39" i="2"/>
  <c r="M39" i="2"/>
  <c r="N39" i="2"/>
  <c r="J40" i="2"/>
  <c r="K40" i="2"/>
  <c r="L40" i="2"/>
  <c r="M40" i="2"/>
  <c r="N40" i="2"/>
  <c r="I40" i="2"/>
  <c r="I39" i="2"/>
  <c r="I38" i="2"/>
  <c r="J32" i="2"/>
  <c r="K32" i="2"/>
  <c r="L32" i="2"/>
  <c r="M32" i="2"/>
  <c r="N32" i="2"/>
  <c r="J33" i="2"/>
  <c r="K33" i="2"/>
  <c r="L33" i="2"/>
  <c r="M33" i="2"/>
  <c r="N33" i="2"/>
  <c r="J34" i="2"/>
  <c r="K34" i="2"/>
  <c r="L34" i="2"/>
  <c r="M34" i="2"/>
  <c r="N34" i="2"/>
  <c r="I34" i="2"/>
  <c r="I33" i="2"/>
  <c r="I32" i="2"/>
  <c r="J26" i="2"/>
  <c r="K26" i="2"/>
  <c r="L26" i="2"/>
  <c r="M26" i="2"/>
  <c r="N26" i="2"/>
  <c r="J27" i="2"/>
  <c r="K27" i="2"/>
  <c r="L27" i="2"/>
  <c r="M27" i="2"/>
  <c r="N27" i="2"/>
  <c r="J28" i="2"/>
  <c r="K28" i="2"/>
  <c r="L28" i="2"/>
  <c r="M28" i="2"/>
  <c r="N28" i="2"/>
  <c r="I28" i="2"/>
  <c r="I27" i="2"/>
  <c r="I26" i="2"/>
  <c r="J22" i="2"/>
  <c r="K22" i="2"/>
  <c r="L22" i="2"/>
  <c r="M22" i="2"/>
  <c r="N22" i="2"/>
  <c r="J21" i="2"/>
  <c r="K21" i="2"/>
  <c r="L21" i="2"/>
  <c r="M21" i="2"/>
  <c r="N21" i="2"/>
  <c r="I22" i="2"/>
  <c r="I21" i="2"/>
  <c r="J20" i="2"/>
  <c r="K20" i="2"/>
  <c r="L20" i="2"/>
  <c r="M20" i="2"/>
  <c r="N20" i="2"/>
  <c r="I20" i="2"/>
  <c r="J14" i="2"/>
  <c r="K14" i="2"/>
  <c r="L14" i="2"/>
  <c r="M14" i="2"/>
  <c r="N14" i="2"/>
  <c r="J15" i="2"/>
  <c r="K15" i="2"/>
  <c r="L15" i="2"/>
  <c r="M15" i="2"/>
  <c r="N15" i="2"/>
  <c r="J16" i="2"/>
  <c r="K16" i="2"/>
  <c r="L16" i="2"/>
  <c r="M16" i="2"/>
  <c r="N16" i="2"/>
  <c r="I16" i="2"/>
  <c r="I15" i="2"/>
  <c r="I14" i="2"/>
  <c r="J8" i="2"/>
  <c r="K8" i="2"/>
  <c r="L8" i="2"/>
  <c r="M8" i="2"/>
  <c r="N8" i="2"/>
  <c r="J9" i="2"/>
  <c r="K9" i="2"/>
  <c r="L9" i="2"/>
  <c r="M9" i="2"/>
  <c r="N9" i="2"/>
  <c r="J10" i="2"/>
  <c r="K10" i="2"/>
  <c r="L10" i="2"/>
  <c r="M10" i="2"/>
  <c r="N10" i="2"/>
  <c r="I10" i="2"/>
  <c r="I9" i="2"/>
  <c r="I8" i="2"/>
  <c r="J2" i="2"/>
  <c r="K2" i="2"/>
  <c r="L2" i="2"/>
  <c r="M2" i="2"/>
  <c r="N2" i="2"/>
  <c r="J3" i="2"/>
  <c r="K3" i="2"/>
  <c r="L3" i="2"/>
  <c r="M3" i="2"/>
  <c r="N3" i="2"/>
  <c r="J4" i="2"/>
  <c r="K4" i="2"/>
  <c r="L4" i="2"/>
  <c r="M4" i="2"/>
  <c r="N4" i="2"/>
  <c r="I4" i="2"/>
  <c r="I3" i="2"/>
  <c r="I2" i="2"/>
  <c r="J45" i="2"/>
  <c r="K45" i="2"/>
  <c r="L45" i="2"/>
  <c r="M45" i="2"/>
  <c r="J46" i="2"/>
  <c r="K46" i="2"/>
  <c r="L46" i="2"/>
  <c r="M46" i="2"/>
  <c r="J47" i="2"/>
  <c r="K47" i="2"/>
  <c r="L47" i="2"/>
  <c r="M47" i="2"/>
  <c r="J48" i="2"/>
  <c r="K48" i="2"/>
  <c r="L48" i="2"/>
  <c r="M48" i="2"/>
  <c r="J49" i="2"/>
  <c r="K49" i="2"/>
  <c r="L49" i="2"/>
  <c r="M49" i="2"/>
  <c r="J50" i="2"/>
  <c r="K50" i="2"/>
  <c r="L50" i="2"/>
  <c r="M50" i="2"/>
  <c r="J51" i="2"/>
  <c r="K51" i="2"/>
  <c r="L51" i="2"/>
  <c r="M51" i="2"/>
  <c r="I51" i="2"/>
  <c r="I50" i="2"/>
  <c r="I49" i="2"/>
  <c r="I48" i="2"/>
  <c r="I47" i="2"/>
  <c r="I46" i="2"/>
  <c r="I45" i="2"/>
  <c r="C47" i="2"/>
  <c r="D47" i="2"/>
  <c r="E47" i="2"/>
  <c r="F47" i="2"/>
  <c r="C48" i="2"/>
  <c r="D48" i="2"/>
  <c r="E48" i="2"/>
  <c r="F48" i="2"/>
  <c r="C49" i="2"/>
  <c r="D49" i="2"/>
  <c r="E49" i="2"/>
  <c r="F49" i="2"/>
  <c r="C50" i="2"/>
  <c r="D50" i="2"/>
  <c r="E50" i="2"/>
  <c r="F50" i="2"/>
  <c r="C51" i="2"/>
  <c r="D51" i="2"/>
  <c r="E51" i="2"/>
  <c r="F51" i="2"/>
  <c r="C52" i="2"/>
  <c r="D52" i="2"/>
  <c r="E52" i="2"/>
  <c r="F52" i="2"/>
  <c r="C53" i="2"/>
  <c r="D53" i="2"/>
  <c r="E53" i="2"/>
  <c r="F53" i="2"/>
  <c r="B53" i="2"/>
  <c r="B52" i="2"/>
  <c r="B51" i="2"/>
  <c r="B50" i="2"/>
  <c r="B49" i="2"/>
  <c r="B48" i="2"/>
  <c r="B47" i="2"/>
  <c r="C38" i="2"/>
  <c r="D38" i="2"/>
  <c r="E38" i="2"/>
  <c r="F38" i="2"/>
  <c r="C39" i="2"/>
  <c r="D39" i="2"/>
  <c r="E39" i="2"/>
  <c r="F39" i="2"/>
  <c r="C40" i="2"/>
  <c r="D40" i="2"/>
  <c r="E40" i="2"/>
  <c r="F40" i="2"/>
  <c r="C41" i="2"/>
  <c r="D41" i="2"/>
  <c r="E41" i="2"/>
  <c r="F41" i="2"/>
  <c r="C42" i="2"/>
  <c r="D42" i="2"/>
  <c r="E42" i="2"/>
  <c r="F42" i="2"/>
  <c r="C43" i="2"/>
  <c r="D43" i="2"/>
  <c r="E43" i="2"/>
  <c r="F43" i="2"/>
  <c r="C44" i="2"/>
  <c r="D44" i="2"/>
  <c r="E44" i="2"/>
  <c r="F44" i="2"/>
  <c r="B44" i="2"/>
  <c r="B43" i="2"/>
  <c r="B42" i="2"/>
  <c r="B41" i="2"/>
  <c r="B40" i="2"/>
  <c r="B39" i="2"/>
  <c r="B38" i="2"/>
  <c r="C29" i="2"/>
  <c r="D29" i="2"/>
  <c r="E29" i="2"/>
  <c r="F29" i="2"/>
  <c r="C30" i="2"/>
  <c r="D30" i="2"/>
  <c r="E30" i="2"/>
  <c r="F30" i="2"/>
  <c r="C31" i="2"/>
  <c r="D31" i="2"/>
  <c r="E31" i="2"/>
  <c r="F31" i="2"/>
  <c r="C32" i="2"/>
  <c r="D32" i="2"/>
  <c r="E32" i="2"/>
  <c r="F32" i="2"/>
  <c r="C33" i="2"/>
  <c r="D33" i="2"/>
  <c r="E33" i="2"/>
  <c r="F33" i="2"/>
  <c r="C34" i="2"/>
  <c r="D34" i="2"/>
  <c r="E34" i="2"/>
  <c r="F34" i="2"/>
  <c r="C35" i="2"/>
  <c r="D35" i="2"/>
  <c r="E35" i="2"/>
  <c r="F35" i="2"/>
  <c r="B35" i="2"/>
  <c r="B34" i="2"/>
  <c r="B33" i="2"/>
  <c r="B32" i="2"/>
  <c r="B31" i="2"/>
  <c r="B30" i="2"/>
  <c r="B29" i="2"/>
  <c r="C20" i="2"/>
  <c r="D20" i="2"/>
  <c r="E20" i="2"/>
  <c r="F20" i="2"/>
  <c r="C21" i="2"/>
  <c r="D21" i="2"/>
  <c r="E21" i="2"/>
  <c r="F21" i="2"/>
  <c r="C22" i="2"/>
  <c r="D22" i="2"/>
  <c r="E22" i="2"/>
  <c r="F22" i="2"/>
  <c r="C23" i="2"/>
  <c r="D23" i="2"/>
  <c r="E23" i="2"/>
  <c r="F23" i="2"/>
  <c r="C24" i="2"/>
  <c r="D24" i="2"/>
  <c r="E24" i="2"/>
  <c r="F24" i="2"/>
  <c r="C25" i="2"/>
  <c r="D25" i="2"/>
  <c r="E25" i="2"/>
  <c r="F25" i="2"/>
  <c r="C26" i="2"/>
  <c r="D26" i="2"/>
  <c r="E26" i="2"/>
  <c r="F26" i="2"/>
  <c r="B26" i="2"/>
  <c r="B25" i="2"/>
  <c r="B24" i="2"/>
  <c r="B23" i="2"/>
  <c r="B22" i="2"/>
  <c r="B21" i="2"/>
  <c r="B20" i="2"/>
  <c r="C12" i="2"/>
  <c r="D12" i="2"/>
  <c r="E12" i="2"/>
  <c r="F12" i="2"/>
  <c r="C13" i="2"/>
  <c r="D13" i="2"/>
  <c r="E13" i="2"/>
  <c r="F13" i="2"/>
  <c r="C14" i="2"/>
  <c r="D14" i="2"/>
  <c r="E14" i="2"/>
  <c r="F14" i="2"/>
  <c r="C15" i="2"/>
  <c r="D15" i="2"/>
  <c r="E15" i="2"/>
  <c r="F15" i="2"/>
  <c r="C16" i="2"/>
  <c r="D16" i="2"/>
  <c r="E16" i="2"/>
  <c r="F16" i="2"/>
  <c r="C17" i="2"/>
  <c r="D17" i="2"/>
  <c r="E17" i="2"/>
  <c r="F17" i="2"/>
  <c r="B17" i="2"/>
  <c r="B16" i="2"/>
  <c r="B15" i="2"/>
  <c r="B14" i="2"/>
  <c r="B13" i="2"/>
  <c r="B12" i="2"/>
  <c r="C11" i="2"/>
  <c r="D11" i="2"/>
  <c r="E11" i="2"/>
  <c r="F11" i="2"/>
  <c r="B11" i="2"/>
  <c r="C8" i="2"/>
  <c r="D8" i="2"/>
  <c r="E8" i="2"/>
  <c r="F8" i="2"/>
  <c r="B8" i="2"/>
  <c r="C6" i="2"/>
  <c r="D6" i="2"/>
  <c r="E6" i="2"/>
  <c r="F6" i="2"/>
  <c r="C7" i="2"/>
  <c r="D7" i="2"/>
  <c r="E7" i="2"/>
  <c r="F7" i="2"/>
  <c r="B7" i="2"/>
  <c r="B6" i="2"/>
  <c r="C5" i="2"/>
  <c r="D5" i="2"/>
  <c r="E5" i="2"/>
  <c r="F5" i="2"/>
  <c r="B5" i="2"/>
  <c r="C4" i="2"/>
  <c r="D4" i="2"/>
  <c r="E4" i="2"/>
  <c r="F4" i="2"/>
  <c r="B4" i="2"/>
  <c r="C3" i="2"/>
  <c r="D3" i="2"/>
  <c r="E3" i="2"/>
  <c r="F3" i="2"/>
  <c r="B3" i="2"/>
  <c r="C2" i="2"/>
  <c r="D2" i="2"/>
  <c r="E2" i="2"/>
  <c r="F2" i="2"/>
  <c r="B2" i="2"/>
  <c r="D3" i="18" l="1"/>
  <c r="F7" i="3"/>
  <c r="F8" i="3"/>
  <c r="I3" i="15"/>
  <c r="O3" i="15" s="1"/>
  <c r="S3" i="15" s="1"/>
  <c r="F5" i="3"/>
  <c r="F2" i="3"/>
  <c r="F4" i="3"/>
  <c r="F3" i="3"/>
  <c r="F6" i="3"/>
  <c r="E826" i="1"/>
  <c r="E825" i="1"/>
  <c r="E824" i="1"/>
  <c r="E823" i="1"/>
  <c r="E822" i="1"/>
  <c r="E815" i="1"/>
  <c r="E814" i="1"/>
  <c r="E813" i="1"/>
  <c r="E812" i="1"/>
  <c r="E811" i="1"/>
  <c r="E810" i="1"/>
  <c r="E804" i="1"/>
  <c r="E803" i="1"/>
  <c r="E802" i="1"/>
  <c r="E801" i="1"/>
  <c r="E800" i="1"/>
  <c r="E799" i="1"/>
  <c r="E793" i="1"/>
  <c r="E792" i="1"/>
  <c r="E791" i="1"/>
  <c r="E790" i="1"/>
  <c r="E789" i="1"/>
  <c r="E782" i="1"/>
  <c r="E781" i="1"/>
  <c r="E780" i="1"/>
  <c r="E779" i="1"/>
  <c r="E778" i="1"/>
  <c r="E777" i="1"/>
  <c r="E771" i="1"/>
  <c r="E770" i="1"/>
  <c r="E769" i="1"/>
  <c r="E768" i="1"/>
  <c r="E767" i="1"/>
  <c r="E766" i="1"/>
  <c r="E821" i="1"/>
  <c r="E820" i="1"/>
  <c r="E819" i="1"/>
  <c r="E818" i="1"/>
  <c r="E817" i="1"/>
  <c r="E816" i="1"/>
  <c r="E809" i="1"/>
  <c r="E808" i="1"/>
  <c r="E807" i="1"/>
  <c r="E806" i="1"/>
  <c r="E805" i="1"/>
  <c r="E798" i="1"/>
  <c r="E797" i="1"/>
  <c r="E796" i="1"/>
  <c r="E795" i="1"/>
  <c r="E794" i="1"/>
  <c r="E788" i="1"/>
  <c r="E787" i="1"/>
  <c r="E786" i="1"/>
  <c r="E785" i="1"/>
  <c r="E784" i="1"/>
  <c r="E783" i="1"/>
  <c r="E776" i="1"/>
  <c r="E775" i="1"/>
  <c r="E774" i="1"/>
  <c r="E773" i="1"/>
  <c r="E772" i="1"/>
  <c r="E765" i="1"/>
  <c r="E764" i="1"/>
  <c r="E763" i="1"/>
  <c r="E762" i="1"/>
  <c r="E761"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84" i="1"/>
  <c r="F785" i="1"/>
  <c r="F786" i="1"/>
  <c r="F787" i="1"/>
  <c r="F788" i="1"/>
  <c r="F789" i="1"/>
  <c r="F790" i="1"/>
  <c r="F791" i="1"/>
  <c r="F792" i="1"/>
  <c r="F793" i="1"/>
  <c r="F783" i="1"/>
  <c r="F772" i="1"/>
  <c r="F773" i="1"/>
  <c r="F774" i="1"/>
  <c r="F775" i="1"/>
  <c r="F776" i="1"/>
  <c r="F777" i="1"/>
  <c r="F778" i="1"/>
  <c r="F779" i="1"/>
  <c r="F780" i="1"/>
  <c r="F781" i="1"/>
  <c r="F782" i="1"/>
  <c r="F765" i="1"/>
  <c r="F766" i="1"/>
  <c r="F767" i="1"/>
  <c r="F768" i="1"/>
  <c r="F769" i="1"/>
  <c r="F770" i="1"/>
  <c r="F771" i="1"/>
  <c r="F764" i="1"/>
  <c r="F763" i="1"/>
  <c r="F762" i="1"/>
  <c r="F761" i="1"/>
  <c r="E507" i="1"/>
  <c r="E506" i="1"/>
  <c r="E505" i="1"/>
  <c r="E504" i="1"/>
  <c r="E503" i="1"/>
  <c r="E502" i="1"/>
  <c r="E518" i="1"/>
  <c r="E517" i="1"/>
  <c r="E516" i="1"/>
  <c r="E515" i="1"/>
  <c r="E514" i="1"/>
  <c r="E513" i="1"/>
  <c r="E512" i="1"/>
  <c r="E511" i="1"/>
  <c r="E510" i="1"/>
  <c r="E509" i="1"/>
  <c r="E508" i="1"/>
  <c r="E501" i="1"/>
  <c r="E500" i="1"/>
  <c r="E499" i="1"/>
  <c r="E498" i="1"/>
  <c r="E497" i="1"/>
  <c r="E490" i="1"/>
  <c r="E489" i="1"/>
  <c r="E488" i="1"/>
  <c r="E487" i="1"/>
  <c r="E486" i="1"/>
  <c r="E479" i="1"/>
  <c r="E478" i="1"/>
  <c r="E477" i="1"/>
  <c r="E476" i="1"/>
  <c r="E475" i="1"/>
  <c r="E760" i="1"/>
  <c r="E759" i="1"/>
  <c r="E758" i="1"/>
  <c r="E757" i="1"/>
  <c r="E756" i="1"/>
  <c r="E755" i="1"/>
  <c r="E749" i="1"/>
  <c r="E748" i="1"/>
  <c r="E747" i="1"/>
  <c r="E746" i="1"/>
  <c r="E745" i="1"/>
  <c r="E738" i="1"/>
  <c r="E737" i="1"/>
  <c r="E736" i="1"/>
  <c r="E735" i="1"/>
  <c r="E734" i="1"/>
  <c r="E727" i="1"/>
  <c r="E726" i="1"/>
  <c r="E725" i="1"/>
  <c r="E724" i="1"/>
  <c r="E723" i="1"/>
  <c r="E716" i="1"/>
  <c r="E715" i="1"/>
  <c r="E714" i="1"/>
  <c r="E713" i="1"/>
  <c r="E712" i="1"/>
  <c r="E711" i="1"/>
  <c r="E705" i="1"/>
  <c r="E704" i="1"/>
  <c r="E703" i="1"/>
  <c r="E702" i="1"/>
  <c r="E701" i="1"/>
  <c r="E694" i="1"/>
  <c r="E693" i="1"/>
  <c r="E692" i="1"/>
  <c r="E691" i="1"/>
  <c r="E690" i="1"/>
  <c r="E689" i="1"/>
  <c r="E683" i="1"/>
  <c r="E682" i="1"/>
  <c r="E681" i="1"/>
  <c r="E680" i="1"/>
  <c r="E679" i="1"/>
  <c r="E672" i="1"/>
  <c r="E671" i="1"/>
  <c r="E670" i="1"/>
  <c r="E669" i="1"/>
  <c r="E668" i="1"/>
  <c r="E661" i="1"/>
  <c r="E660" i="1"/>
  <c r="E659" i="1"/>
  <c r="E658" i="1"/>
  <c r="E657" i="1"/>
  <c r="E650" i="1"/>
  <c r="E649" i="1"/>
  <c r="E648" i="1"/>
  <c r="E647" i="1"/>
  <c r="E646" i="1"/>
  <c r="E645" i="1"/>
  <c r="E639" i="1"/>
  <c r="E638" i="1"/>
  <c r="E637" i="1"/>
  <c r="E636" i="1"/>
  <c r="E635" i="1"/>
  <c r="E754" i="1"/>
  <c r="E753" i="1"/>
  <c r="E752" i="1"/>
  <c r="E751" i="1"/>
  <c r="E750" i="1"/>
  <c r="E744" i="1"/>
  <c r="E743" i="1"/>
  <c r="E742" i="1"/>
  <c r="E741" i="1"/>
  <c r="E740" i="1"/>
  <c r="E739" i="1"/>
  <c r="E733" i="1"/>
  <c r="E732" i="1"/>
  <c r="E731" i="1"/>
  <c r="E730" i="1"/>
  <c r="E729" i="1"/>
  <c r="E728" i="1"/>
  <c r="E722" i="1"/>
  <c r="E721" i="1"/>
  <c r="E720" i="1"/>
  <c r="E719" i="1"/>
  <c r="E718" i="1"/>
  <c r="E717" i="1"/>
  <c r="E710" i="1"/>
  <c r="E709" i="1"/>
  <c r="E708" i="1"/>
  <c r="E707" i="1"/>
  <c r="E706" i="1"/>
  <c r="E700" i="1"/>
  <c r="E699" i="1"/>
  <c r="E698" i="1"/>
  <c r="E697" i="1"/>
  <c r="E696" i="1"/>
  <c r="E695" i="1"/>
  <c r="E688" i="1"/>
  <c r="E687" i="1"/>
  <c r="E686" i="1"/>
  <c r="E685" i="1"/>
  <c r="E684" i="1"/>
  <c r="E678" i="1"/>
  <c r="E677" i="1"/>
  <c r="E676" i="1"/>
  <c r="E675" i="1"/>
  <c r="E674" i="1"/>
  <c r="E673" i="1"/>
  <c r="E667" i="1"/>
  <c r="E666" i="1"/>
  <c r="E665" i="1"/>
  <c r="E664" i="1"/>
  <c r="E663" i="1"/>
  <c r="E662" i="1"/>
  <c r="E656" i="1"/>
  <c r="E655" i="1"/>
  <c r="E654" i="1"/>
  <c r="E653" i="1"/>
  <c r="E652" i="1"/>
  <c r="E651" i="1"/>
  <c r="E644" i="1"/>
  <c r="E643" i="1"/>
  <c r="E642" i="1"/>
  <c r="E641" i="1"/>
  <c r="E640" i="1"/>
  <c r="E634" i="1"/>
  <c r="E633" i="1"/>
  <c r="E632" i="1"/>
  <c r="E631" i="1"/>
  <c r="E630" i="1"/>
  <c r="E629"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74" i="1"/>
  <c r="F675" i="1"/>
  <c r="F676" i="1"/>
  <c r="F677" i="1"/>
  <c r="F678" i="1"/>
  <c r="F679" i="1"/>
  <c r="F680" i="1"/>
  <c r="F681" i="1"/>
  <c r="F682" i="1"/>
  <c r="F683" i="1"/>
  <c r="F673" i="1"/>
  <c r="F686" i="1"/>
  <c r="F687" i="1"/>
  <c r="F688" i="1"/>
  <c r="F689" i="1"/>
  <c r="F690" i="1"/>
  <c r="F691" i="1"/>
  <c r="F692" i="1"/>
  <c r="F693" i="1"/>
  <c r="F694" i="1"/>
  <c r="F685" i="1"/>
  <c r="F684" i="1"/>
  <c r="F663" i="1"/>
  <c r="F664" i="1"/>
  <c r="F665" i="1"/>
  <c r="F666" i="1"/>
  <c r="F667" i="1"/>
  <c r="F668" i="1"/>
  <c r="F669" i="1"/>
  <c r="F670" i="1"/>
  <c r="F671" i="1"/>
  <c r="F672" i="1"/>
  <c r="F662" i="1"/>
  <c r="F652" i="1"/>
  <c r="F653" i="1"/>
  <c r="F654" i="1"/>
  <c r="F655" i="1"/>
  <c r="F656" i="1"/>
  <c r="F657" i="1"/>
  <c r="F658" i="1"/>
  <c r="F659" i="1"/>
  <c r="F660" i="1"/>
  <c r="F661" i="1"/>
  <c r="F651" i="1"/>
  <c r="F641" i="1"/>
  <c r="F642" i="1"/>
  <c r="F643" i="1"/>
  <c r="F644" i="1"/>
  <c r="F645" i="1"/>
  <c r="F646" i="1"/>
  <c r="F647" i="1"/>
  <c r="F648" i="1"/>
  <c r="F649" i="1"/>
  <c r="F650" i="1"/>
  <c r="F640" i="1"/>
  <c r="F630" i="1"/>
  <c r="F631" i="1"/>
  <c r="F632" i="1"/>
  <c r="F633" i="1"/>
  <c r="F634" i="1"/>
  <c r="F635" i="1"/>
  <c r="F636" i="1"/>
  <c r="F637" i="1"/>
  <c r="F638" i="1"/>
  <c r="F639" i="1"/>
  <c r="F629" i="1"/>
  <c r="D5" i="18" l="1"/>
  <c r="U3" i="15"/>
  <c r="Z3" i="15" s="1"/>
  <c r="T3" i="15"/>
  <c r="E628" i="1"/>
  <c r="E627" i="1"/>
  <c r="E626" i="1"/>
  <c r="E625" i="1"/>
  <c r="E624" i="1"/>
  <c r="E623" i="1"/>
  <c r="E617" i="1"/>
  <c r="E616" i="1"/>
  <c r="E615" i="1"/>
  <c r="E614" i="1"/>
  <c r="E613" i="1"/>
  <c r="E612" i="1"/>
  <c r="E606" i="1"/>
  <c r="E605" i="1"/>
  <c r="E604" i="1"/>
  <c r="E603" i="1"/>
  <c r="E602" i="1"/>
  <c r="E601" i="1"/>
  <c r="E595" i="1"/>
  <c r="E594" i="1"/>
  <c r="E593" i="1"/>
  <c r="E592" i="1"/>
  <c r="E591" i="1"/>
  <c r="E590" i="1"/>
  <c r="E584" i="1"/>
  <c r="E583" i="1"/>
  <c r="E582" i="1"/>
  <c r="E581" i="1"/>
  <c r="E580" i="1"/>
  <c r="E579" i="1"/>
  <c r="E573" i="1"/>
  <c r="E572" i="1"/>
  <c r="E571" i="1"/>
  <c r="E570" i="1"/>
  <c r="E569" i="1"/>
  <c r="E568" i="1"/>
  <c r="E562" i="1"/>
  <c r="E561" i="1"/>
  <c r="E560" i="1"/>
  <c r="E559" i="1"/>
  <c r="E558" i="1"/>
  <c r="E557" i="1"/>
  <c r="E551" i="1"/>
  <c r="E550" i="1"/>
  <c r="E549" i="1"/>
  <c r="E548" i="1"/>
  <c r="E547" i="1"/>
  <c r="E546" i="1"/>
  <c r="E540" i="1"/>
  <c r="E539" i="1"/>
  <c r="E538" i="1"/>
  <c r="E537" i="1"/>
  <c r="E536" i="1"/>
  <c r="E535" i="1"/>
  <c r="E529" i="1"/>
  <c r="E622" i="1"/>
  <c r="E621" i="1"/>
  <c r="E620" i="1"/>
  <c r="E619" i="1"/>
  <c r="E618" i="1"/>
  <c r="E611" i="1"/>
  <c r="E610" i="1"/>
  <c r="E609" i="1"/>
  <c r="E608" i="1"/>
  <c r="E607" i="1"/>
  <c r="E600" i="1"/>
  <c r="E599" i="1"/>
  <c r="E598" i="1"/>
  <c r="E597" i="1"/>
  <c r="E596" i="1"/>
  <c r="E589" i="1"/>
  <c r="E588" i="1"/>
  <c r="E587" i="1"/>
  <c r="E586" i="1"/>
  <c r="E585" i="1"/>
  <c r="E578" i="1"/>
  <c r="E577" i="1"/>
  <c r="E576" i="1"/>
  <c r="E575" i="1"/>
  <c r="E574" i="1"/>
  <c r="E567" i="1"/>
  <c r="E566" i="1"/>
  <c r="E565" i="1"/>
  <c r="E564" i="1"/>
  <c r="E563" i="1"/>
  <c r="E556" i="1"/>
  <c r="E555" i="1"/>
  <c r="E554" i="1"/>
  <c r="E553" i="1"/>
  <c r="E552" i="1"/>
  <c r="E545" i="1"/>
  <c r="E544" i="1"/>
  <c r="E543" i="1"/>
  <c r="E542" i="1"/>
  <c r="E541" i="1"/>
  <c r="E534" i="1"/>
  <c r="E533" i="1"/>
  <c r="E532" i="1"/>
  <c r="E531" i="1"/>
  <c r="E530" i="1"/>
  <c r="E523" i="1"/>
  <c r="E522" i="1"/>
  <c r="E521" i="1"/>
  <c r="E520" i="1"/>
  <c r="E51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65" i="1"/>
  <c r="F566" i="1"/>
  <c r="F567" i="1"/>
  <c r="F568" i="1"/>
  <c r="F569" i="1"/>
  <c r="F570" i="1"/>
  <c r="F571" i="1"/>
  <c r="F572" i="1"/>
  <c r="F573" i="1"/>
  <c r="F564" i="1"/>
  <c r="F563" i="1"/>
  <c r="F554" i="1"/>
  <c r="F555" i="1"/>
  <c r="F556" i="1"/>
  <c r="F557" i="1"/>
  <c r="F558" i="1"/>
  <c r="F559" i="1"/>
  <c r="F560" i="1"/>
  <c r="F561" i="1"/>
  <c r="F562" i="1"/>
  <c r="F553" i="1"/>
  <c r="F552" i="1"/>
  <c r="F543" i="1"/>
  <c r="F544" i="1"/>
  <c r="F545" i="1"/>
  <c r="F546" i="1"/>
  <c r="F547" i="1"/>
  <c r="F548" i="1"/>
  <c r="F549" i="1"/>
  <c r="F550" i="1"/>
  <c r="F551" i="1"/>
  <c r="F542" i="1"/>
  <c r="F541" i="1"/>
  <c r="F532" i="1"/>
  <c r="F533" i="1"/>
  <c r="F534" i="1"/>
  <c r="F535" i="1"/>
  <c r="F536" i="1"/>
  <c r="F537" i="1"/>
  <c r="F538" i="1"/>
  <c r="F539" i="1"/>
  <c r="F540" i="1"/>
  <c r="F531" i="1"/>
  <c r="F530" i="1"/>
  <c r="Y3" i="15" l="1"/>
  <c r="W3" i="15"/>
  <c r="V3" i="15"/>
  <c r="X3" i="15"/>
  <c r="E524" i="1"/>
  <c r="E525" i="1" l="1"/>
  <c r="E526" i="1" l="1"/>
  <c r="E527" i="1" l="1"/>
  <c r="E528" i="1" l="1"/>
  <c r="F521" i="1" l="1"/>
  <c r="F522" i="1"/>
  <c r="F523" i="1"/>
  <c r="F524" i="1"/>
  <c r="F525" i="1"/>
  <c r="F526" i="1"/>
  <c r="F527" i="1"/>
  <c r="F528" i="1"/>
  <c r="F529" i="1"/>
  <c r="F520" i="1"/>
  <c r="F519" i="1"/>
  <c r="F497" i="1"/>
  <c r="F498" i="1"/>
  <c r="F499" i="1"/>
  <c r="F500" i="1"/>
  <c r="F501" i="1"/>
  <c r="F502" i="1"/>
  <c r="F503" i="1"/>
  <c r="F504" i="1"/>
  <c r="F505" i="1"/>
  <c r="F506" i="1"/>
  <c r="F507" i="1"/>
  <c r="F508" i="1"/>
  <c r="F509" i="1"/>
  <c r="F510" i="1"/>
  <c r="F511" i="1"/>
  <c r="F512" i="1"/>
  <c r="F513" i="1"/>
  <c r="F514" i="1"/>
  <c r="F515" i="1"/>
  <c r="F516" i="1"/>
  <c r="F517" i="1"/>
  <c r="F518" i="1"/>
  <c r="F488" i="1"/>
  <c r="F489" i="1"/>
  <c r="F490" i="1"/>
  <c r="F491" i="1"/>
  <c r="F492" i="1"/>
  <c r="F493" i="1"/>
  <c r="F494" i="1"/>
  <c r="F495" i="1"/>
  <c r="F496" i="1"/>
  <c r="F487" i="1"/>
  <c r="F486" i="1"/>
  <c r="F477" i="1"/>
  <c r="F478" i="1"/>
  <c r="F479" i="1"/>
  <c r="F480" i="1"/>
  <c r="F481" i="1"/>
  <c r="F482" i="1"/>
  <c r="F483" i="1"/>
  <c r="F484" i="1"/>
  <c r="F485" i="1"/>
  <c r="F476" i="1"/>
  <c r="F475" i="1"/>
  <c r="E474" i="1" l="1"/>
  <c r="E473" i="1"/>
  <c r="E472" i="1"/>
  <c r="E471" i="1"/>
  <c r="E470" i="1"/>
  <c r="E469" i="1"/>
  <c r="E463" i="1"/>
  <c r="E462" i="1"/>
  <c r="E461" i="1"/>
  <c r="E460" i="1"/>
  <c r="E459" i="1"/>
  <c r="E452" i="1"/>
  <c r="E451" i="1"/>
  <c r="E450" i="1"/>
  <c r="E449" i="1"/>
  <c r="E448" i="1"/>
  <c r="E447" i="1"/>
  <c r="E441" i="1"/>
  <c r="E440" i="1"/>
  <c r="E439" i="1"/>
  <c r="E438" i="1"/>
  <c r="E437" i="1"/>
  <c r="E430" i="1"/>
  <c r="E429" i="1"/>
  <c r="E428" i="1"/>
  <c r="E427" i="1"/>
  <c r="E426" i="1"/>
  <c r="E419" i="1"/>
  <c r="E418" i="1"/>
  <c r="E417" i="1"/>
  <c r="E416" i="1"/>
  <c r="E415" i="1"/>
  <c r="E408" i="1"/>
  <c r="E407" i="1"/>
  <c r="E406" i="1"/>
  <c r="E405" i="1"/>
  <c r="E404" i="1"/>
  <c r="E403" i="1"/>
  <c r="E397" i="1"/>
  <c r="E396" i="1"/>
  <c r="E395" i="1"/>
  <c r="E394" i="1"/>
  <c r="E393" i="1"/>
  <c r="E386" i="1"/>
  <c r="E385" i="1"/>
  <c r="E384" i="1"/>
  <c r="E383" i="1"/>
  <c r="E382" i="1"/>
  <c r="E381" i="1"/>
  <c r="E375" i="1"/>
  <c r="E374" i="1"/>
  <c r="E373" i="1"/>
  <c r="E372" i="1"/>
  <c r="E371" i="1"/>
  <c r="E364" i="1"/>
  <c r="E363" i="1"/>
  <c r="E362" i="1"/>
  <c r="E361" i="1"/>
  <c r="E360" i="1"/>
  <c r="E353" i="1"/>
  <c r="E352" i="1"/>
  <c r="E351" i="1"/>
  <c r="E350" i="1"/>
  <c r="E349" i="1"/>
  <c r="E468" i="1"/>
  <c r="E467" i="1"/>
  <c r="E466" i="1"/>
  <c r="E465" i="1"/>
  <c r="E464" i="1"/>
  <c r="E458" i="1"/>
  <c r="E457" i="1"/>
  <c r="E456" i="1"/>
  <c r="E455" i="1"/>
  <c r="E454" i="1"/>
  <c r="E453" i="1"/>
  <c r="E446" i="1"/>
  <c r="E445" i="1"/>
  <c r="E444" i="1"/>
  <c r="E443" i="1"/>
  <c r="E442" i="1"/>
  <c r="E436" i="1"/>
  <c r="E435" i="1"/>
  <c r="E434" i="1"/>
  <c r="E433" i="1"/>
  <c r="E432" i="1"/>
  <c r="E431" i="1"/>
  <c r="E425" i="1"/>
  <c r="E424" i="1"/>
  <c r="E423" i="1"/>
  <c r="E422" i="1"/>
  <c r="E421" i="1"/>
  <c r="E420" i="1"/>
  <c r="E414" i="1"/>
  <c r="E413" i="1"/>
  <c r="E412" i="1"/>
  <c r="E411" i="1"/>
  <c r="E410" i="1"/>
  <c r="E409" i="1"/>
  <c r="E402" i="1"/>
  <c r="E401" i="1"/>
  <c r="E400" i="1"/>
  <c r="E399" i="1"/>
  <c r="E398" i="1"/>
  <c r="E392" i="1"/>
  <c r="E391" i="1"/>
  <c r="E390" i="1"/>
  <c r="E389" i="1"/>
  <c r="E388" i="1"/>
  <c r="E387" i="1"/>
  <c r="E380" i="1"/>
  <c r="E379" i="1"/>
  <c r="E378" i="1"/>
  <c r="E377" i="1"/>
  <c r="E376" i="1"/>
  <c r="E370" i="1"/>
  <c r="E369" i="1"/>
  <c r="E368" i="1"/>
  <c r="E367" i="1"/>
  <c r="E366" i="1"/>
  <c r="E365" i="1"/>
  <c r="E359" i="1"/>
  <c r="E358" i="1"/>
  <c r="E357" i="1"/>
  <c r="E356" i="1"/>
  <c r="E355" i="1"/>
  <c r="E354" i="1"/>
  <c r="E348" i="1"/>
  <c r="E347" i="1"/>
  <c r="E346" i="1"/>
  <c r="E345" i="1"/>
  <c r="E344" i="1"/>
  <c r="E343"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0" i="1"/>
  <c r="F401" i="1"/>
  <c r="F402" i="1"/>
  <c r="F403" i="1"/>
  <c r="F404" i="1"/>
  <c r="F405" i="1"/>
  <c r="F406" i="1"/>
  <c r="F407" i="1"/>
  <c r="F408" i="1"/>
  <c r="F388" i="1"/>
  <c r="F389" i="1"/>
  <c r="F390" i="1"/>
  <c r="F391" i="1"/>
  <c r="F392" i="1"/>
  <c r="F393" i="1"/>
  <c r="F394" i="1"/>
  <c r="F395" i="1"/>
  <c r="F396" i="1"/>
  <c r="F397" i="1"/>
  <c r="F387" i="1"/>
  <c r="F366" i="1"/>
  <c r="F367" i="1"/>
  <c r="F368" i="1"/>
  <c r="F369" i="1"/>
  <c r="F370" i="1"/>
  <c r="F371" i="1"/>
  <c r="F372" i="1"/>
  <c r="F373" i="1"/>
  <c r="F374" i="1"/>
  <c r="F375" i="1"/>
  <c r="F365" i="1"/>
  <c r="F381" i="1"/>
  <c r="F399" i="1"/>
  <c r="F398" i="1"/>
  <c r="F378" i="1"/>
  <c r="F379" i="1"/>
  <c r="F380" i="1"/>
  <c r="F382" i="1"/>
  <c r="F383" i="1"/>
  <c r="F384" i="1"/>
  <c r="F385" i="1"/>
  <c r="F386" i="1"/>
  <c r="F377" i="1"/>
  <c r="F376" i="1"/>
  <c r="F364" i="1"/>
  <c r="F354" i="1"/>
  <c r="F355" i="1"/>
  <c r="F356" i="1"/>
  <c r="F357" i="1"/>
  <c r="F358" i="1"/>
  <c r="F359" i="1"/>
  <c r="F360" i="1"/>
  <c r="F361" i="1"/>
  <c r="F362" i="1"/>
  <c r="F363" i="1"/>
  <c r="F344" i="1"/>
  <c r="F345" i="1"/>
  <c r="F346" i="1"/>
  <c r="F347" i="1"/>
  <c r="F348" i="1"/>
  <c r="F349" i="1"/>
  <c r="F350" i="1"/>
  <c r="F351" i="1"/>
  <c r="F352" i="1"/>
  <c r="F353" i="1"/>
  <c r="F343" i="1"/>
  <c r="E342" i="1" l="1"/>
  <c r="E341" i="1"/>
  <c r="E340" i="1"/>
  <c r="E339" i="1"/>
  <c r="E338" i="1"/>
  <c r="E337" i="1"/>
  <c r="E331" i="1"/>
  <c r="E330" i="1"/>
  <c r="E329" i="1"/>
  <c r="E328" i="1"/>
  <c r="E327" i="1"/>
  <c r="E326" i="1"/>
  <c r="E320" i="1"/>
  <c r="E319" i="1"/>
  <c r="E318" i="1"/>
  <c r="E317" i="1"/>
  <c r="E316" i="1"/>
  <c r="E315" i="1"/>
  <c r="E309" i="1"/>
  <c r="E308" i="1"/>
  <c r="E307" i="1"/>
  <c r="E306" i="1"/>
  <c r="E305" i="1"/>
  <c r="E304" i="1"/>
  <c r="E298" i="1"/>
  <c r="E297" i="1"/>
  <c r="E296" i="1"/>
  <c r="E295" i="1"/>
  <c r="E294" i="1"/>
  <c r="E293" i="1"/>
  <c r="E336" i="1"/>
  <c r="E335" i="1"/>
  <c r="E334" i="1"/>
  <c r="E333" i="1"/>
  <c r="E332" i="1"/>
  <c r="E325" i="1"/>
  <c r="E324" i="1"/>
  <c r="E323" i="1"/>
  <c r="E322" i="1"/>
  <c r="E321" i="1"/>
  <c r="E314" i="1"/>
  <c r="E313" i="1"/>
  <c r="E312" i="1"/>
  <c r="E311" i="1"/>
  <c r="E310" i="1"/>
  <c r="E303" i="1"/>
  <c r="E302" i="1"/>
  <c r="E301" i="1"/>
  <c r="E300" i="1"/>
  <c r="E299" i="1"/>
  <c r="E292" i="1"/>
  <c r="E291" i="1"/>
  <c r="E290" i="1"/>
  <c r="E289" i="1"/>
  <c r="E288" i="1"/>
  <c r="F332" i="1"/>
  <c r="F333" i="1"/>
  <c r="F334" i="1"/>
  <c r="F335" i="1"/>
  <c r="F336" i="1"/>
  <c r="F337" i="1"/>
  <c r="F338" i="1"/>
  <c r="F339" i="1"/>
  <c r="F340" i="1"/>
  <c r="F341" i="1"/>
  <c r="F342" i="1"/>
  <c r="F321" i="1"/>
  <c r="F322" i="1"/>
  <c r="F323" i="1"/>
  <c r="F324" i="1"/>
  <c r="F325" i="1"/>
  <c r="F326" i="1"/>
  <c r="F327" i="1"/>
  <c r="F328" i="1"/>
  <c r="F329" i="1"/>
  <c r="F330" i="1"/>
  <c r="F331" i="1"/>
  <c r="F310" i="1"/>
  <c r="F311" i="1"/>
  <c r="F312" i="1"/>
  <c r="F313" i="1"/>
  <c r="F314" i="1"/>
  <c r="F315" i="1"/>
  <c r="F316" i="1"/>
  <c r="F317" i="1"/>
  <c r="F318" i="1"/>
  <c r="F319" i="1"/>
  <c r="F320" i="1"/>
  <c r="F299" i="1"/>
  <c r="F300" i="1"/>
  <c r="F301" i="1"/>
  <c r="F302" i="1"/>
  <c r="F303" i="1"/>
  <c r="F304" i="1"/>
  <c r="F305" i="1"/>
  <c r="F306" i="1"/>
  <c r="F307" i="1"/>
  <c r="F308" i="1"/>
  <c r="F309" i="1"/>
  <c r="F288" i="1"/>
  <c r="F289" i="1"/>
  <c r="F290" i="1"/>
  <c r="F291" i="1"/>
  <c r="F292" i="1"/>
  <c r="F293" i="1"/>
  <c r="F294" i="1"/>
  <c r="F295" i="1"/>
  <c r="F296" i="1"/>
  <c r="F297" i="1"/>
  <c r="F298" i="1"/>
  <c r="E287" i="1"/>
  <c r="E286" i="1"/>
  <c r="E285" i="1"/>
  <c r="E284" i="1"/>
  <c r="E283" i="1"/>
  <c r="E282" i="1"/>
  <c r="E276" i="1"/>
  <c r="E275" i="1"/>
  <c r="E274" i="1"/>
  <c r="E273" i="1"/>
  <c r="E272" i="1"/>
  <c r="E271" i="1"/>
  <c r="E265" i="1"/>
  <c r="E264" i="1"/>
  <c r="E263" i="1"/>
  <c r="E262" i="1"/>
  <c r="E261" i="1"/>
  <c r="E260" i="1"/>
  <c r="E254" i="1"/>
  <c r="E253" i="1"/>
  <c r="E252" i="1"/>
  <c r="E251" i="1"/>
  <c r="E250" i="1"/>
  <c r="E249" i="1"/>
  <c r="E243" i="1"/>
  <c r="E242" i="1"/>
  <c r="E241" i="1"/>
  <c r="E240" i="1"/>
  <c r="E239" i="1"/>
  <c r="E238" i="1"/>
  <c r="E281" i="1"/>
  <c r="E280" i="1"/>
  <c r="E279" i="1"/>
  <c r="E278" i="1"/>
  <c r="E277" i="1"/>
  <c r="E270" i="1"/>
  <c r="E269" i="1"/>
  <c r="E268" i="1"/>
  <c r="E267" i="1"/>
  <c r="E266" i="1"/>
  <c r="E259" i="1"/>
  <c r="E258" i="1"/>
  <c r="E257" i="1"/>
  <c r="E256" i="1"/>
  <c r="E255" i="1"/>
  <c r="E248" i="1"/>
  <c r="E247" i="1"/>
  <c r="E246" i="1"/>
  <c r="E245" i="1"/>
  <c r="E244" i="1"/>
  <c r="F279" i="1"/>
  <c r="F280" i="1"/>
  <c r="F281" i="1"/>
  <c r="F282" i="1"/>
  <c r="F283" i="1"/>
  <c r="F284" i="1"/>
  <c r="F285" i="1"/>
  <c r="F286" i="1"/>
  <c r="F287" i="1"/>
  <c r="F278" i="1"/>
  <c r="F277" i="1"/>
  <c r="F268" i="1"/>
  <c r="F269" i="1"/>
  <c r="F270" i="1"/>
  <c r="F271" i="1"/>
  <c r="F272" i="1"/>
  <c r="F273" i="1"/>
  <c r="F274" i="1"/>
  <c r="F275" i="1"/>
  <c r="F276" i="1"/>
  <c r="F267" i="1"/>
  <c r="F266" i="1"/>
  <c r="F257" i="1"/>
  <c r="F258" i="1"/>
  <c r="F259" i="1"/>
  <c r="F260" i="1"/>
  <c r="F261" i="1"/>
  <c r="F262" i="1"/>
  <c r="F263" i="1"/>
  <c r="F264" i="1"/>
  <c r="F265" i="1"/>
  <c r="F256" i="1"/>
  <c r="F255" i="1"/>
  <c r="F246" i="1"/>
  <c r="F247" i="1"/>
  <c r="F248" i="1"/>
  <c r="F249" i="1"/>
  <c r="F250" i="1"/>
  <c r="F251" i="1"/>
  <c r="F252" i="1"/>
  <c r="F253" i="1"/>
  <c r="F254" i="1"/>
  <c r="F245" i="1"/>
  <c r="F244" i="1"/>
  <c r="E237" i="1"/>
  <c r="E236" i="1"/>
  <c r="E235" i="1"/>
  <c r="E234" i="1"/>
  <c r="F235" i="1"/>
  <c r="F236" i="1"/>
  <c r="F237" i="1"/>
  <c r="F238" i="1"/>
  <c r="F239" i="1"/>
  <c r="F240" i="1"/>
  <c r="F241" i="1"/>
  <c r="F242" i="1"/>
  <c r="F243" i="1"/>
  <c r="F234" i="1"/>
  <c r="E233" i="1"/>
  <c r="F233" i="1"/>
  <c r="E226" i="1" l="1"/>
  <c r="E225" i="1"/>
  <c r="E224" i="1"/>
  <c r="E223" i="1"/>
  <c r="E222" i="1"/>
  <c r="E215" i="1"/>
  <c r="E214" i="1"/>
  <c r="E213" i="1"/>
  <c r="E212" i="1"/>
  <c r="E211" i="1"/>
  <c r="E204" i="1"/>
  <c r="E203" i="1"/>
  <c r="E202" i="1"/>
  <c r="E201" i="1"/>
  <c r="E200" i="1"/>
  <c r="E198" i="1"/>
  <c r="E197" i="1"/>
  <c r="E196" i="1"/>
  <c r="E195" i="1"/>
  <c r="E194" i="1"/>
  <c r="E193" i="1"/>
  <c r="E192" i="1"/>
  <c r="E191" i="1"/>
  <c r="E190" i="1"/>
  <c r="E189" i="1"/>
  <c r="E228" i="1" l="1"/>
  <c r="E227" i="1"/>
  <c r="E205" i="1"/>
  <c r="E217" i="1" l="1"/>
  <c r="E229" i="1"/>
  <c r="E216" i="1"/>
  <c r="E230" i="1" l="1"/>
  <c r="E206" i="1"/>
  <c r="E231" i="1" l="1"/>
  <c r="E219" i="1"/>
  <c r="E208" i="1"/>
  <c r="E218" i="1"/>
  <c r="E207" i="1"/>
  <c r="E232" i="1" l="1"/>
  <c r="E221" i="1" l="1"/>
  <c r="E210" i="1"/>
  <c r="E199" i="1"/>
  <c r="E220" i="1"/>
  <c r="E209" i="1"/>
  <c r="E188" i="1" l="1"/>
  <c r="E187" i="1"/>
  <c r="E186" i="1"/>
  <c r="E185" i="1"/>
  <c r="E184" i="1"/>
  <c r="E183" i="1"/>
  <c r="E182" i="1"/>
  <c r="E181" i="1"/>
  <c r="E180" i="1"/>
  <c r="E179" i="1"/>
  <c r="E178" i="1"/>
  <c r="E177" i="1"/>
  <c r="E176" i="1"/>
  <c r="E175" i="1"/>
  <c r="E174" i="1"/>
  <c r="E173" i="1"/>
  <c r="E172" i="1"/>
  <c r="E171" i="1"/>
  <c r="E170" i="1"/>
  <c r="E169" i="1"/>
  <c r="E168" i="1"/>
  <c r="E167" i="1"/>
  <c r="F224" i="1"/>
  <c r="F225" i="1"/>
  <c r="F226" i="1"/>
  <c r="F227" i="1"/>
  <c r="F228" i="1"/>
  <c r="F229" i="1"/>
  <c r="F230" i="1"/>
  <c r="F231" i="1"/>
  <c r="F232" i="1"/>
  <c r="F223" i="1"/>
  <c r="F222" i="1"/>
  <c r="F213" i="1"/>
  <c r="F214" i="1"/>
  <c r="F215" i="1"/>
  <c r="F216" i="1"/>
  <c r="F217" i="1"/>
  <c r="F218" i="1"/>
  <c r="F219" i="1"/>
  <c r="F220" i="1"/>
  <c r="F221" i="1"/>
  <c r="F212" i="1"/>
  <c r="F211" i="1"/>
  <c r="F202" i="1"/>
  <c r="F203" i="1"/>
  <c r="F204" i="1"/>
  <c r="F205" i="1"/>
  <c r="F206" i="1"/>
  <c r="F207" i="1"/>
  <c r="F208" i="1"/>
  <c r="F209" i="1"/>
  <c r="F210" i="1"/>
  <c r="F201" i="1"/>
  <c r="F200" i="1"/>
  <c r="F191" i="1"/>
  <c r="F192" i="1"/>
  <c r="F193" i="1"/>
  <c r="F194" i="1"/>
  <c r="F195" i="1"/>
  <c r="F196" i="1"/>
  <c r="F197" i="1"/>
  <c r="F198" i="1"/>
  <c r="F199" i="1"/>
  <c r="F190" i="1"/>
  <c r="F180" i="1"/>
  <c r="F181" i="1"/>
  <c r="F182" i="1"/>
  <c r="F183" i="1"/>
  <c r="F184" i="1"/>
  <c r="F185" i="1"/>
  <c r="F186" i="1"/>
  <c r="F187" i="1"/>
  <c r="F188" i="1"/>
  <c r="F189" i="1"/>
  <c r="F179" i="1"/>
  <c r="F178" i="1"/>
  <c r="F169" i="1"/>
  <c r="F170" i="1"/>
  <c r="F171" i="1"/>
  <c r="F172" i="1"/>
  <c r="F173" i="1"/>
  <c r="F174" i="1"/>
  <c r="F175" i="1"/>
  <c r="F176" i="1"/>
  <c r="F177" i="1"/>
  <c r="F168" i="1"/>
  <c r="F167" i="1"/>
  <c r="E166" i="1"/>
  <c r="E165" i="1"/>
  <c r="E164" i="1"/>
  <c r="E163" i="1"/>
  <c r="E162" i="1"/>
  <c r="E160" i="1"/>
  <c r="E159" i="1"/>
  <c r="E158" i="1"/>
  <c r="E157" i="1"/>
  <c r="E156" i="1"/>
  <c r="F158" i="1"/>
  <c r="F159" i="1"/>
  <c r="F160" i="1"/>
  <c r="F161" i="1"/>
  <c r="F162" i="1"/>
  <c r="F163" i="1"/>
  <c r="F164" i="1"/>
  <c r="F165" i="1"/>
  <c r="F166" i="1"/>
  <c r="F157" i="1"/>
  <c r="F156" i="1"/>
  <c r="E155" i="1"/>
  <c r="E154" i="1"/>
  <c r="E153" i="1"/>
  <c r="E152" i="1"/>
  <c r="E151" i="1"/>
  <c r="E150" i="1"/>
  <c r="E149" i="1"/>
  <c r="E148" i="1"/>
  <c r="E147" i="1"/>
  <c r="E146" i="1"/>
  <c r="E138" i="1"/>
  <c r="E137" i="1"/>
  <c r="E136" i="1"/>
  <c r="E135" i="1"/>
  <c r="E134" i="1"/>
  <c r="E145" i="1"/>
  <c r="E133" i="1"/>
  <c r="E132" i="1"/>
  <c r="E131" i="1"/>
  <c r="E130" i="1"/>
  <c r="E129" i="1"/>
  <c r="E128" i="1"/>
  <c r="E127" i="1"/>
  <c r="E126" i="1"/>
  <c r="E125" i="1"/>
  <c r="E124" i="1"/>
  <c r="E123" i="1"/>
  <c r="E122" i="1" l="1"/>
  <c r="E121" i="1"/>
  <c r="E120" i="1"/>
  <c r="E119" i="1"/>
  <c r="E118" i="1"/>
  <c r="E117" i="1"/>
  <c r="E116" i="1"/>
  <c r="E115" i="1"/>
  <c r="E114" i="1"/>
  <c r="E113" i="1"/>
  <c r="E112" i="1"/>
  <c r="F147" i="1"/>
  <c r="F148" i="1"/>
  <c r="F149" i="1"/>
  <c r="F150" i="1"/>
  <c r="F151" i="1"/>
  <c r="F152" i="1"/>
  <c r="F153" i="1"/>
  <c r="F154" i="1"/>
  <c r="F155" i="1"/>
  <c r="F146" i="1"/>
  <c r="F145" i="1"/>
  <c r="F136" i="1"/>
  <c r="F137" i="1"/>
  <c r="F138" i="1"/>
  <c r="F139" i="1"/>
  <c r="F140" i="1"/>
  <c r="F141" i="1"/>
  <c r="F142" i="1"/>
  <c r="F143" i="1"/>
  <c r="F144" i="1"/>
  <c r="F135" i="1"/>
  <c r="F134"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F125" i="1"/>
  <c r="F126" i="1"/>
  <c r="F127" i="1"/>
  <c r="F128" i="1"/>
  <c r="F129" i="1"/>
  <c r="F130" i="1"/>
  <c r="F131" i="1"/>
  <c r="F132" i="1"/>
  <c r="F133" i="1"/>
  <c r="F124" i="1"/>
  <c r="F123" i="1"/>
  <c r="F114" i="1"/>
  <c r="F115" i="1"/>
  <c r="F116" i="1"/>
  <c r="F117" i="1"/>
  <c r="F118" i="1"/>
  <c r="F119" i="1"/>
  <c r="F120" i="1"/>
  <c r="F121" i="1"/>
  <c r="F122" i="1"/>
  <c r="F113" i="1"/>
  <c r="F112" i="1"/>
  <c r="F103" i="1"/>
  <c r="F104" i="1"/>
  <c r="F105" i="1"/>
  <c r="F106" i="1"/>
  <c r="F107" i="1"/>
  <c r="F108" i="1"/>
  <c r="F109" i="1"/>
  <c r="F110" i="1"/>
  <c r="F111" i="1"/>
  <c r="F102" i="1"/>
  <c r="F101" i="1"/>
  <c r="F92" i="1"/>
  <c r="F93" i="1"/>
  <c r="F94" i="1"/>
  <c r="F95" i="1"/>
  <c r="F96" i="1"/>
  <c r="F97" i="1"/>
  <c r="F98" i="1"/>
  <c r="F99" i="1"/>
  <c r="F100" i="1"/>
  <c r="F91" i="1"/>
  <c r="F90" i="1"/>
  <c r="F81" i="1"/>
  <c r="F82" i="1"/>
  <c r="F83" i="1"/>
  <c r="F84" i="1"/>
  <c r="F85" i="1"/>
  <c r="F86" i="1"/>
  <c r="F87" i="1"/>
  <c r="F88" i="1"/>
  <c r="F89" i="1"/>
  <c r="F80" i="1"/>
  <c r="F79" i="1"/>
  <c r="E72" i="1"/>
  <c r="E71" i="1"/>
  <c r="E70" i="1"/>
  <c r="E69" i="1"/>
  <c r="E68" i="1"/>
  <c r="E61" i="1"/>
  <c r="E60" i="1"/>
  <c r="E59" i="1"/>
  <c r="E58" i="1"/>
  <c r="E57" i="1"/>
  <c r="F70" i="1"/>
  <c r="F71" i="1"/>
  <c r="F72" i="1"/>
  <c r="F73" i="1"/>
  <c r="F74" i="1"/>
  <c r="F75" i="1"/>
  <c r="F76" i="1"/>
  <c r="F77" i="1"/>
  <c r="F78" i="1"/>
  <c r="F69" i="1"/>
  <c r="F68" i="1"/>
  <c r="F59" i="1"/>
  <c r="F60" i="1"/>
  <c r="F61" i="1"/>
  <c r="F62" i="1"/>
  <c r="F63" i="1"/>
  <c r="F64" i="1"/>
  <c r="F65" i="1"/>
  <c r="F66" i="1"/>
  <c r="F67" i="1"/>
  <c r="F58" i="1"/>
  <c r="F57" i="1"/>
  <c r="E50" i="1"/>
  <c r="E49" i="1"/>
  <c r="E48" i="1"/>
  <c r="F48" i="1"/>
  <c r="F49" i="1"/>
  <c r="F50" i="1"/>
  <c r="F51" i="1"/>
  <c r="F52" i="1"/>
  <c r="F53" i="1"/>
  <c r="F54" i="1"/>
  <c r="F55" i="1"/>
  <c r="F56" i="1"/>
  <c r="E47" i="1"/>
  <c r="E46" i="1"/>
  <c r="F47" i="1"/>
  <c r="F46" i="1"/>
  <c r="E39" i="1"/>
  <c r="E38" i="1"/>
  <c r="E37" i="1"/>
  <c r="E36" i="1"/>
  <c r="E35" i="1"/>
  <c r="F39" i="1"/>
  <c r="F40" i="1"/>
  <c r="F41" i="1"/>
  <c r="F42" i="1"/>
  <c r="F43" i="1"/>
  <c r="F44" i="1"/>
  <c r="F45" i="1"/>
  <c r="F38" i="1"/>
  <c r="F37" i="1"/>
  <c r="F36" i="1"/>
  <c r="F35" i="1"/>
  <c r="E28" i="1"/>
  <c r="E27" i="1"/>
  <c r="E26" i="1"/>
  <c r="E25" i="1"/>
  <c r="E24" i="1"/>
  <c r="F28" i="1"/>
  <c r="F29" i="1"/>
  <c r="F30" i="1"/>
  <c r="F31" i="1"/>
  <c r="F32" i="1"/>
  <c r="F33" i="1"/>
  <c r="F34" i="1"/>
  <c r="F27" i="1"/>
  <c r="F26" i="1"/>
  <c r="F25" i="1"/>
  <c r="F24" i="1"/>
  <c r="E17" i="1"/>
  <c r="E16" i="1"/>
  <c r="E15" i="1"/>
  <c r="E14" i="1"/>
  <c r="E13" i="1"/>
  <c r="F13" i="1"/>
  <c r="F14" i="1"/>
  <c r="F15" i="1"/>
  <c r="F16" i="1"/>
  <c r="F17" i="1"/>
  <c r="F18" i="1"/>
  <c r="F19" i="1"/>
  <c r="F20" i="1"/>
  <c r="F21" i="1"/>
  <c r="F22" i="1"/>
  <c r="F23" i="1"/>
  <c r="F3" i="1"/>
  <c r="F4" i="1"/>
  <c r="F5" i="1"/>
  <c r="F6" i="1"/>
  <c r="F7" i="1"/>
  <c r="F8" i="1"/>
  <c r="F9" i="1"/>
  <c r="F10" i="1"/>
  <c r="F11" i="1"/>
  <c r="F12" i="1"/>
  <c r="F2" i="1"/>
  <c r="E6" i="1"/>
  <c r="E5" i="1"/>
  <c r="E4" i="1"/>
  <c r="E3" i="1"/>
  <c r="E2" i="1"/>
  <c r="E18" i="1" l="1"/>
  <c r="E73" i="1" l="1"/>
  <c r="E29" i="1"/>
  <c r="E51" i="1"/>
  <c r="E62" i="1"/>
  <c r="E30" i="1"/>
  <c r="E40" i="1"/>
  <c r="E7" i="1"/>
  <c r="E19" i="1"/>
  <c r="E63" i="1" l="1"/>
  <c r="E31" i="1"/>
  <c r="E8" i="1"/>
  <c r="E75" i="1"/>
  <c r="E52" i="1"/>
  <c r="E41" i="1"/>
  <c r="E74" i="1"/>
  <c r="E20" i="1"/>
  <c r="E32" i="1" l="1"/>
  <c r="E64" i="1"/>
  <c r="E9" i="1"/>
  <c r="E76" i="1"/>
  <c r="E53" i="1"/>
  <c r="E10" i="1"/>
  <c r="E42" i="1"/>
  <c r="E21" i="1"/>
  <c r="E65" i="1" l="1"/>
  <c r="E33" i="1"/>
  <c r="E43" i="1"/>
  <c r="E11" i="1"/>
  <c r="E54" i="1"/>
  <c r="E77" i="1"/>
  <c r="E22" i="1"/>
  <c r="E78" i="1" l="1"/>
  <c r="E66" i="1"/>
  <c r="E55" i="1"/>
  <c r="E34" i="1"/>
  <c r="E12" i="1"/>
  <c r="E44" i="1"/>
  <c r="E23" i="1"/>
  <c r="E56" i="1" l="1"/>
  <c r="E67" i="1"/>
  <c r="E45" i="1"/>
  <c r="E480" i="1"/>
  <c r="E481" i="1" l="1"/>
  <c r="E491" i="1"/>
  <c r="E482" i="1" l="1"/>
  <c r="E492" i="1"/>
  <c r="E493" i="1" l="1"/>
  <c r="E483" i="1"/>
  <c r="E494" i="1" l="1"/>
  <c r="E484" i="1"/>
  <c r="E485" i="1" l="1"/>
  <c r="E496" i="1"/>
  <c r="E495" i="1"/>
  <c r="L7" i="14" l="1"/>
  <c r="L13" i="14" l="1"/>
  <c r="D7" i="18" s="1"/>
  <c r="P7" i="3"/>
  <c r="P3" i="3"/>
  <c r="P4" i="3"/>
  <c r="P5" i="3"/>
  <c r="P6" i="3"/>
  <c r="P2" i="3"/>
  <c r="T2" i="14" l="1" a="1"/>
  <c r="T2" i="14" s="1"/>
  <c r="I12" i="15"/>
  <c r="S6" i="3"/>
  <c r="S5" i="3"/>
  <c r="S4" i="3"/>
  <c r="S3" i="3"/>
  <c r="S2" i="3"/>
  <c r="F12" i="14" l="1"/>
  <c r="B12" i="15" s="1"/>
  <c r="F12" i="15" s="1"/>
  <c r="O12" i="15" s="1"/>
  <c r="F13" i="15" l="1"/>
  <c r="B6" i="18" s="1"/>
  <c r="J2" i="18" s="1"/>
  <c r="S12" i="15" l="1"/>
  <c r="O13" i="15"/>
  <c r="D6" i="18" s="1"/>
  <c r="L2" i="18" s="1"/>
  <c r="R2" i="18" s="1"/>
  <c r="R7" i="3"/>
  <c r="U12" i="15" l="1"/>
  <c r="T12" i="15"/>
  <c r="AG11" i="15" a="1"/>
  <c r="AG11" i="15" s="1"/>
  <c r="AE10" i="15" a="1"/>
  <c r="AE10" i="15" s="1"/>
  <c r="AE9" i="15" a="1"/>
  <c r="AE9" i="15" s="1"/>
  <c r="AG10" i="15" a="1"/>
  <c r="AG10" i="15" s="1"/>
  <c r="AD4" i="15"/>
  <c r="AF10" i="15" a="1"/>
  <c r="AF10" i="15" s="1"/>
  <c r="AE11" i="15" a="1"/>
  <c r="AE11" i="15" s="1"/>
  <c r="AF9" i="15" a="1"/>
  <c r="AF9" i="15" s="1"/>
  <c r="AG9" i="15" a="1"/>
  <c r="AG9" i="15" s="1"/>
  <c r="AF11" i="15" a="1"/>
  <c r="AF11" i="15" s="1"/>
  <c r="R2" i="3"/>
  <c r="T2" i="3" s="1"/>
  <c r="Z12" i="15" l="1"/>
  <c r="W12" i="15"/>
  <c r="Y12" i="15"/>
  <c r="X12" i="15"/>
  <c r="V12" i="15"/>
  <c r="R5" i="3"/>
  <c r="T5" i="3" s="1"/>
  <c r="R4" i="3"/>
  <c r="T4" i="3" s="1"/>
  <c r="R3" i="3" l="1"/>
  <c r="T3" i="3" s="1"/>
  <c r="R6" i="3" l="1"/>
  <c r="T6" i="3" s="1"/>
  <c r="C13" i="17" l="1"/>
  <c r="C3" i="18" s="1"/>
  <c r="M13" i="17"/>
  <c r="C27" i="17"/>
  <c r="AI5" i="18" s="1"/>
  <c r="C7" i="18" l="1"/>
  <c r="AG12" i="19" l="1"/>
  <c r="AT12" i="19" s="1"/>
  <c r="AR12" i="19" s="1"/>
  <c r="X11" i="20" l="1"/>
  <c r="AJ12" i="19"/>
  <c r="AK12" i="19" s="1"/>
  <c r="AV12" i="19" s="1"/>
  <c r="W11" i="20" s="1"/>
  <c r="AD12" i="19" l="1"/>
  <c r="AG11" i="19" l="1"/>
  <c r="AT11" i="19" s="1"/>
  <c r="AR11" i="19" s="1"/>
  <c r="X10" i="20" l="1"/>
  <c r="AJ11" i="19"/>
  <c r="AK11" i="19" s="1"/>
  <c r="AV11" i="19" s="1"/>
  <c r="W10" i="20" s="1"/>
  <c r="AD11" i="19" l="1"/>
  <c r="AG10" i="19" l="1"/>
  <c r="AT10" i="19" s="1"/>
  <c r="AR10" i="19" s="1"/>
  <c r="X9" i="20" l="1"/>
  <c r="AJ10" i="19"/>
  <c r="AK10" i="19" s="1"/>
  <c r="AV10" i="19" s="1"/>
  <c r="W9" i="20" s="1"/>
  <c r="AD10" i="19" l="1"/>
  <c r="AG7" i="19" l="1"/>
  <c r="AT7" i="19" s="1"/>
  <c r="AR7" i="19" s="1"/>
  <c r="X6" i="20" l="1"/>
  <c r="AJ7" i="19"/>
  <c r="AK7" i="19" l="1"/>
  <c r="AV7" i="19" s="1"/>
  <c r="W6" i="20" s="1"/>
  <c r="I7" i="21"/>
  <c r="AD7" i="19"/>
  <c r="AG6" i="19" l="1"/>
  <c r="AT6" i="19" s="1"/>
  <c r="AR6" i="19" s="1"/>
  <c r="AV6" i="19" l="1"/>
  <c r="W5" i="20" s="1"/>
  <c r="X5" i="20"/>
  <c r="AD6" i="19"/>
  <c r="AG5" i="19" l="1"/>
  <c r="AT5" i="19" s="1"/>
  <c r="AR5" i="19" s="1"/>
  <c r="X4" i="20" l="1"/>
  <c r="AJ5" i="19"/>
  <c r="AD5" i="19"/>
  <c r="AK5" i="19" l="1"/>
  <c r="AV5" i="19" s="1"/>
  <c r="W4" i="20" s="1"/>
  <c r="I5" i="21"/>
  <c r="AG4" i="19"/>
  <c r="AT4" i="19" s="1"/>
  <c r="AR4" i="19" s="1"/>
  <c r="X3" i="20" l="1"/>
  <c r="AJ4" i="19"/>
  <c r="AD4" i="19"/>
  <c r="AK4" i="19" l="1"/>
  <c r="AV4" i="19" s="1"/>
  <c r="W3" i="20" s="1"/>
  <c r="I4" i="21"/>
  <c r="Q4" i="21" s="1"/>
  <c r="AG9" i="19"/>
  <c r="AT9" i="19" s="1"/>
  <c r="AR9" i="19" s="1"/>
  <c r="X8" i="20" l="1"/>
  <c r="AJ9" i="19"/>
  <c r="AK9" i="19" s="1"/>
  <c r="AV9" i="19" s="1"/>
  <c r="W8" i="20" s="1"/>
  <c r="AD9" i="19" l="1"/>
  <c r="AG2" i="19" l="1"/>
  <c r="AT2" i="19" s="1"/>
  <c r="AR2" i="19" s="1"/>
  <c r="X2" i="20" l="1"/>
  <c r="AV2" i="19"/>
  <c r="W2" i="20" s="1"/>
  <c r="AD2" i="19"/>
  <c r="AG8" i="19" l="1"/>
  <c r="AT8" i="19" s="1"/>
  <c r="AR8" i="19" s="1"/>
  <c r="X7" i="20" l="1"/>
  <c r="AJ8" i="19"/>
  <c r="AJ13" i="19" l="1"/>
  <c r="X14" i="19" s="1"/>
  <c r="I8" i="21"/>
  <c r="AK8" i="19"/>
  <c r="AD8" i="19"/>
  <c r="X10" i="19" l="1"/>
  <c r="X11" i="19"/>
  <c r="X12" i="19"/>
  <c r="X13" i="19"/>
  <c r="Q6" i="21"/>
  <c r="Q5" i="21"/>
  <c r="Q2" i="21"/>
  <c r="Q7" i="21"/>
  <c r="Q8" i="21"/>
  <c r="AK13" i="19"/>
  <c r="Y12" i="19" s="1"/>
  <c r="AV8" i="19"/>
  <c r="W7" i="20" s="1"/>
  <c r="Y13" i="19" l="1"/>
  <c r="Y11" i="19"/>
  <c r="Y14" i="19"/>
  <c r="Y10" i="19"/>
  <c r="AD3" i="19"/>
  <c r="AD13" i="19" s="1"/>
  <c r="AF3" i="18" s="1"/>
  <c r="AF4" i="18" s="1"/>
  <c r="AG3" i="19"/>
  <c r="AG13" i="19" l="1"/>
  <c r="S17" i="19" s="1"/>
  <c r="T11" i="19" s="1"/>
  <c r="V11" i="19" s="1"/>
  <c r="AA11" i="19" s="1"/>
  <c r="AT3" i="19"/>
  <c r="AR3" i="19" l="1"/>
  <c r="AV3" i="19" s="1"/>
  <c r="AT13" i="19"/>
  <c r="T14" i="19"/>
  <c r="V14" i="19" s="1"/>
  <c r="AA14" i="19" s="1"/>
  <c r="T10" i="19"/>
  <c r="V10" i="19" s="1"/>
  <c r="AA10" i="19" s="1"/>
  <c r="T13" i="19"/>
  <c r="V13" i="19" s="1"/>
  <c r="AA13" i="19" s="1"/>
  <c r="T12" i="19"/>
  <c r="V12" i="19" s="1"/>
  <c r="AA12" i="19" s="1"/>
  <c r="AA15" i="19" l="1"/>
  <c r="AH3" i="18" s="1"/>
  <c r="AH4" i="18" s="1"/>
  <c r="AV13" i="19"/>
  <c r="AR13" i="19"/>
  <c r="B12" i="16"/>
  <c r="F12" i="17" s="1"/>
  <c r="E12" i="16"/>
  <c r="H11" i="22" s="1"/>
  <c r="AF12" i="19"/>
  <c r="AU12" i="19" s="1"/>
  <c r="AS12" i="19" s="1"/>
  <c r="AW12" i="19" l="1"/>
  <c r="G23" i="22" s="1"/>
  <c r="H23" i="22"/>
  <c r="K12" i="16"/>
  <c r="O12" i="16" s="1"/>
  <c r="AH12" i="16" s="1"/>
  <c r="P12" i="16" l="1"/>
  <c r="Q12" i="16"/>
  <c r="V12" i="16" s="1"/>
  <c r="AE12" i="19"/>
  <c r="G11" i="22" s="1"/>
  <c r="T12" i="16" l="1"/>
  <c r="R12" i="16"/>
  <c r="U12" i="16"/>
  <c r="S12" i="16"/>
  <c r="E10" i="16" l="1"/>
  <c r="H9" i="22" s="1"/>
  <c r="AF10" i="19"/>
  <c r="AU10" i="19" s="1"/>
  <c r="AS10" i="19" s="1"/>
  <c r="H21" i="22" s="1"/>
  <c r="B10" i="16"/>
  <c r="F10" i="17" s="1"/>
  <c r="K10" i="16" l="1"/>
  <c r="O10" i="16" s="1"/>
  <c r="AH10" i="16" s="1"/>
  <c r="P10" i="16" l="1"/>
  <c r="Q10" i="16"/>
  <c r="T10" i="16" s="1"/>
  <c r="R10" i="16" l="1"/>
  <c r="V10" i="16"/>
  <c r="U10" i="16"/>
  <c r="S10" i="16"/>
  <c r="AI10" i="19" l="1"/>
  <c r="AH10" i="19"/>
  <c r="AW10" i="19" l="1"/>
  <c r="G21" i="22" s="1"/>
  <c r="AE10" i="19"/>
  <c r="G9" i="22" s="1"/>
  <c r="E8" i="16" l="1"/>
  <c r="H7" i="22" s="1"/>
  <c r="AF8" i="19"/>
  <c r="AU8" i="19" s="1"/>
  <c r="AS8" i="19" s="1"/>
  <c r="H19" i="22" s="1"/>
  <c r="B8" i="16"/>
  <c r="F8" i="17" s="1"/>
  <c r="AI8" i="19" l="1"/>
  <c r="AH8" i="19"/>
  <c r="K8" i="16"/>
  <c r="O8" i="16" s="1"/>
  <c r="AH8" i="16" s="1"/>
  <c r="AW8" i="19" l="1"/>
  <c r="G19" i="22" s="1"/>
  <c r="H8" i="21"/>
  <c r="P8" i="16"/>
  <c r="Q8" i="16"/>
  <c r="U8" i="16" s="1"/>
  <c r="AE8" i="19"/>
  <c r="G7" i="22" s="1"/>
  <c r="P8" i="21" l="1"/>
  <c r="S8" i="16"/>
  <c r="V8" i="16"/>
  <c r="T8" i="16"/>
  <c r="R8" i="16"/>
  <c r="R8" i="21" l="1"/>
  <c r="Y8" i="21" s="1"/>
  <c r="B7" i="16"/>
  <c r="F7" i="17" s="1"/>
  <c r="AF7" i="19"/>
  <c r="AU7" i="19" s="1"/>
  <c r="AS7" i="19" s="1"/>
  <c r="H18" i="22" s="1"/>
  <c r="Z8" i="21" l="1"/>
  <c r="U8" i="21"/>
  <c r="V8" i="21"/>
  <c r="T8" i="21"/>
  <c r="X8" i="21"/>
  <c r="W8" i="21"/>
  <c r="S8" i="21"/>
  <c r="E7" i="16"/>
  <c r="AH7" i="19"/>
  <c r="K7" i="16" l="1"/>
  <c r="O7" i="16" s="1"/>
  <c r="Q7" i="16" s="1"/>
  <c r="S7" i="16" s="1"/>
  <c r="H6" i="22"/>
  <c r="AA8" i="21"/>
  <c r="AO20" i="20" s="1"/>
  <c r="AI7" i="19"/>
  <c r="P7" i="16" l="1"/>
  <c r="AH7" i="16"/>
  <c r="AW7" i="19"/>
  <c r="G18" i="22" s="1"/>
  <c r="H7" i="21"/>
  <c r="V7" i="16"/>
  <c r="T7" i="16"/>
  <c r="R7" i="16"/>
  <c r="U7" i="16"/>
  <c r="AE7" i="19"/>
  <c r="G6" i="22" s="1"/>
  <c r="B6" i="16" l="1"/>
  <c r="F6" i="17" s="1"/>
  <c r="E6" i="16" l="1"/>
  <c r="AF6" i="19"/>
  <c r="AU6" i="19" s="1"/>
  <c r="AS6" i="19" s="1"/>
  <c r="H17" i="22" s="1"/>
  <c r="AH6" i="19"/>
  <c r="K6" i="16" l="1"/>
  <c r="O6" i="16" s="1"/>
  <c r="AH6" i="16" s="1"/>
  <c r="H5" i="22"/>
  <c r="P6" i="16" l="1"/>
  <c r="Q6" i="16"/>
  <c r="V6" i="16" s="1"/>
  <c r="AI6" i="19"/>
  <c r="AE6" i="19"/>
  <c r="G5" i="22" s="1"/>
  <c r="T6" i="16" l="1"/>
  <c r="U6" i="16"/>
  <c r="R6" i="16"/>
  <c r="S6" i="16"/>
  <c r="AW6" i="19"/>
  <c r="G17" i="22" s="1"/>
  <c r="H6" i="21"/>
  <c r="B4" i="16"/>
  <c r="F4" i="17" s="1"/>
  <c r="E4" i="16"/>
  <c r="AF4" i="19"/>
  <c r="AU4" i="19" s="1"/>
  <c r="K4" i="16" l="1"/>
  <c r="O4" i="16" s="1"/>
  <c r="H3" i="22"/>
  <c r="AS4" i="19"/>
  <c r="H15" i="22" s="1"/>
  <c r="AH4" i="19"/>
  <c r="Q4" i="16"/>
  <c r="P4" i="16"/>
  <c r="AH4" i="16"/>
  <c r="AE4" i="19" l="1"/>
  <c r="G3" i="22" s="1"/>
  <c r="AI4" i="19"/>
  <c r="S4" i="16"/>
  <c r="R4" i="16"/>
  <c r="T4" i="16"/>
  <c r="U4" i="16"/>
  <c r="V4" i="16"/>
  <c r="AW4" i="19" l="1"/>
  <c r="G15" i="22" s="1"/>
  <c r="H4" i="21"/>
  <c r="AH3" i="19"/>
  <c r="AI3" i="19" l="1"/>
  <c r="H3" i="21" s="1"/>
  <c r="P3" i="21" s="1"/>
  <c r="R3" i="21" l="1"/>
  <c r="Y3" i="21" s="1"/>
  <c r="B3" i="16"/>
  <c r="F3" i="17" s="1"/>
  <c r="AE3" i="19"/>
  <c r="Z3" i="21" l="1"/>
  <c r="W3" i="21"/>
  <c r="X3" i="21"/>
  <c r="S3" i="21"/>
  <c r="U3" i="21"/>
  <c r="V3" i="21"/>
  <c r="T3" i="21"/>
  <c r="E3" i="16"/>
  <c r="K3" i="16" s="1"/>
  <c r="O3" i="16" s="1"/>
  <c r="AH3" i="16" s="1"/>
  <c r="AA3" i="21" l="1"/>
  <c r="AO15" i="20" s="1"/>
  <c r="P3" i="16"/>
  <c r="Q3" i="16"/>
  <c r="V3" i="16" s="1"/>
  <c r="S3" i="16" l="1"/>
  <c r="U3" i="16"/>
  <c r="T3" i="16"/>
  <c r="R3" i="16"/>
  <c r="B9" i="16" l="1"/>
  <c r="F9" i="17" s="1"/>
  <c r="AH9" i="19" l="1"/>
  <c r="E9" i="16"/>
  <c r="AF9" i="19"/>
  <c r="AU9" i="19" s="1"/>
  <c r="AS9" i="19" s="1"/>
  <c r="H20" i="22" s="1"/>
  <c r="K9" i="16" l="1"/>
  <c r="O9" i="16" s="1"/>
  <c r="AH9" i="16" s="1"/>
  <c r="H8" i="22"/>
  <c r="AI9" i="19"/>
  <c r="AW9" i="19" s="1"/>
  <c r="G20" i="22" s="1"/>
  <c r="Q9" i="16" l="1"/>
  <c r="R9" i="16" s="1"/>
  <c r="P9" i="16"/>
  <c r="AE9" i="19"/>
  <c r="G8" i="22" s="1"/>
  <c r="T9" i="16" l="1"/>
  <c r="S9" i="16"/>
  <c r="V9" i="16"/>
  <c r="U9" i="16"/>
  <c r="E2" i="16"/>
  <c r="H2" i="22" s="1"/>
  <c r="AF2" i="19"/>
  <c r="AU2" i="19" s="1"/>
  <c r="AS2" i="19" s="1"/>
  <c r="H14" i="22" s="1"/>
  <c r="B2" i="16"/>
  <c r="F2" i="17" s="1"/>
  <c r="K2" i="16" l="1"/>
  <c r="O2" i="16" s="1"/>
  <c r="AH2" i="19"/>
  <c r="AH2" i="16" l="1"/>
  <c r="P2" i="16"/>
  <c r="Q2" i="16"/>
  <c r="AE2" i="19" l="1"/>
  <c r="G2" i="22" s="1"/>
  <c r="AI2" i="19"/>
  <c r="T2" i="16"/>
  <c r="U2" i="16"/>
  <c r="R2" i="16"/>
  <c r="S2" i="16"/>
  <c r="V2" i="16"/>
  <c r="AW2" i="19" l="1"/>
  <c r="G14" i="22" s="1"/>
  <c r="H2" i="21"/>
  <c r="B11" i="16"/>
  <c r="F11" i="17" s="1"/>
  <c r="E11" i="16"/>
  <c r="H10" i="22" s="1"/>
  <c r="AF11" i="19"/>
  <c r="AU11" i="19" s="1"/>
  <c r="AS11" i="19" l="1"/>
  <c r="H22" i="22" s="1"/>
  <c r="AH11" i="19"/>
  <c r="K11" i="16"/>
  <c r="O11" i="16" s="1"/>
  <c r="AH11" i="16" s="1"/>
  <c r="AI11" i="19" l="1"/>
  <c r="AW11" i="19" s="1"/>
  <c r="G22" i="22" s="1"/>
  <c r="Q11" i="16"/>
  <c r="V11" i="16" s="1"/>
  <c r="P11" i="16"/>
  <c r="AE11" i="19" l="1"/>
  <c r="G10" i="22" s="1"/>
  <c r="U11" i="16"/>
  <c r="R11" i="16"/>
  <c r="S11" i="16"/>
  <c r="T11" i="16"/>
  <c r="B5" i="16" l="1"/>
  <c r="AF5" i="19" l="1"/>
  <c r="E5" i="16"/>
  <c r="F5" i="17"/>
  <c r="F13" i="17" s="1"/>
  <c r="B13" i="16"/>
  <c r="C6" i="18" s="1"/>
  <c r="K2" i="18" s="1"/>
  <c r="E13" i="16" l="1"/>
  <c r="H4" i="22"/>
  <c r="AF13" i="19"/>
  <c r="S16" i="19" s="1"/>
  <c r="T3" i="19" s="1"/>
  <c r="V3" i="19" s="1"/>
  <c r="AU5" i="19"/>
  <c r="AH5" i="19"/>
  <c r="AH13" i="19" s="1"/>
  <c r="K5" i="16"/>
  <c r="K13" i="16" s="1"/>
  <c r="E6" i="18" s="1"/>
  <c r="M2" i="18" s="1"/>
  <c r="S2" i="18" s="1"/>
  <c r="T2" i="18" s="1"/>
  <c r="AS5" i="19" l="1"/>
  <c r="AU13" i="19"/>
  <c r="T5" i="19"/>
  <c r="V5" i="19" s="1"/>
  <c r="T2" i="19"/>
  <c r="V2" i="19" s="1"/>
  <c r="T4" i="19"/>
  <c r="V4" i="19" s="1"/>
  <c r="T6" i="19"/>
  <c r="V6" i="19" s="1"/>
  <c r="O5" i="16"/>
  <c r="P5" i="16" s="1"/>
  <c r="X6" i="19"/>
  <c r="X3" i="19"/>
  <c r="X5" i="19"/>
  <c r="X2" i="19"/>
  <c r="X4" i="19"/>
  <c r="AI5" i="19"/>
  <c r="H5" i="21" s="1"/>
  <c r="AS13" i="19" l="1"/>
  <c r="H16" i="22"/>
  <c r="Q5" i="16"/>
  <c r="T5" i="16" s="1"/>
  <c r="P7" i="21"/>
  <c r="R7" i="21" s="1"/>
  <c r="P5" i="21"/>
  <c r="P2" i="21"/>
  <c r="P6" i="21"/>
  <c r="P4" i="21"/>
  <c r="R4" i="21" s="1"/>
  <c r="AH5" i="16"/>
  <c r="AR8" i="16" s="1"/>
  <c r="B19" i="18" s="1"/>
  <c r="AI13" i="19"/>
  <c r="Y2" i="19" s="1"/>
  <c r="AA2" i="19" s="1"/>
  <c r="AW5" i="19"/>
  <c r="AE5" i="19"/>
  <c r="AW13" i="19" l="1"/>
  <c r="G16" i="22"/>
  <c r="L13" i="22" s="1" a="1"/>
  <c r="AS8" i="16"/>
  <c r="C19" i="18" s="1"/>
  <c r="AE13" i="19"/>
  <c r="AG3" i="18" s="1"/>
  <c r="AG4" i="18" s="1"/>
  <c r="G4" i="22"/>
  <c r="L2" i="22" s="1" a="1"/>
  <c r="U5" i="16"/>
  <c r="R5" i="16"/>
  <c r="Y4" i="21"/>
  <c r="S4" i="21"/>
  <c r="T4" i="21"/>
  <c r="U4" i="21"/>
  <c r="V4" i="21"/>
  <c r="X4" i="21"/>
  <c r="Z4" i="21"/>
  <c r="W4" i="21"/>
  <c r="S5" i="16"/>
  <c r="V5" i="16"/>
  <c r="R2" i="21"/>
  <c r="Y2" i="21" s="1"/>
  <c r="R6" i="21"/>
  <c r="Y6" i="21" s="1"/>
  <c r="R5" i="21"/>
  <c r="Y5" i="21" s="1"/>
  <c r="Y7" i="21"/>
  <c r="T7" i="21"/>
  <c r="W7" i="21"/>
  <c r="S7" i="21"/>
  <c r="V7" i="21"/>
  <c r="U7" i="21"/>
  <c r="Z7" i="21"/>
  <c r="X7" i="21"/>
  <c r="Y6" i="19"/>
  <c r="AA6" i="19" s="1"/>
  <c r="Y3" i="19"/>
  <c r="AA3" i="19" s="1"/>
  <c r="Y5" i="19"/>
  <c r="AA5" i="19" s="1"/>
  <c r="Y4" i="19"/>
  <c r="AA4" i="19" s="1"/>
  <c r="V9" i="22" l="1"/>
  <c r="U5" i="22"/>
  <c r="W8" i="22"/>
  <c r="V10" i="22"/>
  <c r="W4" i="22"/>
  <c r="X2" i="22"/>
  <c r="T2" i="22"/>
  <c r="U10" i="22"/>
  <c r="V4" i="22"/>
  <c r="T9" i="22"/>
  <c r="T10" i="22"/>
  <c r="W11" i="22"/>
  <c r="T7" i="22"/>
  <c r="X3" i="22"/>
  <c r="V5" i="22"/>
  <c r="Y2" i="22"/>
  <c r="V3" i="22"/>
  <c r="X6" i="22"/>
  <c r="Y11" i="22"/>
  <c r="U2" i="22"/>
  <c r="T6" i="22"/>
  <c r="Y3" i="22"/>
  <c r="V7" i="22"/>
  <c r="U6" i="22"/>
  <c r="W3" i="22"/>
  <c r="W2" i="22"/>
  <c r="U3" i="22"/>
  <c r="Y4" i="22"/>
  <c r="V8" i="22"/>
  <c r="X11" i="22"/>
  <c r="X7" i="22"/>
  <c r="Y5" i="22"/>
  <c r="V2" i="22"/>
  <c r="T5" i="22"/>
  <c r="Y9" i="22"/>
  <c r="W7" i="22"/>
  <c r="V6" i="22"/>
  <c r="T3" i="22"/>
  <c r="X9" i="22"/>
  <c r="T11" i="22"/>
  <c r="W9" i="22"/>
  <c r="Y8" i="22"/>
  <c r="Y6" i="22"/>
  <c r="T4" i="22"/>
  <c r="X4" i="22"/>
  <c r="W6" i="22"/>
  <c r="Y10" i="22"/>
  <c r="U4" i="22"/>
  <c r="U8" i="22"/>
  <c r="U9" i="22"/>
  <c r="Y7" i="22"/>
  <c r="X10" i="22"/>
  <c r="V11" i="22"/>
  <c r="T8" i="22"/>
  <c r="X8" i="22"/>
  <c r="X5" i="22"/>
  <c r="W5" i="22"/>
  <c r="L2" i="22"/>
  <c r="S2" i="22" s="1"/>
  <c r="U7" i="22"/>
  <c r="U11" i="22"/>
  <c r="W10" i="22"/>
  <c r="S5" i="22"/>
  <c r="S6" i="22"/>
  <c r="S10" i="22"/>
  <c r="Y22" i="22"/>
  <c r="Y21" i="22"/>
  <c r="Y20" i="22"/>
  <c r="V16" i="22"/>
  <c r="T18" i="22"/>
  <c r="U22" i="22"/>
  <c r="U21" i="22"/>
  <c r="T19" i="22"/>
  <c r="L13" i="22"/>
  <c r="V18" i="22"/>
  <c r="Y23" i="22"/>
  <c r="Y14" i="22"/>
  <c r="S23" i="22"/>
  <c r="S22" i="22"/>
  <c r="W17" i="22"/>
  <c r="V20" i="22"/>
  <c r="V23" i="22"/>
  <c r="V22" i="22"/>
  <c r="U20" i="22"/>
  <c r="V19" i="22"/>
  <c r="Y18" i="22"/>
  <c r="W18" i="22"/>
  <c r="Y16" i="22"/>
  <c r="S18" i="22"/>
  <c r="S16" i="22"/>
  <c r="S15" i="22"/>
  <c r="X14" i="22"/>
  <c r="T23" i="22"/>
  <c r="X18" i="22"/>
  <c r="V15" i="22"/>
  <c r="U14" i="22"/>
  <c r="W23" i="22"/>
  <c r="V21" i="22"/>
  <c r="U19" i="22"/>
  <c r="Y17" i="22"/>
  <c r="S20" i="22"/>
  <c r="T21" i="22"/>
  <c r="T17" i="22"/>
  <c r="T16" i="22"/>
  <c r="T15" i="22"/>
  <c r="W14" i="22"/>
  <c r="Y19" i="22"/>
  <c r="W16" i="22"/>
  <c r="W15" i="22"/>
  <c r="T14" i="22"/>
  <c r="W22" i="22"/>
  <c r="V17" i="22"/>
  <c r="X15" i="22"/>
  <c r="U23" i="22"/>
  <c r="T20" i="22"/>
  <c r="U18" i="22"/>
  <c r="U17" i="22"/>
  <c r="U16" i="22"/>
  <c r="Y15" i="22"/>
  <c r="S21" i="22"/>
  <c r="X17" i="22"/>
  <c r="X16" i="22"/>
  <c r="W21" i="22"/>
  <c r="X23" i="22"/>
  <c r="T22" i="22"/>
  <c r="S14" i="22"/>
  <c r="S19" i="22"/>
  <c r="V14" i="22"/>
  <c r="W20" i="22"/>
  <c r="W19" i="22"/>
  <c r="S17" i="22"/>
  <c r="X21" i="22"/>
  <c r="X20" i="22"/>
  <c r="X19" i="22"/>
  <c r="U15" i="22"/>
  <c r="X22" i="22"/>
  <c r="S5" i="21"/>
  <c r="W5" i="21"/>
  <c r="Z5" i="21"/>
  <c r="T5" i="21"/>
  <c r="U5" i="21"/>
  <c r="V5" i="21"/>
  <c r="X5" i="21"/>
  <c r="AA7" i="21"/>
  <c r="AO19" i="20" s="1"/>
  <c r="Z6" i="21"/>
  <c r="U6" i="21"/>
  <c r="T6" i="21"/>
  <c r="S6" i="21"/>
  <c r="V6" i="21"/>
  <c r="X6" i="21"/>
  <c r="W6" i="21"/>
  <c r="S2" i="21"/>
  <c r="Z2" i="21"/>
  <c r="X2" i="21"/>
  <c r="W2" i="21"/>
  <c r="T2" i="21"/>
  <c r="U2" i="21"/>
  <c r="V2" i="21"/>
  <c r="AA4" i="21"/>
  <c r="AO16" i="20" s="1"/>
  <c r="AA7" i="19"/>
  <c r="AI3" i="18" s="1"/>
  <c r="AI4" i="18" s="1"/>
  <c r="S3" i="22" l="1"/>
  <c r="S4" i="22"/>
  <c r="Z4" i="22" s="1"/>
  <c r="AC4" i="22" s="1"/>
  <c r="S9" i="22"/>
  <c r="Z9" i="22" s="1"/>
  <c r="AB9" i="22" s="1"/>
  <c r="S11" i="22"/>
  <c r="Z11" i="22" s="1"/>
  <c r="S7" i="22"/>
  <c r="Z7" i="22" s="1"/>
  <c r="AA7" i="22" s="1"/>
  <c r="Z6" i="22"/>
  <c r="AB6" i="22" s="1"/>
  <c r="Z16" i="22"/>
  <c r="AF16" i="22" s="1"/>
  <c r="S8" i="22"/>
  <c r="Z21" i="22"/>
  <c r="AG21" i="22" s="1"/>
  <c r="Z3" i="22"/>
  <c r="AA3" i="22" s="1"/>
  <c r="Z19" i="22"/>
  <c r="AC19" i="22" s="1"/>
  <c r="Z22" i="22"/>
  <c r="AG22" i="22" s="1"/>
  <c r="Z14" i="22"/>
  <c r="AD14" i="22" s="1"/>
  <c r="Z23" i="22"/>
  <c r="AC23" i="22" s="1"/>
  <c r="Z18" i="22"/>
  <c r="AB18" i="22" s="1"/>
  <c r="Z20" i="22"/>
  <c r="AA20" i="22" s="1"/>
  <c r="Z2" i="22"/>
  <c r="AG2" i="22" s="1"/>
  <c r="Z17" i="22"/>
  <c r="AE17" i="22" s="1"/>
  <c r="Z15" i="22"/>
  <c r="AC15" i="22" s="1"/>
  <c r="Z5" i="22"/>
  <c r="AA5" i="22" s="1"/>
  <c r="Z10" i="22"/>
  <c r="AA10" i="22" s="1"/>
  <c r="AE3" i="22"/>
  <c r="AA2" i="21"/>
  <c r="AO14" i="20" s="1"/>
  <c r="AA6" i="21"/>
  <c r="AO18" i="20" s="1"/>
  <c r="AA5" i="21"/>
  <c r="AO17" i="20" s="1"/>
  <c r="AA17" i="22" l="1"/>
  <c r="AA18" i="22"/>
  <c r="AC6" i="22"/>
  <c r="AE11" i="22"/>
  <c r="AG11" i="22"/>
  <c r="AB14" i="22"/>
  <c r="AG6" i="22"/>
  <c r="AE6" i="22"/>
  <c r="AF6" i="22"/>
  <c r="AD6" i="22"/>
  <c r="AC14" i="22"/>
  <c r="AB17" i="22"/>
  <c r="AG17" i="22"/>
  <c r="AG14" i="22"/>
  <c r="AA15" i="22"/>
  <c r="AD19" i="22"/>
  <c r="AB21" i="22"/>
  <c r="AB4" i="22"/>
  <c r="AD4" i="22"/>
  <c r="AD9" i="22"/>
  <c r="AE9" i="22"/>
  <c r="AC9" i="22"/>
  <c r="AB10" i="22"/>
  <c r="AG4" i="22"/>
  <c r="AE4" i="22"/>
  <c r="AD2" i="22"/>
  <c r="AE18" i="22"/>
  <c r="AD22" i="22"/>
  <c r="AA21" i="22"/>
  <c r="AD21" i="22"/>
  <c r="AE14" i="22"/>
  <c r="AC18" i="22"/>
  <c r="AF21" i="22"/>
  <c r="AC16" i="22"/>
  <c r="AC11" i="22"/>
  <c r="AE22" i="22"/>
  <c r="AF22" i="22"/>
  <c r="AE19" i="22"/>
  <c r="AG20" i="22"/>
  <c r="AF2" i="22"/>
  <c r="AB23" i="22"/>
  <c r="AC3" i="22"/>
  <c r="AA14" i="22"/>
  <c r="AA9" i="22"/>
  <c r="AA19" i="22"/>
  <c r="AF4" i="22"/>
  <c r="AB19" i="22"/>
  <c r="AA4" i="22"/>
  <c r="AG19" i="22"/>
  <c r="AE2" i="22"/>
  <c r="AC20" i="22"/>
  <c r="AF19" i="22"/>
  <c r="AC22" i="22"/>
  <c r="AG3" i="22"/>
  <c r="AG10" i="22"/>
  <c r="AF5" i="22"/>
  <c r="AC2" i="22"/>
  <c r="AF23" i="22"/>
  <c r="AG23" i="22"/>
  <c r="AB3" i="22"/>
  <c r="AB22" i="22"/>
  <c r="AD3" i="22"/>
  <c r="AF14" i="22"/>
  <c r="AD20" i="22"/>
  <c r="AA2" i="22"/>
  <c r="AF20" i="22"/>
  <c r="AA23" i="22"/>
  <c r="AF17" i="22"/>
  <c r="AA22" i="22"/>
  <c r="AC21" i="22"/>
  <c r="AF7" i="22"/>
  <c r="AB11" i="22"/>
  <c r="AB5" i="22"/>
  <c r="AD16" i="22"/>
  <c r="AA11" i="22"/>
  <c r="AD10" i="22"/>
  <c r="AD15" i="22"/>
  <c r="AG16" i="22"/>
  <c r="AF11" i="22"/>
  <c r="AF9" i="22"/>
  <c r="AD11" i="22"/>
  <c r="AB16" i="22"/>
  <c r="AB15" i="22"/>
  <c r="AG9" i="22"/>
  <c r="AG15" i="22"/>
  <c r="AE23" i="22"/>
  <c r="AE10" i="22"/>
  <c r="AD17" i="22"/>
  <c r="Z8" i="22"/>
  <c r="AA8" i="22" s="1"/>
  <c r="AC10" i="22"/>
  <c r="AA6" i="22"/>
  <c r="AE7" i="22"/>
  <c r="AB2" i="22"/>
  <c r="AD23" i="22"/>
  <c r="AE16" i="22"/>
  <c r="AF15" i="22"/>
  <c r="AE15" i="22"/>
  <c r="AE20" i="22"/>
  <c r="AG7" i="22"/>
  <c r="AG18" i="22"/>
  <c r="AD5" i="22"/>
  <c r="AD18" i="22"/>
  <c r="AE5" i="22"/>
  <c r="AC5" i="22"/>
  <c r="AC17" i="22"/>
  <c r="AB20" i="22"/>
  <c r="AC7" i="22"/>
  <c r="AF18" i="22"/>
  <c r="AF3" i="22"/>
  <c r="AF10" i="22"/>
  <c r="AB7" i="22"/>
  <c r="AD7" i="22"/>
  <c r="AA16" i="22"/>
  <c r="AG5" i="22"/>
  <c r="AE21" i="22"/>
  <c r="AJ17" i="19"/>
  <c r="AH6" i="22" l="1"/>
  <c r="I6" i="22" s="1"/>
  <c r="AH22" i="22"/>
  <c r="I22" i="22" s="1"/>
  <c r="AH9" i="22"/>
  <c r="I9" i="22" s="1"/>
  <c r="AH14" i="22"/>
  <c r="I14" i="22" s="1"/>
  <c r="AH18" i="22"/>
  <c r="I18" i="22" s="1"/>
  <c r="AH3" i="22"/>
  <c r="I3" i="22" s="1"/>
  <c r="AH7" i="22"/>
  <c r="I7" i="22" s="1"/>
  <c r="AH4" i="22"/>
  <c r="I4" i="22" s="1"/>
  <c r="AH23" i="22"/>
  <c r="I23" i="22" s="1"/>
  <c r="AH2" i="22"/>
  <c r="AH19" i="22"/>
  <c r="I19" i="22" s="1"/>
  <c r="AH21" i="22"/>
  <c r="I21" i="22" s="1"/>
  <c r="AH20" i="22"/>
  <c r="I20" i="22" s="1"/>
  <c r="AH15" i="22"/>
  <c r="I15" i="22" s="1"/>
  <c r="AH10" i="22"/>
  <c r="I10" i="22" s="1"/>
  <c r="AH16" i="22"/>
  <c r="I16" i="22" s="1"/>
  <c r="AH17" i="22"/>
  <c r="I17" i="22" s="1"/>
  <c r="AH11" i="22"/>
  <c r="I11" i="22" s="1"/>
  <c r="AE8" i="22"/>
  <c r="AC8" i="22"/>
  <c r="AF8" i="22"/>
  <c r="AB8" i="22"/>
  <c r="AG8" i="22"/>
  <c r="AD8" i="22"/>
  <c r="AH5" i="22"/>
  <c r="I5" i="22" s="1"/>
  <c r="AJ18" i="19" l="1"/>
  <c r="I2" i="22"/>
  <c r="AH8" i="22"/>
  <c r="I8" i="22" s="1"/>
  <c r="AI18" i="19"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1"/>
        </ext>
      </extLst>
    </bk>
    <bk>
      <extLst>
        <ext uri="{3e2802c4-a4d2-4d8b-9148-e3be6c30e623}">
          <xlrd:rvb i="2"/>
        </ext>
      </extLst>
    </bk>
  </futureMetadata>
  <cellMetadata count="1">
    <bk>
      <rc t="1" v="0"/>
    </bk>
  </cellMetadata>
  <valueMetadata count="2">
    <bk>
      <rc t="2" v="0"/>
    </bk>
    <bk>
      <rc t="2" v="1"/>
    </bk>
  </valueMetadata>
</metadata>
</file>

<file path=xl/sharedStrings.xml><?xml version="1.0" encoding="utf-8"?>
<sst xmlns="http://schemas.openxmlformats.org/spreadsheetml/2006/main" count="6274" uniqueCount="625">
  <si>
    <t>BFSI</t>
  </si>
  <si>
    <t>HDFC Bank</t>
  </si>
  <si>
    <t>ICICI Bank</t>
  </si>
  <si>
    <t>Axis Bank</t>
  </si>
  <si>
    <t>SBI</t>
  </si>
  <si>
    <t>Bajaj Finserv</t>
  </si>
  <si>
    <t>Bajaj Housing Finance</t>
  </si>
  <si>
    <t>Muthoot Finance</t>
  </si>
  <si>
    <t>Sector</t>
  </si>
  <si>
    <t>Company</t>
  </si>
  <si>
    <t>Metric</t>
  </si>
  <si>
    <t>Year</t>
  </si>
  <si>
    <t>Value</t>
  </si>
  <si>
    <t>Type</t>
  </si>
  <si>
    <t>Revenue</t>
  </si>
  <si>
    <t>AUM</t>
  </si>
  <si>
    <t>2020</t>
  </si>
  <si>
    <t>2021</t>
  </si>
  <si>
    <t>2022</t>
  </si>
  <si>
    <t>2023</t>
  </si>
  <si>
    <t>2024</t>
  </si>
  <si>
    <t>2025</t>
  </si>
  <si>
    <t>2026</t>
  </si>
  <si>
    <t>2027</t>
  </si>
  <si>
    <t>2028</t>
  </si>
  <si>
    <t>2029</t>
  </si>
  <si>
    <t>2030</t>
  </si>
  <si>
    <t>IT</t>
  </si>
  <si>
    <t>Tata Consultancy Services</t>
  </si>
  <si>
    <t>Infosys</t>
  </si>
  <si>
    <t>HCL Tech</t>
  </si>
  <si>
    <t>Wipro</t>
  </si>
  <si>
    <t>LT Mindtree</t>
  </si>
  <si>
    <t>Automotive</t>
  </si>
  <si>
    <t>Suzuki</t>
  </si>
  <si>
    <t>Mahindra</t>
  </si>
  <si>
    <t>Tata Motors</t>
  </si>
  <si>
    <t>TVS Motors</t>
  </si>
  <si>
    <t>Exide Industries</t>
  </si>
  <si>
    <t>Motherson</t>
  </si>
  <si>
    <t>Defence</t>
  </si>
  <si>
    <t>Mazagon Dock Shipbuilders</t>
  </si>
  <si>
    <t>Bharat Electronics Limited</t>
  </si>
  <si>
    <t>Energy</t>
  </si>
  <si>
    <t>Adani Power</t>
  </si>
  <si>
    <t>Reliance Power</t>
  </si>
  <si>
    <t>Tata Power</t>
  </si>
  <si>
    <t>JSW Energy</t>
  </si>
  <si>
    <t>NTPC</t>
  </si>
  <si>
    <t>FMCG/Retail</t>
  </si>
  <si>
    <t>Dmart</t>
  </si>
  <si>
    <t>Hindustan Unilever Limited</t>
  </si>
  <si>
    <t>ITC</t>
  </si>
  <si>
    <t>Titan Company</t>
  </si>
  <si>
    <t>Trent Limited</t>
  </si>
  <si>
    <t>Varun Beverages Limited</t>
  </si>
  <si>
    <t>Net Income</t>
  </si>
  <si>
    <t>Bharat Dynamics Limited</t>
  </si>
  <si>
    <t>Hindustan Aeronautics Limited</t>
  </si>
  <si>
    <t>Garden Reach Shipbuilders &amp; Engineers Ltd</t>
  </si>
  <si>
    <t>KPI</t>
  </si>
  <si>
    <t>Loan Book</t>
  </si>
  <si>
    <t>Deposits</t>
  </si>
  <si>
    <t>NIM</t>
  </si>
  <si>
    <t>NPA</t>
  </si>
  <si>
    <t>ROA</t>
  </si>
  <si>
    <t>ROE</t>
  </si>
  <si>
    <t>CAR</t>
  </si>
  <si>
    <t>PAT</t>
  </si>
  <si>
    <t>CET 1</t>
  </si>
  <si>
    <t>20252</t>
  </si>
  <si>
    <t>Institution</t>
  </si>
  <si>
    <t>Terminal Growth</t>
  </si>
  <si>
    <t>Current Price</t>
  </si>
  <si>
    <t>Upside/Downside</t>
  </si>
  <si>
    <t>Cost of Equity</t>
  </si>
  <si>
    <t>Intrinsic Value</t>
  </si>
  <si>
    <t>EBITDA</t>
  </si>
  <si>
    <t>EBITDA Margin</t>
  </si>
  <si>
    <t>Net Profit</t>
  </si>
  <si>
    <t>Net Profit Margin</t>
  </si>
  <si>
    <t>Varun Beverages</t>
  </si>
  <si>
    <t>Forecasts</t>
  </si>
  <si>
    <t>Hindustan Unilever</t>
  </si>
  <si>
    <t>R&amp;D expense ratio</t>
  </si>
  <si>
    <t>Export Revenue ratio</t>
  </si>
  <si>
    <t>Debt to Equity</t>
  </si>
  <si>
    <t>Divi's Laboratories</t>
  </si>
  <si>
    <t>Sun Pharma</t>
  </si>
  <si>
    <t>Mankind Pharma</t>
  </si>
  <si>
    <t>Dr. Reddy's</t>
  </si>
  <si>
    <t>Torrent Pharma</t>
  </si>
  <si>
    <t>Cipla</t>
  </si>
  <si>
    <t>TCS</t>
  </si>
  <si>
    <t>EBITDA margin</t>
  </si>
  <si>
    <t>EV/EBITDA</t>
  </si>
  <si>
    <t xml:space="preserve">Revenue </t>
  </si>
  <si>
    <t>Net Profit margin</t>
  </si>
  <si>
    <t>Maruti Suzuki</t>
  </si>
  <si>
    <t>Mahindra &amp; Mahindra</t>
  </si>
  <si>
    <t>Samwardhana Motherson</t>
  </si>
  <si>
    <t xml:space="preserve">EBITDA </t>
  </si>
  <si>
    <t xml:space="preserve">Net Profit </t>
  </si>
  <si>
    <t>ARPU</t>
  </si>
  <si>
    <t xml:space="preserve">Subsriber base </t>
  </si>
  <si>
    <t>ROCE</t>
  </si>
  <si>
    <t>Bharti Airtel</t>
  </si>
  <si>
    <t>Indus Towers</t>
  </si>
  <si>
    <t>RailTel</t>
  </si>
  <si>
    <t>Tata Communication</t>
  </si>
  <si>
    <t>Vodafone Idea</t>
  </si>
  <si>
    <t>Reliance Jio</t>
  </si>
  <si>
    <t>Order Book</t>
  </si>
  <si>
    <t>Capex</t>
  </si>
  <si>
    <t>Debt/Equity</t>
  </si>
  <si>
    <t xml:space="preserve">Mazagon Dock </t>
  </si>
  <si>
    <t>Garden Reach Shipbuilding</t>
  </si>
  <si>
    <t>Hindustan Aeronautics</t>
  </si>
  <si>
    <t>Relative value</t>
  </si>
  <si>
    <t>D/E</t>
  </si>
  <si>
    <t>BPCL</t>
  </si>
  <si>
    <t>GAIL</t>
  </si>
  <si>
    <t>HPCL</t>
  </si>
  <si>
    <t>IOCL</t>
  </si>
  <si>
    <t>ONGC</t>
  </si>
  <si>
    <t>Reliance O2C</t>
  </si>
  <si>
    <t>FCF Margin</t>
  </si>
  <si>
    <t>Net margin</t>
  </si>
  <si>
    <t>Adani Ports</t>
  </si>
  <si>
    <t>Kalpataru</t>
  </si>
  <si>
    <t>KEC</t>
  </si>
  <si>
    <t>L&amp;T</t>
  </si>
  <si>
    <t>RVNL</t>
  </si>
  <si>
    <t>Intrinsic/Relative</t>
  </si>
  <si>
    <t>FCFF</t>
  </si>
  <si>
    <t>Coal India</t>
  </si>
  <si>
    <t>Hindustan Zinc</t>
  </si>
  <si>
    <t>JSW Steel</t>
  </si>
  <si>
    <t>Tata Steel</t>
  </si>
  <si>
    <t>SAIL</t>
  </si>
  <si>
    <t>NMDC</t>
  </si>
  <si>
    <t>Revenue CAGR</t>
  </si>
  <si>
    <t>Avg ROE</t>
  </si>
  <si>
    <t>Avg NPM</t>
  </si>
  <si>
    <t>Avg EBITDA Margin</t>
  </si>
  <si>
    <t>Pharma</t>
  </si>
  <si>
    <t>Infrastructure</t>
  </si>
  <si>
    <t>Oil &amp; Gas</t>
  </si>
  <si>
    <t>Minerals</t>
  </si>
  <si>
    <t>Telecom</t>
  </si>
  <si>
    <t>FMCG &amp; Retail</t>
  </si>
  <si>
    <t>Avg Valuation Multiple</t>
  </si>
  <si>
    <t>Expected Revenue CAGR</t>
  </si>
  <si>
    <t>CapEx Intensity</t>
  </si>
  <si>
    <t>Earnings Senstivity to GDP</t>
  </si>
  <si>
    <t>Average</t>
  </si>
  <si>
    <t>Avg Capex (20-25)</t>
  </si>
  <si>
    <t>Avg Capex (26-30)</t>
  </si>
  <si>
    <t>Capex CAGR</t>
  </si>
  <si>
    <t>Incremental ROCE (Historical)</t>
  </si>
  <si>
    <t>Incremental ROCE (Forecast)</t>
  </si>
  <si>
    <t>Expected Capex Intensity</t>
  </si>
  <si>
    <t>Avg Valuation multiple</t>
  </si>
  <si>
    <t>Key Drivers</t>
  </si>
  <si>
    <t>Cyclical rebound in volume demand and EV optimism</t>
  </si>
  <si>
    <t>Credit growth revival and asset quality</t>
  </si>
  <si>
    <t>Policy-led order visibility, import substitution theme</t>
  </si>
  <si>
    <t>Stable cash generation but limited multiple expansion</t>
  </si>
  <si>
    <t>Premium pricing, brand consolidation, lo volatility</t>
  </si>
  <si>
    <t>Public capex visibility, moderate leverage</t>
  </si>
  <si>
    <t>Global tech spending boom, high ROE and FCF generation</t>
  </si>
  <si>
    <t>Commodity upcycle and export demand</t>
  </si>
  <si>
    <t>Volatile margins and regulatory overhangs</t>
  </si>
  <si>
    <t>COVID-led demand surge and export expansion</t>
  </si>
  <si>
    <t>ARPU recovery and market consolidation</t>
  </si>
  <si>
    <t>Base PE</t>
  </si>
  <si>
    <t>Earnings CAGR</t>
  </si>
  <si>
    <t>Ke</t>
  </si>
  <si>
    <t>Earnings Sensitivity</t>
  </si>
  <si>
    <t>Risk Adjustment</t>
  </si>
  <si>
    <t>Alpha</t>
  </si>
  <si>
    <t>Beta</t>
  </si>
  <si>
    <t>Gamma</t>
  </si>
  <si>
    <t>Forecasted PE</t>
  </si>
  <si>
    <t>Forecasted ROCE</t>
  </si>
  <si>
    <t>Quadrant</t>
  </si>
  <si>
    <t>Category</t>
  </si>
  <si>
    <t>Thresholds</t>
  </si>
  <si>
    <t>ROCE High</t>
  </si>
  <si>
    <t>ROCE Moderate</t>
  </si>
  <si>
    <t>PE High</t>
  </si>
  <si>
    <t>PE Moderate</t>
  </si>
  <si>
    <t>Correlation</t>
  </si>
  <si>
    <t xml:space="preserve">Premium </t>
  </si>
  <si>
    <t>Balanced</t>
  </si>
  <si>
    <t>Undervalued</t>
  </si>
  <si>
    <t>Value Anchor</t>
  </si>
  <si>
    <t>Mid-Tier</t>
  </si>
  <si>
    <t>ROEC\ P/E</t>
  </si>
  <si>
    <t>High (&gt;60)</t>
  </si>
  <si>
    <t>Moderate  (30-60)</t>
  </si>
  <si>
    <t>Low (&lt;30)</t>
  </si>
  <si>
    <t>High (&gt;30%)</t>
  </si>
  <si>
    <t>Moderate (15-30%)</t>
  </si>
  <si>
    <t>Low (&lt;15%)</t>
  </si>
  <si>
    <t>Premium</t>
  </si>
  <si>
    <t>Avg ROCE</t>
  </si>
  <si>
    <t>Avg Capex (Historical)</t>
  </si>
  <si>
    <t>Avg Capex (Forecast)</t>
  </si>
  <si>
    <t>Capex Intensity (Forecast)</t>
  </si>
  <si>
    <t>Metric (Weighted Average)</t>
  </si>
  <si>
    <t>India (Historical)</t>
  </si>
  <si>
    <t>United States (Historical)</t>
  </si>
  <si>
    <t>India (Forecast)</t>
  </si>
  <si>
    <t>United States (Forecast)</t>
  </si>
  <si>
    <t>Interpretation</t>
  </si>
  <si>
    <t>Avg P/E</t>
  </si>
  <si>
    <t>Avg CapEx CAGR</t>
  </si>
  <si>
    <t>Earnings Sensitivity (to GDP)</t>
  </si>
  <si>
    <t>India</t>
  </si>
  <si>
    <t>US</t>
  </si>
  <si>
    <t>PBT</t>
  </si>
  <si>
    <t>Incremental ROCE</t>
  </si>
  <si>
    <t>GDP growth</t>
  </si>
  <si>
    <t>Forecast</t>
  </si>
  <si>
    <t>Change</t>
  </si>
  <si>
    <t>2025-30</t>
  </si>
  <si>
    <t>HDFC bank</t>
  </si>
  <si>
    <t>Axis</t>
  </si>
  <si>
    <t>Muthoot</t>
  </si>
  <si>
    <t>Bajaj Finance</t>
  </si>
  <si>
    <t>BHFL</t>
  </si>
  <si>
    <t>HUL</t>
  </si>
  <si>
    <t>Titan</t>
  </si>
  <si>
    <t>Trent</t>
  </si>
  <si>
    <t>VBL</t>
  </si>
  <si>
    <t>Divis</t>
  </si>
  <si>
    <t>Sun</t>
  </si>
  <si>
    <t>Mankind</t>
  </si>
  <si>
    <t>Reddy's</t>
  </si>
  <si>
    <t>Torrent</t>
  </si>
  <si>
    <t>HCL</t>
  </si>
  <si>
    <t>LTI Mindtree</t>
  </si>
  <si>
    <t>Earnings Senstitivity (Forecast)- India</t>
  </si>
  <si>
    <t>Earnings Senstitivity (Forecast)- US</t>
  </si>
  <si>
    <t>Earnings Change (Forecast)-India</t>
  </si>
  <si>
    <t>Earnings Change (Forecast)-US</t>
  </si>
  <si>
    <t>Historically, India’s companies have grown revenues faster (11.97%) than U.S. companies (6.14%), reflecting India’s stronger economic expansion and market penetration potential. The forecast shows India’s growth moderating to 10.07%, while the U.S. slows further to 4.16%, consistent with its mature economic cycle. This suggests India remains a high-growth, emerging market, while the U.S. stays stable but saturated.</t>
  </si>
  <si>
    <t>U.S. companies have maintained structurally higher margins (~29%) due to operational efficiency, scale, and pricing power. India’s margins, though lower historically (22.7%), are expected to rise sharply to 34.9%, indicating operating leverage benefits, better cost control, and value-chain upgradation in Indian firms. This points to improving profitability and competitiveness in India’s corporate sector.</t>
  </si>
  <si>
    <t>The U.S. shows stronger capital efficiency (~55% historically) compared to India’s 38%, reflecting superior asset productivity and capital discipline. However, India’s forecasted decline to 29% versus the U.S.’s ~19.9% suggests that while both economies may face moderating returns on new investments, India still retains a comparative capital efficiency advantage in the coming decade.</t>
  </si>
  <si>
    <t>Historically similar levels (~11%), but India’s NPM is projected to rise to 15.9%, outpacing the U.S. (17.6%). This demonstrates profit pool expansion in India led by improved pricing, margin resilience, and diversification. U.S. margins remain stable, reflecting maturity and consistent corporate profitability rather than growth-driven expansion.</t>
  </si>
  <si>
    <t>The Indian market trades at a premium valuation both historically and in forecasts (37.5× rising to 63.1×), compared to the U.S. (24.2× → 27.6×). This highlights investor optimism and growth expectations embedded in Indian equities. The U.S. P/E remains moderate, aligned with earnings stability and lower perceived risk. The widening gap underscores India’s growth-driven re-rating potential, though also higher valuation risk.</t>
  </si>
  <si>
    <t>Both regions historically invested at similar rates (~7.1%), but forecasts diverge — India’s CapEx growth is expected to accelerate (7.7%), while the U.S. slows (4.2%). This reflects India’s infrastructure expansion, capacity creation, and manufacturing-led investment cycle, whereas the U.S. moves toward digital, service, and productivity-focused investments with lower capital intensity.</t>
  </si>
  <si>
    <t>The U.S. exhibits higher sensitivity both historically (~149) and forecast (~161) — implying that corporate earnings move more sharply with GDP fluctuations. This suggests U.S. earnings are highly cyclical, responding rapidly to macroeconomic changes. India’s lower sensitivity (~49 → 41) indicates more structural and steady earnings growth, less tied to GDP volatility — a sign of resilience and diversification across domestic demand-driven sectors.</t>
  </si>
  <si>
    <t>US (Historical)</t>
  </si>
  <si>
    <t>US (Forecast)</t>
  </si>
  <si>
    <t>Average P/E</t>
  </si>
  <si>
    <t>Earnings Sensitivity to GDP</t>
  </si>
  <si>
    <t>Valuation Spread (India-US)</t>
  </si>
  <si>
    <t>India’s equities trade at more than twice U.S. valuations. This spread indicates heightened growth expectations and liquidity-driven optimism. While part of this premium reflects superior earnings trajectory, it also implies elevated valuation risk if growth expectations moderate.</t>
  </si>
  <si>
    <t>Indian corporates exhibit over double the earnings growth of U.S. firms, supporting a portion of the valuation gap. This suggests that roughly half of India’s valuation premium is fundamentally warranted by higher profit expansion and reinvestment intensity.</t>
  </si>
  <si>
    <t>India’s stronger projected ROCE underscores better incremental capital productivity. The efficiency differential helps justify sustained valuation support despite the cyclical moderation expected beyond 2028.</t>
  </si>
  <si>
    <t>India’s lower macro sensitivity shows defensive growth characteristics, meaning valuations are less exposed to GDP volatility. Conversely, U.S. earnings react four times more strongly to macro shifts, which explains lower multiples and higher risk-adjusted stability.</t>
  </si>
  <si>
    <t>Component</t>
  </si>
  <si>
    <t>Relative Contribution to Premium</t>
  </si>
  <si>
    <t xml:space="preserve">Earnings Growth </t>
  </si>
  <si>
    <t>Capital Efficiency</t>
  </si>
  <si>
    <t>Sentiment Factor</t>
  </si>
  <si>
    <t>Ratio (I/U)</t>
  </si>
  <si>
    <t>Fundamental driver reflecting India's superior profit expansion, policy-linked capex, and margin uplift</t>
  </si>
  <si>
    <t>Derived from stronger forecast ROCE, signaling improved reinvestment discipline and productivity</t>
  </si>
  <si>
    <t>Residual premium supported by foreign portfolio inflows, global risk appetite, and domestic investor participation</t>
  </si>
  <si>
    <t>Capex CAGR (Expected)</t>
  </si>
  <si>
    <t>Country</t>
  </si>
  <si>
    <t>Earnings CAGR (Historical)</t>
  </si>
  <si>
    <t>Earnings CAGR (Forecast)</t>
  </si>
  <si>
    <t>Driver</t>
  </si>
  <si>
    <t>Earnings growth Premium</t>
  </si>
  <si>
    <t>Capital Efficiency Premium</t>
  </si>
  <si>
    <t>Risk adjustment (Discount)</t>
  </si>
  <si>
    <t>Composite Ratio</t>
  </si>
  <si>
    <t>Weights</t>
  </si>
  <si>
    <t xml:space="preserve">Sensitivity </t>
  </si>
  <si>
    <t>India’s sustained double-digit earnings momentum forms the largest contributor to its valuation premium.</t>
  </si>
  <si>
    <t>Lower efficiency relative to US peers marginally tempers India's premium; capital productivity still improving.</t>
  </si>
  <si>
    <t>Reflects India's higher policy and liquidity risk discount compared with mature US markets</t>
  </si>
  <si>
    <t>Implies that Indian equities trade at roughly 86% justified premium over US peers largely driven by earnings expectations rather than efficiency differentials.</t>
  </si>
  <si>
    <t>Region</t>
  </si>
  <si>
    <t>R square</t>
  </si>
  <si>
    <t>United States</t>
  </si>
  <si>
    <t>Indicates a modest but positive relationship between profitability and valuation. Roughly 16 % of valuation variation across Indian sectors can be explained by efficiency differentials, suggesting fundamentals are beginning to influence price discovery, though sentiment remains a key driver.</t>
  </si>
  <si>
    <t>Demonstrates a stronger alignment between capital efficiency and valuation. About one-third of valuation variation in U.S. sectors stems from ROCE differences, reflecting a more mature and efficiency-driven pricing mechanism.</t>
  </si>
  <si>
    <t>WACC (Avg)</t>
  </si>
  <si>
    <t>ROCE-WACC Spread</t>
  </si>
  <si>
    <t>WACC-India</t>
  </si>
  <si>
    <t>WACC-US</t>
  </si>
  <si>
    <t>Rf</t>
  </si>
  <si>
    <t>ERP</t>
  </si>
  <si>
    <t>Kd</t>
  </si>
  <si>
    <t>D/V</t>
  </si>
  <si>
    <t>E/V</t>
  </si>
  <si>
    <t>Tax rate</t>
  </si>
  <si>
    <t>WACC</t>
  </si>
  <si>
    <t>Beta (Historical) US</t>
  </si>
  <si>
    <t>Beta (Forecast) US</t>
  </si>
  <si>
    <t>Beta US</t>
  </si>
  <si>
    <t>Beta India</t>
  </si>
  <si>
    <t>Debt weight US</t>
  </si>
  <si>
    <t>Equity weight US</t>
  </si>
  <si>
    <t>Debt weight India</t>
  </si>
  <si>
    <t>Equity weight India</t>
  </si>
  <si>
    <t>Avg</t>
  </si>
  <si>
    <t>Beta (Historical) India</t>
  </si>
  <si>
    <t>Beta F India</t>
  </si>
  <si>
    <t>The U.S. has historically demonstrated higher capital efficiency, indicating better utilization of assets and reinvestment discipline. Forecasts suggest U.S. efficiency will rise further due to capital-light innovation cycles, while India’s moderation signals maturity and consolidation in investment returns.</t>
  </si>
  <si>
    <t>India’s cost of capital remains higher due to elevated risk premiums and financing costs. The marginal decline by 2030 indicates improving macro stability. The U.S. retains a low structural WACC, reflecting strong investor confidence and deep capital markets.</t>
  </si>
  <si>
    <t>The spread highlights value creation potential. U.S. corporates generate significantly higher returns above their cost of capital, aided by operational efficiency. India’s narrowing spread suggests stable but slower incremental value creation as sectors mature.</t>
  </si>
  <si>
    <t>The U.S. maintains higher CapEx intensity due to continuous reinvestment in energy transition, automation, and industrial reshoring. India’s consistent CapEx ratio indicates measured expansion and optimization of capital allocation efficiency.</t>
  </si>
  <si>
    <t>Net Debt/Equity</t>
  </si>
  <si>
    <t>Debt/EBITDA</t>
  </si>
  <si>
    <t>Interest Coverage Ratio</t>
  </si>
  <si>
    <t>Debt/Capital Employed</t>
  </si>
  <si>
    <t>Cost of Debt</t>
  </si>
  <si>
    <t>Indian and U.S. corporates maintain comparable leverage levels. India’s gradual deleveraging since 2017 continues, while U.S. firms stabilize leverage post-pandemic after years of debt-funded share buybacks.</t>
  </si>
  <si>
    <t>Debt-servicing capacity remains comfortable in both economies, with India showing slight improvement due to earnings recovery and disciplined borrowing.</t>
  </si>
  <si>
    <t>India’s stronger coverage reflects lower refinancing risk and better operating cash flows, while U.S. coverage remains healthy despite rising interest costs.</t>
  </si>
  <si>
    <t>Both markets exhibit similar capital structures, though U.S. corporates employ a higher debt share in forward years, reflecting capital-market access and interest-rate normalization.</t>
  </si>
  <si>
    <t>India faces structurally higher borrowing costs due to domestic rate spreads. U.S. firms benefit from deeper bond markets and lower yield environments despite tightening cycles.</t>
  </si>
  <si>
    <t>ICR</t>
  </si>
  <si>
    <t>Liquidity Ratio</t>
  </si>
  <si>
    <t>FSI</t>
  </si>
  <si>
    <t>Tier 1</t>
  </si>
  <si>
    <t>LCR</t>
  </si>
  <si>
    <t>Provision Coverage</t>
  </si>
  <si>
    <t>RoA</t>
  </si>
  <si>
    <t>RoE</t>
  </si>
  <si>
    <t>NPA Ratios</t>
  </si>
  <si>
    <t>Normalized D/E</t>
  </si>
  <si>
    <t>Normalized ICR</t>
  </si>
  <si>
    <t>Normalized EBITDA Margin</t>
  </si>
  <si>
    <t>Normalized QR</t>
  </si>
  <si>
    <t>Total</t>
  </si>
  <si>
    <t>Weight D/E</t>
  </si>
  <si>
    <t>Weight ICR</t>
  </si>
  <si>
    <t>Weight EBITDA</t>
  </si>
  <si>
    <t>Weight QR</t>
  </si>
  <si>
    <t>Weight CAR</t>
  </si>
  <si>
    <t>Weight T1</t>
  </si>
  <si>
    <t>Weight CET1</t>
  </si>
  <si>
    <t>Weight LCR</t>
  </si>
  <si>
    <t>Weight PCR</t>
  </si>
  <si>
    <t>Weight NIM</t>
  </si>
  <si>
    <t>Weight ROA</t>
  </si>
  <si>
    <t>Weight ROE</t>
  </si>
  <si>
    <t>Weight NPA</t>
  </si>
  <si>
    <t>Normalized CAR</t>
  </si>
  <si>
    <t>Normalized T1</t>
  </si>
  <si>
    <t>Normalized CET1</t>
  </si>
  <si>
    <t>Normalized LCR</t>
  </si>
  <si>
    <t>Normalized PCR</t>
  </si>
  <si>
    <t>Normalized NIM</t>
  </si>
  <si>
    <t>Normalized ROA</t>
  </si>
  <si>
    <t>Normalized ROE</t>
  </si>
  <si>
    <t>Normalized NPA</t>
  </si>
  <si>
    <t xml:space="preserve">Total </t>
  </si>
  <si>
    <t>FSI (Forecast)</t>
  </si>
  <si>
    <t>FSI (Historical)</t>
  </si>
  <si>
    <t>Capex Intensity</t>
  </si>
  <si>
    <t>NPM</t>
  </si>
  <si>
    <t>PCR</t>
  </si>
  <si>
    <t>Gross NPA</t>
  </si>
  <si>
    <t>Advances Growth</t>
  </si>
  <si>
    <t>Rf-India</t>
  </si>
  <si>
    <t>Rf-US</t>
  </si>
  <si>
    <t>ERP-India</t>
  </si>
  <si>
    <t>ERP-US</t>
  </si>
  <si>
    <t>Kd-India</t>
  </si>
  <si>
    <t>Kd-US</t>
  </si>
  <si>
    <t>Ke-India</t>
  </si>
  <si>
    <t>Ke-US</t>
  </si>
  <si>
    <t>WACC-IndiaF</t>
  </si>
  <si>
    <t>WACC-USF</t>
  </si>
  <si>
    <t>Beta-India</t>
  </si>
  <si>
    <t>Beta-US</t>
  </si>
  <si>
    <t>Beta H</t>
  </si>
  <si>
    <t>Beta F</t>
  </si>
  <si>
    <t>Rf-F</t>
  </si>
  <si>
    <t>ERP-F</t>
  </si>
  <si>
    <t>Ke-F</t>
  </si>
  <si>
    <t>Kd (Hist Avg)</t>
  </si>
  <si>
    <t>Equity Weight</t>
  </si>
  <si>
    <t>Debt Weight</t>
  </si>
  <si>
    <t>WACC-F</t>
  </si>
  <si>
    <t>Normalized NPM</t>
  </si>
  <si>
    <t>Normalized Gross NPA</t>
  </si>
  <si>
    <t>Normalized ROCE</t>
  </si>
  <si>
    <t>Normalized Advances Growth</t>
  </si>
  <si>
    <t>Normalized WACC</t>
  </si>
  <si>
    <t>Normalized Ke</t>
  </si>
  <si>
    <t>Normalized Kd</t>
  </si>
  <si>
    <t>Weight NPM</t>
  </si>
  <si>
    <t>Weight ROCE</t>
  </si>
  <si>
    <t>Weight Adv Growth</t>
  </si>
  <si>
    <t>Weight WACC</t>
  </si>
  <si>
    <t>Weight Ke</t>
  </si>
  <si>
    <t>Weight Kd</t>
  </si>
  <si>
    <t>Normalized EBITDA</t>
  </si>
  <si>
    <t>Normalized Capex intensity</t>
  </si>
  <si>
    <t>Normalized Revenue CAGR</t>
  </si>
  <si>
    <t>Weight Capex</t>
  </si>
  <si>
    <t>Weight Revenue CAGR</t>
  </si>
  <si>
    <t>Capex Intensity India F</t>
  </si>
  <si>
    <t>Capex Intensity US F</t>
  </si>
  <si>
    <t>Expected CapEx Intensity</t>
  </si>
  <si>
    <t>Earnings Senstivity to GDP H</t>
  </si>
  <si>
    <t>Norm-EBITDA</t>
  </si>
  <si>
    <t>Norm-Capex</t>
  </si>
  <si>
    <t>Norm-ROCE</t>
  </si>
  <si>
    <t>Norm-NPM</t>
  </si>
  <si>
    <t>Norm-Rev</t>
  </si>
  <si>
    <t>Norm-WACC</t>
  </si>
  <si>
    <t>Norm-Ke</t>
  </si>
  <si>
    <t>Weight-EBITDA</t>
  </si>
  <si>
    <t>Weight-Capex</t>
  </si>
  <si>
    <t>Weight-ROCE</t>
  </si>
  <si>
    <t>Weight-NPM</t>
  </si>
  <si>
    <t>Weight-Rev</t>
  </si>
  <si>
    <t>Weight-WACC</t>
  </si>
  <si>
    <t>Weight-Ke</t>
  </si>
  <si>
    <t>JP Morgan Chase</t>
  </si>
  <si>
    <t>Bank of America</t>
  </si>
  <si>
    <t>American Express</t>
  </si>
  <si>
    <t>Goldman Sachs</t>
  </si>
  <si>
    <t>Morgan Stanley</t>
  </si>
  <si>
    <t>Wells Fargo</t>
  </si>
  <si>
    <t>Blackrock</t>
  </si>
  <si>
    <t>Beta-H</t>
  </si>
  <si>
    <t>Beta-F</t>
  </si>
  <si>
    <t>We</t>
  </si>
  <si>
    <t>Wd</t>
  </si>
  <si>
    <t>Norm-PCR</t>
  </si>
  <si>
    <t>Norm-Adv</t>
  </si>
  <si>
    <t>Norm-NIM</t>
  </si>
  <si>
    <t>W-NPM</t>
  </si>
  <si>
    <t>W-PCR</t>
  </si>
  <si>
    <t>W-ROCE</t>
  </si>
  <si>
    <t>W-Adv</t>
  </si>
  <si>
    <t>W-Ke</t>
  </si>
  <si>
    <t>W-NIM</t>
  </si>
  <si>
    <t>W-EBITDA</t>
  </si>
  <si>
    <t>W-Capex</t>
  </si>
  <si>
    <t>W-RevCAGR</t>
  </si>
  <si>
    <t>W-WACC</t>
  </si>
  <si>
    <t>EBIT</t>
  </si>
  <si>
    <t>Capital Emp</t>
  </si>
  <si>
    <t>Interest Exp</t>
  </si>
  <si>
    <t>Inerest coverage</t>
  </si>
  <si>
    <t>TVS</t>
  </si>
  <si>
    <t>Exide</t>
  </si>
  <si>
    <t>Dividend</t>
  </si>
  <si>
    <t>Equity-H</t>
  </si>
  <si>
    <t>Equity-F</t>
  </si>
  <si>
    <t>D/EBITDA</t>
  </si>
  <si>
    <t>D/Cap emp</t>
  </si>
  <si>
    <t>Debt-F</t>
  </si>
  <si>
    <t>LTIMindtree</t>
  </si>
  <si>
    <t>TATA Steel</t>
  </si>
  <si>
    <t>BEL</t>
  </si>
  <si>
    <t>MZD</t>
  </si>
  <si>
    <t>BDL</t>
  </si>
  <si>
    <t>GRSE</t>
  </si>
  <si>
    <t>HAL</t>
  </si>
  <si>
    <t>Power &amp; Utilities</t>
  </si>
  <si>
    <t>TATA Power</t>
  </si>
  <si>
    <t>D Mart</t>
  </si>
  <si>
    <t>KEC International</t>
  </si>
  <si>
    <t>RO2C</t>
  </si>
  <si>
    <t>US Historical</t>
  </si>
  <si>
    <t>India Forecast</t>
  </si>
  <si>
    <t>US Forecast</t>
  </si>
  <si>
    <t>Dr Reddy's</t>
  </si>
  <si>
    <t xml:space="preserve">Torrent </t>
  </si>
  <si>
    <t>Airtel</t>
  </si>
  <si>
    <t>TATA Communications</t>
  </si>
  <si>
    <t>Jio</t>
  </si>
  <si>
    <t>Debt/CE</t>
  </si>
  <si>
    <t>BFS</t>
  </si>
  <si>
    <t>Total Assets</t>
  </si>
  <si>
    <t>Equity</t>
  </si>
  <si>
    <t>NII</t>
  </si>
  <si>
    <t>RWA</t>
  </si>
  <si>
    <t>Interest exp</t>
  </si>
  <si>
    <t>Cost of Deposits</t>
  </si>
  <si>
    <t>Total assets/Equity</t>
  </si>
  <si>
    <t>Deposits/NII</t>
  </si>
  <si>
    <t>RWA/Equity</t>
  </si>
  <si>
    <t>Total Loans</t>
  </si>
  <si>
    <t>Borrowings</t>
  </si>
  <si>
    <t>Borrowings/NII</t>
  </si>
  <si>
    <t>Loans/Equity</t>
  </si>
  <si>
    <t>Cost of debt</t>
  </si>
  <si>
    <t>NII-F</t>
  </si>
  <si>
    <t>RWA-F</t>
  </si>
  <si>
    <t>Deposits-F</t>
  </si>
  <si>
    <t>Total Assets-F</t>
  </si>
  <si>
    <t>Interest exp-F</t>
  </si>
  <si>
    <t>Cost of deposits-F</t>
  </si>
  <si>
    <t>Loans-F</t>
  </si>
  <si>
    <t>Borrowings-F</t>
  </si>
  <si>
    <t>Kd-F</t>
  </si>
  <si>
    <t>BFL</t>
  </si>
  <si>
    <t>MFL</t>
  </si>
  <si>
    <t>Interest expense</t>
  </si>
  <si>
    <t>D/CE</t>
  </si>
  <si>
    <t>Historical</t>
  </si>
  <si>
    <t>HCLTech</t>
  </si>
  <si>
    <t>Automobile</t>
  </si>
  <si>
    <t>TATA Motors</t>
  </si>
  <si>
    <t>TA/Equity</t>
  </si>
  <si>
    <t>Dep/NII</t>
  </si>
  <si>
    <t>Cost of deposits</t>
  </si>
  <si>
    <t>B/NII</t>
  </si>
  <si>
    <t>L/E</t>
  </si>
  <si>
    <t>FMCG</t>
  </si>
  <si>
    <t>Tata Communications</t>
  </si>
  <si>
    <t>Auto</t>
  </si>
  <si>
    <t>Ford</t>
  </si>
  <si>
    <t>GM</t>
  </si>
  <si>
    <t>Harley</t>
  </si>
  <si>
    <t>Rivian</t>
  </si>
  <si>
    <t>Stellantis</t>
  </si>
  <si>
    <t>Tesla</t>
  </si>
  <si>
    <t>Nucor</t>
  </si>
  <si>
    <t>Freeport</t>
  </si>
  <si>
    <t>Alcoa</t>
  </si>
  <si>
    <t>RF Industries</t>
  </si>
  <si>
    <t>Dow</t>
  </si>
  <si>
    <t>Newmont</t>
  </si>
  <si>
    <t>Lockheed</t>
  </si>
  <si>
    <t>RTX</t>
  </si>
  <si>
    <t>General Dynamics</t>
  </si>
  <si>
    <t xml:space="preserve">L3Harris </t>
  </si>
  <si>
    <t>Northrop Grumman</t>
  </si>
  <si>
    <t>NextEra</t>
  </si>
  <si>
    <t>Duke energy</t>
  </si>
  <si>
    <t>Dominion Energy</t>
  </si>
  <si>
    <t>Southern Company</t>
  </si>
  <si>
    <t>Xcel energy</t>
  </si>
  <si>
    <t>P&amp;G</t>
  </si>
  <si>
    <t>Pepsico</t>
  </si>
  <si>
    <t>Coca-cola</t>
  </si>
  <si>
    <t>Colgate-Palmolive</t>
  </si>
  <si>
    <t>Walmart</t>
  </si>
  <si>
    <t>Caterpillar</t>
  </si>
  <si>
    <t>Jacobs Engineering</t>
  </si>
  <si>
    <t>AECOM</t>
  </si>
  <si>
    <t>Fluor Corp</t>
  </si>
  <si>
    <t>Vulcan Materials</t>
  </si>
  <si>
    <t>Accenture</t>
  </si>
  <si>
    <t>IBM</t>
  </si>
  <si>
    <t>Alphabet</t>
  </si>
  <si>
    <t>Microsoft</t>
  </si>
  <si>
    <t>Oracle</t>
  </si>
  <si>
    <t>Exxon Mobil</t>
  </si>
  <si>
    <t>Chevron</t>
  </si>
  <si>
    <t>ConocoPhillips</t>
  </si>
  <si>
    <t>Marathon Petroleum</t>
  </si>
  <si>
    <t>Phillips 66</t>
  </si>
  <si>
    <t>Pfizer</t>
  </si>
  <si>
    <t>Merck</t>
  </si>
  <si>
    <t>Amgen</t>
  </si>
  <si>
    <t>Eli Lilly</t>
  </si>
  <si>
    <t>Johnson &amp; Johnson</t>
  </si>
  <si>
    <t>Verizon</t>
  </si>
  <si>
    <t>AT&amp;T</t>
  </si>
  <si>
    <t>Charter communications</t>
  </si>
  <si>
    <t>Comcast</t>
  </si>
  <si>
    <t>T-Mobile</t>
  </si>
  <si>
    <t>RIL</t>
  </si>
  <si>
    <t>India Risk 2030</t>
  </si>
  <si>
    <t>US Risk 2030</t>
  </si>
  <si>
    <t>Remarks</t>
  </si>
  <si>
    <t>Comparison</t>
  </si>
  <si>
    <t>Power</t>
  </si>
  <si>
    <t>Equal</t>
  </si>
  <si>
    <t>Equal high</t>
  </si>
  <si>
    <t>Equal low</t>
  </si>
  <si>
    <t>Equal Extreme</t>
  </si>
  <si>
    <t>US riskier</t>
  </si>
  <si>
    <t>India riskier</t>
  </si>
  <si>
    <t>Cyclical, but India has fewer distressed EV players</t>
  </si>
  <si>
    <t>Commodity beta + debt-funded expansion both sides</t>
  </si>
  <si>
    <t>Cash-rich on both sides</t>
  </si>
  <si>
    <t>Capital inflation offest by regulated pricing</t>
  </si>
  <si>
    <t>India; spectrum + losses; US: fiber + 5G capex</t>
  </si>
  <si>
    <t>India debt-light; US has selective leverage (Colgate, Pepsi)</t>
  </si>
  <si>
    <t>India deleveraging US M&amp;A debt cycle</t>
  </si>
  <si>
    <t>US deleveraged post-2020; India still capex-heavy</t>
  </si>
  <si>
    <t>Both rely on debt-funded capex + long receivable cycles</t>
  </si>
  <si>
    <t>US funded backlog, India PSU mix</t>
  </si>
  <si>
    <t>Forecasted ROCE-India</t>
  </si>
  <si>
    <t>Forecasted PE-India</t>
  </si>
  <si>
    <t>Forecasted ROCE-US</t>
  </si>
  <si>
    <t>Forecasted PE-US</t>
  </si>
  <si>
    <t>Moderate positive relationship- valuations partially reflect efficiency but influenced by growth expectations</t>
  </si>
  <si>
    <t>Stronger efficiency-valuation alignment- pricing reflects rational, earnings-based multiples.</t>
  </si>
  <si>
    <t>R-square</t>
  </si>
  <si>
    <t>ROCE India-H</t>
  </si>
  <si>
    <t>PE India-H</t>
  </si>
  <si>
    <t>ROCE US-H</t>
  </si>
  <si>
    <t>PE US-H</t>
  </si>
  <si>
    <t>ROCE India-F</t>
  </si>
  <si>
    <t>PE India-F</t>
  </si>
  <si>
    <t>ROCE US-F</t>
  </si>
  <si>
    <t>PE US-F</t>
  </si>
  <si>
    <t>Very weak alignment; valuations driven by growth momentum and sentiment</t>
  </si>
  <si>
    <t>Modest correlation; valuations somewhat efficiency-linked but dominated by macro yield compression</t>
  </si>
  <si>
    <t>India-Forecast</t>
  </si>
  <si>
    <t>US-Forecast</t>
  </si>
  <si>
    <t>India-Historical</t>
  </si>
  <si>
    <t>US-Historical</t>
  </si>
  <si>
    <t>Vertical Line (Median ROCE)</t>
  </si>
  <si>
    <t>X</t>
  </si>
  <si>
    <t>Y</t>
  </si>
  <si>
    <t>Horizontal Line (Median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</si>
</sst>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F800]dddd\,\ mmmm\ dd\,\ yyyy"/>
    <numFmt numFmtId="166" formatCode="_([$$-409]* #,##0.00_);_([$$-409]* \(#,##0.00\);_([$$-409]* &quot;-&quot;??_);_(@_)"/>
    <numFmt numFmtId="167" formatCode="0.000"/>
  </numFmts>
  <fonts count="5" x14ac:knownFonts="1">
    <font>
      <sz val="11"/>
      <color theme="1"/>
      <name val="Calibri"/>
      <family val="2"/>
      <scheme val="minor"/>
    </font>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s>
  <fills count="20">
    <fill>
      <patternFill patternType="none"/>
    </fill>
    <fill>
      <patternFill patternType="gray125"/>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8" tint="-0.249977111117893"/>
        <bgColor indexed="64"/>
      </patternFill>
    </fill>
    <fill>
      <patternFill patternType="solid">
        <fgColor theme="5" tint="-0.249977111117893"/>
        <bgColor indexed="64"/>
      </patternFill>
    </fill>
    <fill>
      <patternFill patternType="solid">
        <fgColor rgb="FF7030A0"/>
        <bgColor indexed="64"/>
      </patternFill>
    </fill>
    <fill>
      <patternFill patternType="solid">
        <fgColor theme="1"/>
        <bgColor indexed="64"/>
      </patternFill>
    </fill>
    <fill>
      <patternFill patternType="solid">
        <fgColor theme="1" tint="0.34998626667073579"/>
        <bgColor indexed="64"/>
      </patternFill>
    </fill>
    <fill>
      <patternFill patternType="solid">
        <fgColor rgb="FF00B050"/>
        <bgColor indexed="64"/>
      </patternFill>
    </fill>
    <fill>
      <patternFill patternType="solid">
        <fgColor rgb="FF008000"/>
        <bgColor indexed="64"/>
      </patternFill>
    </fill>
    <fill>
      <patternFill patternType="solid">
        <fgColor rgb="FFC00000"/>
        <bgColor indexed="64"/>
      </patternFill>
    </fill>
    <fill>
      <patternFill patternType="solid">
        <fgColor rgb="FF002060"/>
        <bgColor indexed="64"/>
      </patternFill>
    </fill>
    <fill>
      <patternFill patternType="solid">
        <fgColor theme="5" tint="-0.499984740745262"/>
        <bgColor indexed="64"/>
      </patternFill>
    </fill>
    <fill>
      <patternFill patternType="solid">
        <fgColor rgb="FFCC00CC"/>
        <bgColor indexed="64"/>
      </patternFill>
    </fill>
    <fill>
      <patternFill patternType="solid">
        <fgColor rgb="FFDAAA10"/>
        <bgColor indexed="64"/>
      </patternFill>
    </fill>
    <fill>
      <patternFill patternType="solid">
        <fgColor theme="7" tint="-0.249977111117893"/>
        <bgColor indexed="64"/>
      </patternFill>
    </fill>
    <fill>
      <patternFill patternType="solid">
        <fgColor rgb="FFCC6600"/>
        <bgColor indexed="64"/>
      </patternFill>
    </fill>
    <fill>
      <patternFill patternType="solid">
        <fgColor theme="8" tint="-0.499984740745262"/>
        <bgColor indexed="64"/>
      </patternFill>
    </fill>
    <fill>
      <patternFill patternType="solid">
        <fgColor rgb="FF1F4E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63">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164" fontId="0" fillId="0" borderId="0" xfId="0" applyNumberFormat="1" applyAlignment="1">
      <alignment horizontal="center" vertical="center"/>
    </xf>
    <xf numFmtId="43" fontId="0" fillId="0" borderId="0" xfId="1" applyFont="1" applyAlignment="1">
      <alignment horizontal="center" vertical="center"/>
    </xf>
    <xf numFmtId="164" fontId="0" fillId="0" borderId="0" xfId="1" applyNumberFormat="1" applyFont="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2" fontId="0" fillId="0" borderId="0" xfId="2" applyNumberFormat="1" applyFont="1" applyAlignment="1">
      <alignment horizontal="center" vertical="center"/>
    </xf>
    <xf numFmtId="165" fontId="0" fillId="0" borderId="0" xfId="2" applyNumberFormat="1" applyFont="1" applyAlignment="1">
      <alignment horizontal="center" vertical="center"/>
    </xf>
    <xf numFmtId="0" fontId="0" fillId="0" borderId="1" xfId="0" applyBorder="1" applyAlignment="1">
      <alignment vertical="center"/>
    </xf>
    <xf numFmtId="43" fontId="0" fillId="0" borderId="1" xfId="0" applyNumberFormat="1" applyBorder="1" applyAlignment="1">
      <alignment vertical="center"/>
    </xf>
    <xf numFmtId="10" fontId="0" fillId="0" borderId="1" xfId="2" applyNumberFormat="1" applyFont="1" applyBorder="1" applyAlignment="1">
      <alignment vertical="center"/>
    </xf>
    <xf numFmtId="0" fontId="4" fillId="4" borderId="5" xfId="0" applyFont="1" applyFill="1" applyBorder="1" applyAlignment="1">
      <alignment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3" fillId="4" borderId="2" xfId="0" applyFont="1" applyFill="1" applyBorder="1" applyAlignment="1">
      <alignment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0" fillId="2" borderId="2" xfId="0" applyFill="1" applyBorder="1" applyAlignment="1">
      <alignment vertical="center"/>
    </xf>
    <xf numFmtId="43" fontId="0" fillId="2" borderId="2" xfId="0" applyNumberFormat="1" applyFill="1" applyBorder="1" applyAlignment="1">
      <alignment vertical="center"/>
    </xf>
    <xf numFmtId="43" fontId="0" fillId="2" borderId="8" xfId="0" applyNumberFormat="1" applyFill="1" applyBorder="1" applyAlignment="1">
      <alignment vertical="center"/>
    </xf>
    <xf numFmtId="0" fontId="0" fillId="3" borderId="2" xfId="0" applyFill="1" applyBorder="1" applyAlignment="1">
      <alignment vertical="center"/>
    </xf>
    <xf numFmtId="43" fontId="0" fillId="3" borderId="2" xfId="0" applyNumberFormat="1" applyFill="1" applyBorder="1" applyAlignment="1">
      <alignment vertical="center"/>
    </xf>
    <xf numFmtId="43" fontId="0" fillId="3" borderId="8" xfId="0" applyNumberFormat="1" applyFill="1" applyBorder="1" applyAlignment="1">
      <alignment vertical="center"/>
    </xf>
    <xf numFmtId="0" fontId="0" fillId="2" borderId="5" xfId="0" applyFill="1" applyBorder="1" applyAlignment="1">
      <alignment vertical="center"/>
    </xf>
    <xf numFmtId="0" fontId="0" fillId="2" borderId="3" xfId="0" applyFill="1" applyBorder="1" applyAlignment="1">
      <alignment vertical="center"/>
    </xf>
    <xf numFmtId="0" fontId="0" fillId="3" borderId="3" xfId="0" applyFill="1" applyBorder="1" applyAlignment="1">
      <alignment vertical="center"/>
    </xf>
    <xf numFmtId="0" fontId="3" fillId="4" borderId="0" xfId="0" applyFont="1" applyFill="1" applyAlignment="1">
      <alignment vertical="center"/>
    </xf>
    <xf numFmtId="0" fontId="3" fillId="4" borderId="0" xfId="0" applyFont="1" applyFill="1" applyAlignment="1">
      <alignment horizontal="center" vertical="center"/>
    </xf>
    <xf numFmtId="0" fontId="0" fillId="0" borderId="8" xfId="0" applyBorder="1" applyAlignment="1">
      <alignment vertical="center"/>
    </xf>
    <xf numFmtId="43" fontId="0" fillId="2" borderId="1" xfId="0" applyNumberFormat="1" applyFill="1" applyBorder="1" applyAlignment="1">
      <alignment vertical="center"/>
    </xf>
    <xf numFmtId="43" fontId="0" fillId="3" borderId="1" xfId="0" applyNumberFormat="1" applyFill="1" applyBorder="1" applyAlignment="1">
      <alignment vertical="center"/>
    </xf>
    <xf numFmtId="43" fontId="0" fillId="2" borderId="2" xfId="2" applyNumberFormat="1" applyFont="1" applyFill="1" applyBorder="1" applyAlignment="1">
      <alignment vertical="center"/>
    </xf>
    <xf numFmtId="43" fontId="0" fillId="2" borderId="1" xfId="2" applyNumberFormat="1" applyFont="1" applyFill="1" applyBorder="1" applyAlignment="1">
      <alignment vertical="center"/>
    </xf>
    <xf numFmtId="43" fontId="0" fillId="2" borderId="5" xfId="2" applyNumberFormat="1" applyFont="1" applyFill="1" applyBorder="1" applyAlignment="1">
      <alignment vertical="center"/>
    </xf>
    <xf numFmtId="10" fontId="0" fillId="0" borderId="1" xfId="0" applyNumberFormat="1" applyBorder="1" applyAlignment="1">
      <alignment vertical="center"/>
    </xf>
    <xf numFmtId="0" fontId="4" fillId="5" borderId="0" xfId="0" applyFont="1" applyFill="1" applyAlignment="1">
      <alignment vertical="center"/>
    </xf>
    <xf numFmtId="0" fontId="4" fillId="5" borderId="0" xfId="0" applyFont="1" applyFill="1" applyAlignment="1">
      <alignment horizontal="center" vertical="center"/>
    </xf>
    <xf numFmtId="0" fontId="4" fillId="0" borderId="0" xfId="0" applyFont="1" applyAlignment="1">
      <alignment horizontal="center" vertical="center"/>
    </xf>
    <xf numFmtId="43" fontId="0" fillId="0" borderId="0" xfId="0" applyNumberFormat="1" applyAlignment="1">
      <alignment vertical="center"/>
    </xf>
    <xf numFmtId="10" fontId="0" fillId="0" borderId="0" xfId="0" applyNumberFormat="1" applyAlignment="1">
      <alignment vertical="center"/>
    </xf>
    <xf numFmtId="0" fontId="4" fillId="6" borderId="0" xfId="0" applyFont="1" applyFill="1" applyAlignment="1">
      <alignment vertical="center"/>
    </xf>
    <xf numFmtId="0" fontId="4" fillId="6" borderId="0" xfId="0" applyFont="1" applyFill="1" applyAlignment="1">
      <alignment horizontal="center" vertical="center"/>
    </xf>
    <xf numFmtId="43" fontId="0" fillId="0" borderId="1" xfId="0" applyNumberFormat="1" applyBorder="1" applyAlignment="1">
      <alignment horizontal="right" vertical="center"/>
    </xf>
    <xf numFmtId="10" fontId="0" fillId="0" borderId="1" xfId="2" applyNumberFormat="1" applyFont="1" applyBorder="1" applyAlignment="1">
      <alignment horizontal="right" vertical="center"/>
    </xf>
    <xf numFmtId="0" fontId="0" fillId="0" borderId="1" xfId="0" applyBorder="1" applyAlignment="1">
      <alignment horizontal="right" vertical="center"/>
    </xf>
    <xf numFmtId="10" fontId="0" fillId="0" borderId="8" xfId="2" applyNumberFormat="1" applyFont="1" applyBorder="1" applyAlignment="1">
      <alignment horizontal="right" vertical="center"/>
    </xf>
    <xf numFmtId="0" fontId="0" fillId="7" borderId="0" xfId="0" applyFill="1" applyAlignment="1">
      <alignment vertical="center"/>
    </xf>
    <xf numFmtId="0" fontId="0" fillId="7" borderId="0" xfId="0" applyFill="1" applyAlignment="1">
      <alignment horizontal="center" vertical="center"/>
    </xf>
    <xf numFmtId="10" fontId="0" fillId="0" borderId="0" xfId="2" applyNumberFormat="1" applyFont="1" applyBorder="1" applyAlignment="1">
      <alignment vertical="center"/>
    </xf>
    <xf numFmtId="10" fontId="0" fillId="0" borderId="0" xfId="2" applyNumberFormat="1" applyFont="1" applyAlignment="1">
      <alignment vertical="center"/>
    </xf>
    <xf numFmtId="43" fontId="0" fillId="0" borderId="0" xfId="1" applyFont="1" applyAlignment="1">
      <alignment vertical="center"/>
    </xf>
    <xf numFmtId="43" fontId="0" fillId="0" borderId="0" xfId="0" applyNumberFormat="1" applyAlignment="1">
      <alignment horizontal="right" vertical="center"/>
    </xf>
    <xf numFmtId="10" fontId="0" fillId="0" borderId="0" xfId="2" applyNumberFormat="1" applyFont="1" applyAlignment="1">
      <alignment horizontal="right" vertical="center"/>
    </xf>
    <xf numFmtId="2" fontId="0" fillId="0" borderId="0" xfId="0" applyNumberFormat="1" applyAlignment="1">
      <alignment vertical="center"/>
    </xf>
    <xf numFmtId="0" fontId="0" fillId="10" borderId="0" xfId="0" applyFill="1" applyAlignment="1">
      <alignment vertical="center"/>
    </xf>
    <xf numFmtId="0" fontId="0" fillId="10" borderId="0" xfId="0" applyFill="1" applyAlignment="1">
      <alignment horizontal="center" vertical="center"/>
    </xf>
    <xf numFmtId="0" fontId="0" fillId="11" borderId="0" xfId="0" applyFill="1" applyAlignment="1">
      <alignment vertical="center"/>
    </xf>
    <xf numFmtId="0" fontId="0" fillId="11" borderId="0" xfId="0" applyFill="1" applyAlignment="1">
      <alignment horizontal="center" vertical="center"/>
    </xf>
    <xf numFmtId="0" fontId="0" fillId="12" borderId="0" xfId="0" applyFill="1" applyAlignment="1">
      <alignment vertical="center"/>
    </xf>
    <xf numFmtId="0" fontId="0" fillId="12" borderId="0" xfId="0" applyFill="1" applyAlignment="1">
      <alignment horizontal="center" vertical="center"/>
    </xf>
    <xf numFmtId="10" fontId="0" fillId="0" borderId="1" xfId="0" applyNumberFormat="1" applyBorder="1" applyAlignment="1">
      <alignment horizontal="right" vertical="center"/>
    </xf>
    <xf numFmtId="2" fontId="0" fillId="0" borderId="1" xfId="0" applyNumberFormat="1" applyBorder="1" applyAlignment="1">
      <alignment horizontal="right" vertical="center"/>
    </xf>
    <xf numFmtId="0" fontId="0" fillId="13" borderId="0" xfId="0" applyFill="1" applyAlignment="1">
      <alignment vertical="center"/>
    </xf>
    <xf numFmtId="0" fontId="0" fillId="13" borderId="0" xfId="0" applyFill="1" applyAlignment="1">
      <alignment horizontal="center" vertical="center"/>
    </xf>
    <xf numFmtId="0" fontId="0" fillId="14" borderId="0" xfId="0" applyFill="1" applyAlignment="1">
      <alignment vertical="center"/>
    </xf>
    <xf numFmtId="0" fontId="0" fillId="14" borderId="0" xfId="0" applyFill="1" applyAlignment="1">
      <alignment horizontal="center" vertical="center"/>
    </xf>
    <xf numFmtId="43" fontId="0" fillId="0" borderId="1" xfId="2" applyNumberFormat="1" applyFont="1" applyBorder="1" applyAlignment="1">
      <alignment vertical="center"/>
    </xf>
    <xf numFmtId="0" fontId="4" fillId="15" borderId="0" xfId="0" applyFont="1" applyFill="1" applyAlignment="1">
      <alignment vertical="center"/>
    </xf>
    <xf numFmtId="0" fontId="4" fillId="15" borderId="0" xfId="0" applyFont="1" applyFill="1" applyAlignment="1">
      <alignment horizontal="center" vertical="center"/>
    </xf>
    <xf numFmtId="0" fontId="4" fillId="4" borderId="0" xfId="0" applyFont="1" applyFill="1" applyAlignment="1">
      <alignment vertical="center"/>
    </xf>
    <xf numFmtId="0" fontId="4" fillId="7" borderId="0" xfId="0" applyFont="1" applyFill="1" applyAlignment="1">
      <alignment vertical="center"/>
    </xf>
    <xf numFmtId="0" fontId="4" fillId="11" borderId="0" xfId="0" applyFont="1" applyFill="1" applyAlignment="1">
      <alignment vertical="center"/>
    </xf>
    <xf numFmtId="0" fontId="4" fillId="14" borderId="0" xfId="0" applyFont="1" applyFill="1" applyAlignment="1">
      <alignment vertical="center"/>
    </xf>
    <xf numFmtId="43" fontId="0" fillId="0" borderId="1" xfId="1" applyFont="1" applyBorder="1" applyAlignment="1">
      <alignment vertical="center"/>
    </xf>
    <xf numFmtId="10" fontId="0" fillId="0" borderId="8" xfId="0" applyNumberFormat="1" applyBorder="1" applyAlignment="1">
      <alignment vertical="center"/>
    </xf>
    <xf numFmtId="43" fontId="0" fillId="0" borderId="8" xfId="1" applyFont="1" applyBorder="1" applyAlignment="1">
      <alignment vertical="center"/>
    </xf>
    <xf numFmtId="43" fontId="0" fillId="0" borderId="0" xfId="1" applyFont="1" applyBorder="1" applyAlignment="1">
      <alignment vertical="center"/>
    </xf>
    <xf numFmtId="0" fontId="4" fillId="8" borderId="0" xfId="0" applyFont="1" applyFill="1" applyAlignment="1">
      <alignment vertical="center"/>
    </xf>
    <xf numFmtId="0" fontId="4" fillId="12" borderId="0" xfId="0" applyFont="1" applyFill="1" applyAlignment="1">
      <alignment vertical="center"/>
    </xf>
    <xf numFmtId="0" fontId="4" fillId="16" borderId="0" xfId="0" applyFont="1" applyFill="1" applyAlignment="1">
      <alignment vertical="center"/>
    </xf>
    <xf numFmtId="0" fontId="4" fillId="16" borderId="0" xfId="0" applyFont="1" applyFill="1" applyAlignment="1">
      <alignment horizontal="right" vertical="center"/>
    </xf>
    <xf numFmtId="10" fontId="0" fillId="0" borderId="8" xfId="2" applyNumberFormat="1" applyFont="1" applyBorder="1" applyAlignment="1">
      <alignment vertical="center"/>
    </xf>
    <xf numFmtId="0" fontId="4" fillId="9" borderId="0" xfId="0" applyFont="1" applyFill="1" applyAlignment="1">
      <alignment vertical="center"/>
    </xf>
    <xf numFmtId="0" fontId="4" fillId="13" borderId="0" xfId="0" applyFont="1" applyFill="1" applyAlignment="1">
      <alignment vertical="center"/>
    </xf>
    <xf numFmtId="43" fontId="0" fillId="0" borderId="1" xfId="1" applyFont="1" applyBorder="1" applyAlignment="1">
      <alignment horizontal="right" vertical="center"/>
    </xf>
    <xf numFmtId="10" fontId="0" fillId="0" borderId="8" xfId="0" applyNumberFormat="1" applyBorder="1" applyAlignment="1">
      <alignment horizontal="right" vertical="center"/>
    </xf>
    <xf numFmtId="43" fontId="0" fillId="0" borderId="8" xfId="1" applyFont="1" applyBorder="1" applyAlignment="1">
      <alignment horizontal="right" vertical="center"/>
    </xf>
    <xf numFmtId="10" fontId="0" fillId="0" borderId="1" xfId="0" applyNumberFormat="1" applyBorder="1" applyAlignment="1">
      <alignment horizontal="center" vertical="center"/>
    </xf>
    <xf numFmtId="10" fontId="0" fillId="0" borderId="1" xfId="2" applyNumberFormat="1" applyFont="1" applyBorder="1" applyAlignment="1">
      <alignment horizontal="center" vertical="center"/>
    </xf>
    <xf numFmtId="43" fontId="0" fillId="0" borderId="1" xfId="1" applyFont="1" applyBorder="1" applyAlignment="1">
      <alignment horizontal="center" vertical="center"/>
    </xf>
    <xf numFmtId="2" fontId="0" fillId="0" borderId="1" xfId="0" applyNumberFormat="1" applyBorder="1" applyAlignment="1">
      <alignment horizontal="center" vertical="center"/>
    </xf>
    <xf numFmtId="0" fontId="4" fillId="0" borderId="8" xfId="0" applyFont="1" applyBorder="1" applyAlignment="1">
      <alignment vertical="center"/>
    </xf>
    <xf numFmtId="10" fontId="4" fillId="0" borderId="8" xfId="0" applyNumberFormat="1" applyFont="1" applyBorder="1" applyAlignment="1">
      <alignment horizontal="center" vertical="center"/>
    </xf>
    <xf numFmtId="2" fontId="4" fillId="0" borderId="8" xfId="1" applyNumberFormat="1" applyFont="1" applyBorder="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43" fontId="4" fillId="0" borderId="8" xfId="0" applyNumberFormat="1" applyFont="1" applyBorder="1" applyAlignment="1">
      <alignment vertical="center"/>
    </xf>
    <xf numFmtId="10" fontId="4" fillId="0" borderId="8" xfId="2" applyNumberFormat="1" applyFont="1" applyBorder="1" applyAlignment="1">
      <alignment vertical="center"/>
    </xf>
    <xf numFmtId="2" fontId="0" fillId="0" borderId="1" xfId="0" applyNumberFormat="1" applyBorder="1" applyAlignment="1">
      <alignment vertical="center"/>
    </xf>
    <xf numFmtId="0" fontId="0" fillId="0" borderId="0" xfId="0" applyAlignment="1">
      <alignment horizontal="left" vertical="center" wrapText="1"/>
    </xf>
    <xf numFmtId="2" fontId="0" fillId="0" borderId="0" xfId="0" applyNumberFormat="1" applyAlignment="1">
      <alignment horizontal="center" vertical="center" wrapText="1"/>
    </xf>
    <xf numFmtId="2" fontId="0" fillId="0" borderId="0" xfId="0" applyNumberFormat="1" applyAlignment="1">
      <alignment vertical="center" wrapText="1"/>
    </xf>
    <xf numFmtId="10" fontId="0" fillId="0" borderId="0" xfId="2" applyNumberFormat="1" applyFont="1" applyAlignment="1">
      <alignment horizontal="center" vertical="center" wrapText="1"/>
    </xf>
    <xf numFmtId="0" fontId="4" fillId="0" borderId="0" xfId="0" applyFont="1" applyAlignment="1">
      <alignment horizontal="left" vertical="center" wrapText="1"/>
    </xf>
    <xf numFmtId="0" fontId="0" fillId="0" borderId="1" xfId="0" applyBorder="1" applyAlignment="1">
      <alignment vertical="center" wrapText="1"/>
    </xf>
    <xf numFmtId="10" fontId="0" fillId="0" borderId="1" xfId="2" applyNumberFormat="1" applyFont="1" applyBorder="1" applyAlignment="1">
      <alignment horizontal="center" vertical="center" wrapText="1"/>
    </xf>
    <xf numFmtId="10" fontId="0" fillId="0" borderId="1" xfId="0" applyNumberFormat="1" applyBorder="1" applyAlignment="1">
      <alignment vertical="center" wrapText="1"/>
    </xf>
    <xf numFmtId="2" fontId="4" fillId="0" borderId="0" xfId="0" applyNumberFormat="1" applyFont="1" applyAlignment="1">
      <alignment horizontal="center" vertical="center" wrapText="1"/>
    </xf>
    <xf numFmtId="2" fontId="0" fillId="0" borderId="1" xfId="0" applyNumberFormat="1" applyBorder="1" applyAlignment="1">
      <alignment horizontal="center" vertical="center" wrapText="1"/>
    </xf>
    <xf numFmtId="43" fontId="0" fillId="0" borderId="0" xfId="1" applyFont="1" applyAlignment="1">
      <alignment vertical="center" wrapText="1"/>
    </xf>
    <xf numFmtId="0" fontId="4" fillId="0" borderId="8" xfId="0" applyFont="1" applyBorder="1" applyAlignment="1">
      <alignment vertical="center" wrapText="1"/>
    </xf>
    <xf numFmtId="10" fontId="4" fillId="0" borderId="8" xfId="2" applyNumberFormat="1" applyFont="1" applyBorder="1" applyAlignment="1">
      <alignment horizontal="center" vertical="center" wrapText="1"/>
    </xf>
    <xf numFmtId="2" fontId="4" fillId="0" borderId="8" xfId="0" applyNumberFormat="1" applyFont="1" applyBorder="1" applyAlignment="1">
      <alignment horizontal="center" vertical="center" wrapText="1"/>
    </xf>
    <xf numFmtId="2" fontId="0" fillId="0" borderId="1" xfId="1" applyNumberFormat="1" applyFont="1" applyBorder="1" applyAlignment="1">
      <alignment horizontal="center" vertical="center" wrapText="1"/>
    </xf>
    <xf numFmtId="2" fontId="0" fillId="0" borderId="0" xfId="1" applyNumberFormat="1" applyFont="1" applyAlignment="1">
      <alignment horizontal="center" vertical="center" wrapText="1"/>
    </xf>
    <xf numFmtId="2" fontId="0" fillId="0" borderId="0" xfId="1" applyNumberFormat="1" applyFont="1" applyAlignment="1">
      <alignment horizontal="center" vertical="center"/>
    </xf>
    <xf numFmtId="10" fontId="0" fillId="0" borderId="9" xfId="2" applyNumberFormat="1" applyFont="1" applyBorder="1" applyAlignment="1">
      <alignment horizontal="center" vertical="center"/>
    </xf>
    <xf numFmtId="10" fontId="0" fillId="0" borderId="8" xfId="2" applyNumberFormat="1" applyFont="1" applyBorder="1" applyAlignment="1">
      <alignment horizontal="center" vertical="center"/>
    </xf>
    <xf numFmtId="43" fontId="0" fillId="0" borderId="9" xfId="1" applyFont="1" applyBorder="1" applyAlignment="1">
      <alignment horizontal="center" vertical="center"/>
    </xf>
    <xf numFmtId="0" fontId="0" fillId="0" borderId="9" xfId="0" applyBorder="1" applyAlignment="1">
      <alignment vertical="center"/>
    </xf>
    <xf numFmtId="0" fontId="4" fillId="0" borderId="5" xfId="0" applyFont="1" applyBorder="1" applyAlignment="1">
      <alignment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10" fontId="4" fillId="0" borderId="8" xfId="2" applyNumberFormat="1" applyFont="1" applyBorder="1" applyAlignment="1">
      <alignment horizontal="center" vertical="center"/>
    </xf>
    <xf numFmtId="43" fontId="4" fillId="0" borderId="8" xfId="1" applyFont="1" applyBorder="1" applyAlignment="1">
      <alignment horizontal="center" vertical="center"/>
    </xf>
    <xf numFmtId="166" fontId="0" fillId="0" borderId="0" xfId="0" applyNumberFormat="1" applyAlignment="1">
      <alignment vertical="center"/>
    </xf>
    <xf numFmtId="0" fontId="0" fillId="0" borderId="1" xfId="0" applyBorder="1" applyAlignment="1">
      <alignment horizontal="left" vertical="center"/>
    </xf>
    <xf numFmtId="0" fontId="4" fillId="0" borderId="8" xfId="0" applyFont="1" applyBorder="1" applyAlignment="1">
      <alignment horizontal="left" vertical="center"/>
    </xf>
    <xf numFmtId="0" fontId="0" fillId="0" borderId="0" xfId="0" applyAlignment="1">
      <alignment horizontal="left" vertical="center"/>
    </xf>
    <xf numFmtId="0" fontId="0" fillId="0" borderId="0" xfId="0" applyAlignment="1">
      <alignment horizontal="right" vertical="center" wrapText="1"/>
    </xf>
    <xf numFmtId="0" fontId="0" fillId="0" borderId="0" xfId="0" applyAlignment="1">
      <alignment horizontal="right" vertical="center"/>
    </xf>
    <xf numFmtId="0" fontId="3" fillId="17" borderId="2" xfId="0" applyFont="1" applyFill="1" applyBorder="1" applyAlignment="1">
      <alignment horizontal="left" vertical="center" wrapText="1"/>
    </xf>
    <xf numFmtId="0" fontId="3" fillId="17" borderId="3" xfId="0" applyFont="1" applyFill="1" applyBorder="1" applyAlignment="1">
      <alignment horizontal="right" vertical="center" wrapText="1"/>
    </xf>
    <xf numFmtId="0" fontId="3" fillId="17" borderId="4" xfId="0" applyFont="1" applyFill="1" applyBorder="1" applyAlignment="1">
      <alignment horizontal="right" vertical="center" wrapText="1"/>
    </xf>
    <xf numFmtId="0" fontId="4" fillId="0" borderId="1" xfId="0" applyFont="1" applyBorder="1" applyAlignment="1">
      <alignment horizontal="left" vertical="center"/>
    </xf>
    <xf numFmtId="43" fontId="4" fillId="0" borderId="1" xfId="1" applyFont="1" applyBorder="1" applyAlignment="1">
      <alignment horizontal="right" vertical="center"/>
    </xf>
    <xf numFmtId="10" fontId="4" fillId="0" borderId="1" xfId="2" applyNumberFormat="1" applyFont="1" applyBorder="1" applyAlignment="1">
      <alignment horizontal="right" vertical="center"/>
    </xf>
    <xf numFmtId="0" fontId="4" fillId="0" borderId="0" xfId="0" applyFont="1" applyAlignment="1">
      <alignment vertical="center"/>
    </xf>
    <xf numFmtId="0" fontId="0" fillId="0" borderId="0" xfId="0" applyAlignment="1">
      <alignment wrapText="1"/>
    </xf>
    <xf numFmtId="10" fontId="0" fillId="0" borderId="0" xfId="0" applyNumberFormat="1" applyAlignment="1">
      <alignment horizontal="center" vertical="center"/>
    </xf>
    <xf numFmtId="10" fontId="4" fillId="0" borderId="0" xfId="2" applyNumberFormat="1" applyFont="1" applyAlignment="1">
      <alignment horizontal="center" vertical="center"/>
    </xf>
    <xf numFmtId="10" fontId="0" fillId="0" borderId="0" xfId="2" applyNumberFormat="1" applyFont="1" applyAlignment="1">
      <alignment horizontal="center" vertical="center"/>
    </xf>
    <xf numFmtId="43" fontId="0" fillId="0" borderId="1" xfId="2" applyNumberFormat="1" applyFont="1" applyFill="1" applyBorder="1" applyAlignment="1">
      <alignment vertical="center"/>
    </xf>
    <xf numFmtId="43" fontId="0" fillId="0" borderId="8" xfId="0" applyNumberFormat="1" applyBorder="1" applyAlignment="1">
      <alignment vertical="center"/>
    </xf>
    <xf numFmtId="10" fontId="0" fillId="0" borderId="0" xfId="2" applyNumberFormat="1" applyFont="1" applyAlignment="1">
      <alignment horizontal="left" vertical="center"/>
    </xf>
    <xf numFmtId="0" fontId="4" fillId="18" borderId="0" xfId="0" applyFont="1" applyFill="1" applyAlignment="1">
      <alignment vertical="center" wrapText="1"/>
    </xf>
    <xf numFmtId="0" fontId="4" fillId="18" borderId="0" xfId="0" applyFont="1" applyFill="1" applyAlignment="1">
      <alignment horizontal="left" vertical="center" wrapText="1"/>
    </xf>
    <xf numFmtId="10" fontId="0" fillId="0" borderId="1" xfId="2" applyNumberFormat="1" applyFont="1" applyBorder="1" applyAlignment="1">
      <alignment horizontal="left" vertical="center"/>
    </xf>
    <xf numFmtId="2" fontId="0" fillId="0" borderId="1" xfId="1" applyNumberFormat="1" applyFont="1" applyBorder="1" applyAlignment="1">
      <alignment horizontal="left" vertical="center"/>
    </xf>
    <xf numFmtId="10" fontId="4" fillId="0" borderId="0" xfId="2" applyNumberFormat="1" applyFont="1" applyAlignment="1">
      <alignment vertical="center"/>
    </xf>
    <xf numFmtId="10" fontId="4" fillId="0" borderId="0" xfId="0" applyNumberFormat="1" applyFont="1" applyAlignment="1">
      <alignment vertical="center"/>
    </xf>
    <xf numFmtId="0" fontId="4" fillId="0" borderId="0" xfId="0" applyFont="1" applyAlignment="1">
      <alignment horizontal="right" vertical="center"/>
    </xf>
    <xf numFmtId="10" fontId="4" fillId="0" borderId="0" xfId="2" applyNumberFormat="1" applyFont="1" applyAlignment="1">
      <alignment horizontal="right" vertical="center"/>
    </xf>
    <xf numFmtId="10" fontId="1" fillId="0" borderId="0" xfId="2" applyNumberFormat="1" applyFont="1" applyAlignment="1">
      <alignment vertical="center"/>
    </xf>
    <xf numFmtId="0" fontId="4" fillId="0" borderId="0" xfId="0" applyFont="1" applyAlignment="1">
      <alignment horizontal="right" vertical="center" wrapText="1"/>
    </xf>
    <xf numFmtId="10" fontId="0" fillId="0" borderId="0" xfId="0" applyNumberFormat="1" applyAlignment="1">
      <alignment horizontal="right" vertical="center"/>
    </xf>
    <xf numFmtId="43" fontId="0" fillId="0" borderId="0" xfId="1" applyFont="1" applyAlignment="1">
      <alignment horizontal="right" vertical="center"/>
    </xf>
    <xf numFmtId="43" fontId="4" fillId="0" borderId="0" xfId="1" applyFont="1" applyAlignment="1">
      <alignment horizontal="right" vertical="center"/>
    </xf>
    <xf numFmtId="2" fontId="0" fillId="0" borderId="1" xfId="1" applyNumberFormat="1" applyFont="1" applyBorder="1" applyAlignment="1">
      <alignment vertical="center" wrapText="1"/>
    </xf>
    <xf numFmtId="2" fontId="0" fillId="0" borderId="1" xfId="0" applyNumberFormat="1" applyBorder="1" applyAlignment="1">
      <alignment horizontal="left" vertical="center" wrapText="1"/>
    </xf>
    <xf numFmtId="10" fontId="0" fillId="0" borderId="1" xfId="0" applyNumberFormat="1" applyBorder="1" applyAlignment="1">
      <alignment horizontal="left" vertical="center" wrapText="1"/>
    </xf>
    <xf numFmtId="0" fontId="4" fillId="18" borderId="5" xfId="0" applyFont="1" applyFill="1" applyBorder="1" applyAlignment="1">
      <alignment vertical="center" wrapText="1"/>
    </xf>
    <xf numFmtId="0" fontId="4" fillId="18" borderId="6" xfId="0" applyFont="1" applyFill="1" applyBorder="1" applyAlignment="1">
      <alignment vertical="center" wrapText="1"/>
    </xf>
    <xf numFmtId="0" fontId="4" fillId="18" borderId="7" xfId="0" applyFont="1" applyFill="1" applyBorder="1" applyAlignment="1">
      <alignment vertical="center" wrapText="1"/>
    </xf>
    <xf numFmtId="9" fontId="0" fillId="0" borderId="1" xfId="2" applyFont="1" applyBorder="1" applyAlignment="1">
      <alignment horizontal="left" vertical="center" wrapText="1"/>
    </xf>
    <xf numFmtId="43" fontId="0" fillId="0" borderId="0" xfId="1" applyFont="1" applyAlignment="1">
      <alignment horizontal="left" vertical="center"/>
    </xf>
    <xf numFmtId="43" fontId="0" fillId="0" borderId="0" xfId="2" applyNumberFormat="1" applyFont="1" applyAlignment="1">
      <alignment horizontal="left" vertical="center"/>
    </xf>
    <xf numFmtId="10" fontId="0" fillId="0" borderId="1" xfId="2" applyNumberFormat="1" applyFont="1"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10" fontId="0" fillId="0" borderId="8" xfId="2" applyNumberFormat="1" applyFont="1" applyBorder="1" applyAlignment="1">
      <alignment horizontal="left" vertical="center" wrapText="1"/>
    </xf>
    <xf numFmtId="0" fontId="0" fillId="0" borderId="2" xfId="0" applyBorder="1" applyAlignment="1">
      <alignment horizontal="left" vertical="center" wrapText="1"/>
    </xf>
    <xf numFmtId="0" fontId="4" fillId="4" borderId="0" xfId="0" applyFont="1" applyFill="1" applyAlignment="1">
      <alignment vertical="center" wrapText="1"/>
    </xf>
    <xf numFmtId="0" fontId="4" fillId="4" borderId="0" xfId="0" applyFont="1" applyFill="1" applyAlignment="1">
      <alignment horizontal="right" vertical="center" wrapText="1"/>
    </xf>
    <xf numFmtId="0" fontId="4" fillId="0" borderId="1" xfId="0" applyFont="1" applyBorder="1" applyAlignment="1">
      <alignment vertical="center"/>
    </xf>
    <xf numFmtId="2" fontId="0" fillId="0" borderId="0" xfId="0" applyNumberFormat="1" applyAlignment="1">
      <alignment horizontal="left" vertical="center"/>
    </xf>
    <xf numFmtId="0" fontId="0" fillId="18" borderId="0" xfId="0" applyFill="1" applyAlignment="1">
      <alignment vertical="center"/>
    </xf>
    <xf numFmtId="0" fontId="0" fillId="18" borderId="0" xfId="0" applyFill="1" applyAlignment="1">
      <alignment horizontal="left" vertical="center"/>
    </xf>
    <xf numFmtId="2" fontId="0" fillId="0" borderId="0" xfId="2" applyNumberFormat="1" applyFont="1" applyAlignment="1">
      <alignment horizontal="left" vertical="center"/>
    </xf>
    <xf numFmtId="10" fontId="0" fillId="0" borderId="0" xfId="2" applyNumberFormat="1" applyFont="1" applyAlignment="1">
      <alignment horizontal="left" vertical="center" wrapText="1"/>
    </xf>
    <xf numFmtId="2" fontId="0" fillId="18" borderId="0" xfId="2" applyNumberFormat="1" applyFont="1" applyFill="1" applyAlignment="1">
      <alignment horizontal="left" vertical="center"/>
    </xf>
    <xf numFmtId="10" fontId="0" fillId="18" borderId="0" xfId="2" applyNumberFormat="1" applyFont="1" applyFill="1" applyAlignment="1">
      <alignment horizontal="left" vertical="center"/>
    </xf>
    <xf numFmtId="2" fontId="0" fillId="0" borderId="1" xfId="0" applyNumberFormat="1" applyBorder="1" applyAlignment="1">
      <alignment horizontal="left" vertical="center"/>
    </xf>
    <xf numFmtId="2" fontId="0" fillId="0" borderId="0" xfId="1" applyNumberFormat="1" applyFont="1" applyAlignment="1">
      <alignment horizontal="left" vertical="center"/>
    </xf>
    <xf numFmtId="2" fontId="4" fillId="18" borderId="0" xfId="0" applyNumberFormat="1" applyFont="1" applyFill="1" applyAlignment="1">
      <alignment horizontal="left" vertical="center" wrapText="1"/>
    </xf>
    <xf numFmtId="0" fontId="4" fillId="18" borderId="0" xfId="0" applyFont="1" applyFill="1" applyAlignment="1">
      <alignment horizontal="right" vertical="center" wrapText="1"/>
    </xf>
    <xf numFmtId="10" fontId="0" fillId="0" borderId="0" xfId="2" applyNumberFormat="1" applyFont="1" applyBorder="1" applyAlignment="1">
      <alignment horizontal="left" vertical="center"/>
    </xf>
    <xf numFmtId="10" fontId="4" fillId="0" borderId="0" xfId="2" applyNumberFormat="1" applyFont="1" applyBorder="1" applyAlignment="1">
      <alignment horizontal="left" vertical="center"/>
    </xf>
    <xf numFmtId="2" fontId="4" fillId="0" borderId="0" xfId="1" applyNumberFormat="1" applyFont="1" applyBorder="1" applyAlignment="1">
      <alignment horizontal="left" vertical="center"/>
    </xf>
    <xf numFmtId="10" fontId="0" fillId="0" borderId="0" xfId="0" applyNumberFormat="1" applyAlignment="1">
      <alignment horizontal="left" vertical="center"/>
    </xf>
    <xf numFmtId="2" fontId="0" fillId="0" borderId="0" xfId="0" applyNumberFormat="1" applyAlignment="1">
      <alignment horizontal="right" vertical="center"/>
    </xf>
    <xf numFmtId="0" fontId="4" fillId="0" borderId="0" xfId="0" applyFont="1" applyAlignment="1">
      <alignment horizontal="left" vertical="center"/>
    </xf>
    <xf numFmtId="0" fontId="0" fillId="18" borderId="0" xfId="0" applyFill="1" applyAlignment="1">
      <alignment vertical="center" wrapText="1"/>
    </xf>
    <xf numFmtId="0" fontId="0" fillId="18" borderId="0" xfId="0" applyFill="1" applyAlignment="1">
      <alignment horizontal="right" vertical="center" wrapText="1"/>
    </xf>
    <xf numFmtId="0" fontId="0" fillId="0" borderId="9" xfId="0" applyBorder="1" applyAlignment="1">
      <alignment vertical="center" wrapText="1"/>
    </xf>
    <xf numFmtId="10" fontId="0" fillId="0" borderId="7" xfId="2" applyNumberFormat="1" applyFont="1" applyBorder="1" applyAlignment="1">
      <alignment horizontal="left" vertical="center"/>
    </xf>
    <xf numFmtId="10" fontId="0" fillId="0" borderId="10" xfId="2" applyNumberFormat="1" applyFont="1" applyBorder="1" applyAlignment="1">
      <alignment horizontal="left" vertical="center"/>
    </xf>
    <xf numFmtId="10" fontId="0" fillId="0" borderId="9" xfId="2" applyNumberFormat="1" applyFont="1" applyBorder="1" applyAlignment="1">
      <alignment horizontal="left" vertical="center"/>
    </xf>
    <xf numFmtId="0" fontId="0" fillId="18" borderId="0" xfId="0" applyFill="1" applyAlignment="1">
      <alignment horizontal="left" vertical="center" wrapText="1"/>
    </xf>
    <xf numFmtId="10" fontId="0" fillId="0" borderId="8" xfId="2" applyNumberFormat="1" applyFont="1" applyBorder="1" applyAlignment="1">
      <alignment horizontal="left" vertical="center"/>
    </xf>
    <xf numFmtId="167" fontId="0" fillId="0" borderId="1" xfId="0" applyNumberFormat="1" applyBorder="1" applyAlignment="1">
      <alignment horizontal="left" vertical="center"/>
    </xf>
    <xf numFmtId="167" fontId="0" fillId="0" borderId="1" xfId="0" applyNumberFormat="1" applyBorder="1" applyAlignment="1">
      <alignment vertical="center" wrapText="1"/>
    </xf>
    <xf numFmtId="0" fontId="0" fillId="0" borderId="8" xfId="0" applyBorder="1" applyAlignment="1">
      <alignment vertical="center" wrapText="1"/>
    </xf>
    <xf numFmtId="2" fontId="4" fillId="0" borderId="0" xfId="0" applyNumberFormat="1" applyFont="1" applyAlignment="1">
      <alignment horizontal="left" vertical="center"/>
    </xf>
    <xf numFmtId="10" fontId="4" fillId="0" borderId="0" xfId="2" applyNumberFormat="1" applyFont="1" applyAlignment="1">
      <alignment horizontal="left" vertical="center"/>
    </xf>
    <xf numFmtId="10" fontId="1" fillId="0" borderId="0" xfId="2" applyNumberFormat="1" applyFont="1" applyAlignment="1">
      <alignment horizontal="left" vertical="center"/>
    </xf>
    <xf numFmtId="2" fontId="0" fillId="0" borderId="0" xfId="1" applyNumberFormat="1" applyFont="1" applyAlignment="1">
      <alignment vertical="center"/>
    </xf>
    <xf numFmtId="10" fontId="4" fillId="0" borderId="0" xfId="0" applyNumberFormat="1" applyFont="1" applyAlignment="1">
      <alignment vertical="center" wrapText="1"/>
    </xf>
    <xf numFmtId="2" fontId="4" fillId="0" borderId="0" xfId="1" applyNumberFormat="1" applyFont="1" applyAlignment="1">
      <alignment horizontal="left" vertical="center"/>
    </xf>
    <xf numFmtId="0" fontId="3" fillId="19" borderId="2" xfId="0" applyFont="1" applyFill="1" applyBorder="1" applyAlignment="1">
      <alignment vertical="center" wrapText="1"/>
    </xf>
    <xf numFmtId="0" fontId="3" fillId="19" borderId="3" xfId="0" applyFont="1" applyFill="1" applyBorder="1" applyAlignment="1">
      <alignment horizontal="left" vertical="center" wrapText="1"/>
    </xf>
    <xf numFmtId="0" fontId="3" fillId="19" borderId="4" xfId="0" applyFont="1" applyFill="1" applyBorder="1" applyAlignment="1">
      <alignment vertical="center" wrapText="1"/>
    </xf>
    <xf numFmtId="2" fontId="0" fillId="0" borderId="1" xfId="1" applyNumberFormat="1" applyFont="1" applyBorder="1" applyAlignment="1">
      <alignment horizontal="left" vertical="center" wrapText="1"/>
    </xf>
    <xf numFmtId="0" fontId="0" fillId="19" borderId="0" xfId="0" applyFill="1" applyAlignment="1">
      <alignment vertical="center" wrapText="1"/>
    </xf>
    <xf numFmtId="0" fontId="0" fillId="19" borderId="0" xfId="0" applyFill="1" applyAlignment="1">
      <alignment horizontal="left" vertical="center" wrapText="1"/>
    </xf>
    <xf numFmtId="2" fontId="4" fillId="0" borderId="0" xfId="2" applyNumberFormat="1" applyFont="1" applyBorder="1" applyAlignment="1">
      <alignment horizontal="left" vertical="center"/>
    </xf>
    <xf numFmtId="4" fontId="0" fillId="0" borderId="0" xfId="0" applyNumberFormat="1" applyAlignment="1">
      <alignment horizontal="left" vertical="center"/>
    </xf>
    <xf numFmtId="0" fontId="3" fillId="19" borderId="2" xfId="0" applyFont="1" applyFill="1" applyBorder="1" applyAlignment="1">
      <alignment vertical="center"/>
    </xf>
    <xf numFmtId="0" fontId="3" fillId="19" borderId="3" xfId="0" applyFont="1" applyFill="1" applyBorder="1" applyAlignment="1">
      <alignment vertical="center"/>
    </xf>
    <xf numFmtId="0" fontId="3" fillId="19" borderId="4" xfId="0" applyFont="1" applyFill="1" applyBorder="1" applyAlignment="1">
      <alignment vertical="center"/>
    </xf>
    <xf numFmtId="0" fontId="3" fillId="19" borderId="0" xfId="0" applyFont="1" applyFill="1" applyAlignment="1">
      <alignment vertical="center" wrapText="1"/>
    </xf>
    <xf numFmtId="0" fontId="3" fillId="19" borderId="0" xfId="0" applyFont="1" applyFill="1" applyAlignment="1">
      <alignment vertical="center"/>
    </xf>
    <xf numFmtId="43" fontId="4" fillId="0" borderId="0" xfId="0" applyNumberFormat="1" applyFont="1" applyAlignment="1">
      <alignment vertical="center"/>
    </xf>
    <xf numFmtId="43" fontId="0" fillId="0" borderId="0" xfId="1" applyFont="1"/>
    <xf numFmtId="10" fontId="0" fillId="0" borderId="0" xfId="0" applyNumberFormat="1"/>
    <xf numFmtId="0" fontId="4" fillId="0" borderId="0" xfId="0" applyFont="1"/>
    <xf numFmtId="10" fontId="0" fillId="0" borderId="0" xfId="1" applyNumberFormat="1" applyFont="1"/>
    <xf numFmtId="10" fontId="0" fillId="0" borderId="0" xfId="2" applyNumberFormat="1" applyFont="1"/>
    <xf numFmtId="43" fontId="4" fillId="0" borderId="0" xfId="1" applyFont="1"/>
    <xf numFmtId="10" fontId="4" fillId="0" borderId="0" xfId="2" applyNumberFormat="1" applyFont="1"/>
    <xf numFmtId="10" fontId="0" fillId="0" borderId="0" xfId="1" applyNumberFormat="1" applyFont="1" applyAlignment="1">
      <alignment horizontal="right" vertical="center"/>
    </xf>
    <xf numFmtId="2" fontId="0" fillId="0" borderId="0" xfId="0" applyNumberFormat="1" applyAlignment="1">
      <alignment horizontal="left" vertical="center" wrapText="1"/>
    </xf>
    <xf numFmtId="0" fontId="4" fillId="18" borderId="0" xfId="0" applyFont="1" applyFill="1" applyAlignment="1">
      <alignment horizontal="center" vertical="center" wrapText="1"/>
    </xf>
    <xf numFmtId="0" fontId="4" fillId="19" borderId="0" xfId="0" applyFont="1" applyFill="1" applyAlignment="1">
      <alignment vertical="center"/>
    </xf>
    <xf numFmtId="0" fontId="4" fillId="19" borderId="0" xfId="0" applyFont="1" applyFill="1" applyAlignment="1">
      <alignment horizontal="center" vertical="center"/>
    </xf>
    <xf numFmtId="0" fontId="4" fillId="19" borderId="0" xfId="0" applyFont="1" applyFill="1" applyAlignment="1">
      <alignment vertical="center" wrapText="1"/>
    </xf>
    <xf numFmtId="0" fontId="4" fillId="19" borderId="0" xfId="0" applyFont="1" applyFill="1" applyAlignment="1">
      <alignment horizontal="right" vertical="center" wrapText="1"/>
    </xf>
    <xf numFmtId="0" fontId="0" fillId="0" borderId="7" xfId="0" applyBorder="1" applyAlignment="1">
      <alignment vertical="center"/>
    </xf>
    <xf numFmtId="2" fontId="0" fillId="0" borderId="5" xfId="0" applyNumberFormat="1" applyBorder="1" applyAlignment="1">
      <alignment vertical="center"/>
    </xf>
    <xf numFmtId="0" fontId="0" fillId="0" borderId="4" xfId="0" applyBorder="1" applyAlignment="1">
      <alignment vertical="center"/>
    </xf>
    <xf numFmtId="43" fontId="0" fillId="0" borderId="8" xfId="0" applyNumberFormat="1" applyBorder="1" applyAlignment="1">
      <alignment horizontal="right" vertical="center"/>
    </xf>
    <xf numFmtId="2" fontId="0" fillId="0" borderId="8" xfId="0" applyNumberFormat="1" applyBorder="1" applyAlignment="1">
      <alignment horizontal="right" vertical="center"/>
    </xf>
    <xf numFmtId="2" fontId="0" fillId="0" borderId="8" xfId="0" applyNumberFormat="1" applyBorder="1" applyAlignment="1">
      <alignment vertical="center"/>
    </xf>
    <xf numFmtId="2" fontId="0" fillId="0" borderId="2" xfId="0" applyNumberFormat="1" applyBorder="1" applyAlignment="1">
      <alignment vertical="center"/>
    </xf>
    <xf numFmtId="0" fontId="3" fillId="19" borderId="11" xfId="0" applyFont="1" applyFill="1" applyBorder="1" applyAlignment="1">
      <alignment vertical="center" wrapText="1"/>
    </xf>
    <xf numFmtId="0" fontId="3" fillId="19" borderId="12" xfId="0" applyFont="1" applyFill="1" applyBorder="1" applyAlignment="1">
      <alignment horizontal="right" vertical="center" wrapText="1"/>
    </xf>
    <xf numFmtId="0" fontId="0" fillId="2" borderId="13" xfId="0" applyFill="1" applyBorder="1" applyAlignment="1">
      <alignment vertical="center"/>
    </xf>
    <xf numFmtId="43" fontId="0" fillId="2" borderId="1" xfId="1" applyFont="1" applyFill="1" applyBorder="1" applyAlignment="1">
      <alignment horizontal="right" vertical="center"/>
    </xf>
    <xf numFmtId="43" fontId="0" fillId="2" borderId="1" xfId="0" applyNumberFormat="1" applyFill="1" applyBorder="1" applyAlignment="1">
      <alignment horizontal="right" vertical="center"/>
    </xf>
    <xf numFmtId="2" fontId="0" fillId="2" borderId="1" xfId="0" applyNumberFormat="1" applyFill="1" applyBorder="1" applyAlignment="1">
      <alignment horizontal="right" vertical="center"/>
    </xf>
    <xf numFmtId="0" fontId="0" fillId="3" borderId="13" xfId="0" applyFill="1" applyBorder="1" applyAlignment="1">
      <alignment vertical="center"/>
    </xf>
    <xf numFmtId="43" fontId="0" fillId="3" borderId="1" xfId="1" applyFont="1" applyFill="1" applyBorder="1" applyAlignment="1">
      <alignment horizontal="right" vertical="center"/>
    </xf>
    <xf numFmtId="43" fontId="0" fillId="3" borderId="1" xfId="0" applyNumberFormat="1" applyFill="1" applyBorder="1" applyAlignment="1">
      <alignment horizontal="right" vertical="center"/>
    </xf>
    <xf numFmtId="2" fontId="0" fillId="3" borderId="1" xfId="0" applyNumberFormat="1" applyFill="1" applyBorder="1" applyAlignment="1">
      <alignment horizontal="right" vertical="center"/>
    </xf>
    <xf numFmtId="0" fontId="0" fillId="2" borderId="14" xfId="0" applyFill="1" applyBorder="1" applyAlignment="1">
      <alignment vertical="center"/>
    </xf>
    <xf numFmtId="43" fontId="0" fillId="2" borderId="15" xfId="1" applyFont="1" applyFill="1" applyBorder="1" applyAlignment="1">
      <alignment horizontal="right" vertical="center"/>
    </xf>
    <xf numFmtId="43" fontId="0" fillId="2" borderId="15" xfId="0" applyNumberFormat="1" applyFill="1" applyBorder="1" applyAlignment="1">
      <alignment horizontal="right" vertical="center"/>
    </xf>
    <xf numFmtId="2" fontId="0" fillId="2" borderId="15" xfId="0" applyNumberFormat="1" applyFill="1" applyBorder="1" applyAlignment="1">
      <alignment horizontal="right" vertical="center"/>
    </xf>
  </cellXfs>
  <cellStyles count="3">
    <cellStyle name="Comma" xfId="1" builtinId="3"/>
    <cellStyle name="Normal" xfId="0" builtinId="0"/>
    <cellStyle name="Percent" xfId="2" builtinId="5"/>
  </cellStyles>
  <dxfs count="1659">
    <dxf>
      <font>
        <color rgb="FF006100"/>
      </font>
      <fill>
        <patternFill>
          <bgColor rgb="FFC6EFCE"/>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2" formatCode="0.00"/>
      <alignment horizontal="center" vertical="center" textRotation="0" wrapText="1" indent="0" justifyLastLine="0" shrinkToFit="0" readingOrder="0"/>
    </dxf>
    <dxf>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1" indent="0" justifyLastLine="0" shrinkToFit="0" readingOrder="0"/>
    </dxf>
    <dxf>
      <numFmt numFmtId="2" formatCode="0.00"/>
      <alignment horizontal="center" vertical="center" textRotation="0" wrapText="1" indent="0" justifyLastLine="0" shrinkToFit="0" readingOrder="0"/>
    </dxf>
    <dxf>
      <numFmt numFmtId="2" formatCode="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2" formatCode="0.00"/>
      <alignment horizontal="center" vertical="center" textRotation="0" wrapText="1" indent="0" justifyLastLine="0" shrinkToFit="0" readingOrder="0"/>
    </dxf>
    <dxf>
      <numFmt numFmtId="2" formatCode="0.00"/>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font>
      <alignment horizontal="center" vertical="center" textRotation="0" wrapText="1" indent="0" justifyLastLine="0" shrinkToFit="0" readingOrder="0"/>
    </dxf>
    <dxf>
      <alignment horizontal="general" vertical="center" textRotation="0" wrapText="1" indent="0" justifyLastLine="0" shrinkToFit="0" readingOrder="0"/>
    </dxf>
    <dxf>
      <numFmt numFmtId="2" formatCode="0.00"/>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general" vertical="center" textRotation="0" wrapText="1"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alignment horizontal="general" vertical="center" textRotation="0" wrapText="1" indent="0" justifyLastLine="0" shrinkToFit="0" readingOrder="0"/>
    </dxf>
    <dxf>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ill>
        <patternFill patternType="solid">
          <fgColor indexed="64"/>
          <bgColor rgb="FF1F4E79"/>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right"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8" tint="-0.499984740745262"/>
        </patternFill>
      </fill>
      <alignmen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general" vertical="center" textRotation="0" wrapText="0" indent="0" justifyLastLine="0" shrinkToFit="0" readingOrder="0"/>
    </dxf>
    <dxf>
      <font>
        <b/>
      </font>
      <fill>
        <patternFill patternType="solid">
          <fgColor indexed="64"/>
          <bgColor theme="8" tint="-0.499984740745262"/>
        </patternFill>
      </fill>
      <alignment vertical="center" textRotation="0" wrapText="1" indent="0" justifyLastLine="0" shrinkToFit="0" readingOrder="0"/>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numFmt numFmtId="14" formatCode="0.00%"/>
      <alignment horizontal="lef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fill>
        <patternFill patternType="solid">
          <fgColor indexed="64"/>
          <bgColor theme="8" tint="-0.499984740745262"/>
        </patternFill>
      </fill>
      <alignment horizontal="righ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left"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8" tint="-0.499984740745262"/>
        </patternFill>
      </fill>
    </dxf>
    <dxf>
      <alignment horizontal="general" vertical="center" textRotation="0" wrapText="1" indent="0" justifyLastLine="0" shrinkToFit="0" readingOrder="0"/>
    </dxf>
    <dxf>
      <numFmt numFmtId="2" formatCode="0.00"/>
      <alignment horizontal="left" vertical="center" textRotation="0" wrapText="0" indent="0" justifyLastLine="0" shrinkToFit="0" readingOrder="0"/>
    </dxf>
    <dxf>
      <alignment horizontal="general" vertical="center" textRotation="0" wrapText="1" indent="0" justifyLastLine="0" shrinkToFit="0" readingOrder="0"/>
    </dxf>
    <dxf>
      <fill>
        <patternFill patternType="solid">
          <fgColor indexed="64"/>
          <bgColor theme="8" tint="-0.499984740745262"/>
        </patternFill>
      </fill>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theme="8" tint="-0.499984740745262"/>
        </patternFill>
      </fill>
      <alignment horizontal="left" vertical="center" textRotation="0" wrapText="1" indent="0" justifyLastLine="0" shrinkToFit="0" readingOrder="0"/>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3" formatCode="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8" tint="-0.499984740745262"/>
        </patternFill>
      </fill>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border>
        <bottom style="thin">
          <color indexed="64"/>
        </bottom>
      </border>
    </dxf>
    <dxf>
      <font>
        <b/>
      </font>
      <fill>
        <patternFill patternType="solid">
          <fgColor indexed="64"/>
          <bgColor theme="8" tint="-0.499984740745262"/>
        </patternFill>
      </fill>
      <alignment horizontal="general" vertical="center" textRotation="0" wrapText="1" indent="0" justifyLastLine="0" shrinkToFit="0" readingOrder="0"/>
      <border diagonalUp="0" diagonalDown="0">
        <left/>
        <right/>
        <top/>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val="0"/>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font>
      <fill>
        <patternFill patternType="solid">
          <fgColor indexed="64"/>
          <bgColor theme="8" tint="-0.499984740745262"/>
        </patternFill>
      </fill>
      <alignment horizontal="right" vertical="center" textRotation="0" wrapText="1"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1" indent="0" justifyLastLine="0" shrinkToFit="0" readingOrder="0"/>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font>
        <b/>
      </font>
      <alignment vertical="center" textRotation="0" wrapText="1" indent="0" justifyLastLine="0" shrinkToFit="0" readingOrder="0"/>
      <border diagonalUp="0" diagonalDown="0">
        <left/>
        <right/>
        <top/>
        <bottom/>
        <vertical/>
        <horizontal/>
      </border>
    </dxf>
    <dxf>
      <numFmt numFmtId="2" formatCode="0.00"/>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alignment horizontal="general" vertical="center" textRotation="0" wrapText="0" indent="0" justifyLastLine="0" shrinkToFit="0" readingOrder="0"/>
    </dxf>
    <dxf>
      <font>
        <b/>
      </font>
      <fill>
        <patternFill patternType="solid">
          <fgColor indexed="64"/>
          <bgColor rgb="FF1F4E79"/>
        </patternFill>
      </fill>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dxf>
    <dxf>
      <alignment horizontal="general" vertical="center" textRotation="0" wrapText="0" indent="0" justifyLastLine="0" shrinkToFit="0" readingOrder="0"/>
    </dxf>
    <dxf>
      <font>
        <b/>
      </font>
      <fill>
        <patternFill patternType="solid">
          <fgColor indexed="64"/>
          <bgColor rgb="FF1F4E79"/>
        </patternFill>
      </fill>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theme="8" tint="-0.249977111117893"/>
        </patternFill>
      </fill>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theme="8" tint="-0.49998474074526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numFmt numFmtId="14" formatCode="0.00%"/>
      <alignment horizontal="right" vertical="center" textRotation="0" wrapText="0" indent="0" justifyLastLine="0" shrinkToFit="0" readingOrder="0"/>
    </dxf>
    <dxf>
      <numFmt numFmtId="14" formatCode="0.00%"/>
      <alignment horizontal="right" vertical="center" textRotation="0" wrapText="0" indent="0" justifyLastLine="0" shrinkToFit="0" readingOrder="0"/>
    </dxf>
    <dxf>
      <alignment horizontal="general" vertical="center" textRotation="0" wrapText="0" indent="0" justifyLastLine="0" shrinkToFit="0" readingOrder="0"/>
    </dxf>
    <dxf>
      <font>
        <b/>
      </font>
      <alignment horizontal="center" vertical="center" textRotation="0" wrapText="1"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1" indent="0" justifyLastLine="0" shrinkToFit="0" readingOrder="0"/>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alignment horizontal="center" vertical="center" textRotation="0" wrapText="1"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alignmen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7" tint="-0.249977111117893"/>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rgb="FFCC00CC"/>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499984740745262"/>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rgb="FF002060"/>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rgb="FFC00000"/>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rgb="FF00B050"/>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1" tint="0.34998626667073579"/>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rgb="FF7030A0"/>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249977111117893"/>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8" tint="-0.249977111117893"/>
        </patternFill>
      </fill>
      <alignment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DAAA10"/>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CC00CC"/>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5" tint="-0.499984740745262"/>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general"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206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C0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8000"/>
        </patternFill>
      </fill>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fgColor indexed="64"/>
          <bgColor theme="1"/>
        </patternFill>
      </fill>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1"/>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rgb="FF7030A0"/>
        </patternFill>
      </fill>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theme="5" tint="-0.249977111117893"/>
        </patternFill>
      </fil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249977111117893"/>
        </patternFill>
      </fill>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theme="5" tint="-0.249977111117893"/>
        </patternFill>
      </fil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249977111117893"/>
        </patternFill>
      </fill>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theme="5" tint="-0.249977111117893"/>
        </patternFill>
      </fil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249977111117893"/>
        </patternFill>
      </fill>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theme="5" tint="-0.249977111117893"/>
        </patternFill>
      </fil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249977111117893"/>
        </patternFill>
      </fill>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theme="5" tint="-0.249977111117893"/>
        </patternFill>
      </fil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249977111117893"/>
        </patternFill>
      </fill>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fill>
        <patternFill patternType="solid">
          <fgColor indexed="64"/>
          <bgColor theme="5" tint="-0.249977111117893"/>
        </patternFill>
      </fil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fill>
        <patternFill patternType="solid">
          <fgColor indexed="64"/>
          <bgColor theme="5" tint="-0.249977111117893"/>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font>
      <fill>
        <patternFill patternType="solid">
          <fgColor indexed="64"/>
          <bgColor theme="8" tint="-0.249977111117893"/>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font>
      <fill>
        <patternFill patternType="solid">
          <fgColor indexed="64"/>
          <bgColor theme="8" tint="-0.249977111117893"/>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font>
      <fill>
        <patternFill patternType="solid">
          <fgColor indexed="64"/>
          <bgColor theme="8" tint="-0.249977111117893"/>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font>
      <fill>
        <patternFill patternType="solid">
          <fgColor indexed="64"/>
          <bgColor theme="8" tint="-0.249977111117893"/>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font>
      <fill>
        <patternFill patternType="solid">
          <fgColor indexed="64"/>
          <bgColor theme="8" tint="-0.249977111117893"/>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font>
      <fill>
        <patternFill patternType="solid">
          <fgColor indexed="64"/>
          <bgColor theme="8" tint="-0.249977111117893"/>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font>
      <fill>
        <patternFill patternType="solid">
          <fgColor indexed="64"/>
          <bgColor theme="8" tint="-0.249977111117893"/>
        </patternFill>
      </fill>
      <alignment horizontal="center" vertical="center" textRotation="0" wrapText="0" indent="0" justifyLastLine="0" shrinkToFit="0" readingOrder="0"/>
      <border diagonalUp="0" diagonalDown="0" outline="0">
        <left/>
        <right/>
        <top/>
        <bottom/>
      </border>
    </dxf>
    <dxf>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s>
  <tableStyles count="0" defaultTableStyle="TableStyleMedium2" defaultPivotStyle="PivotStyleLight16"/>
  <colors>
    <mruColors>
      <color rgb="FF1F4E79"/>
      <color rgb="FFF57C00"/>
      <color rgb="FFCC6600"/>
      <color rgb="FF008000"/>
      <color rgb="FFC9A227"/>
      <color rgb="FF2E7D32"/>
      <color rgb="FFDAAA10"/>
      <color rgb="FF000066"/>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63" Type="http://schemas.openxmlformats.org/officeDocument/2006/relationships/externalLink" Target="externalLinks/externalLink37.xml"/><Relationship Id="rId68" Type="http://schemas.openxmlformats.org/officeDocument/2006/relationships/externalLink" Target="externalLinks/externalLink42.xml"/><Relationship Id="rId76" Type="http://schemas.openxmlformats.org/officeDocument/2006/relationships/externalLink" Target="externalLinks/externalLink50.xml"/><Relationship Id="rId84" Type="http://schemas.openxmlformats.org/officeDocument/2006/relationships/sharedStrings" Target="sharedStrings.xml"/><Relationship Id="rId89" Type="http://schemas.microsoft.com/office/2017/06/relationships/richStyles" Target="richData/richStyles.xml"/><Relationship Id="rId7" Type="http://schemas.openxmlformats.org/officeDocument/2006/relationships/worksheet" Target="worksheets/sheet7.xml"/><Relationship Id="rId71" Type="http://schemas.openxmlformats.org/officeDocument/2006/relationships/externalLink" Target="externalLinks/externalLink45.xml"/><Relationship Id="rId9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externalLink" Target="externalLinks/externalLink40.xml"/><Relationship Id="rId74" Type="http://schemas.openxmlformats.org/officeDocument/2006/relationships/externalLink" Target="externalLinks/externalLink48.xml"/><Relationship Id="rId79" Type="http://schemas.openxmlformats.org/officeDocument/2006/relationships/externalLink" Target="externalLinks/externalLink53.xml"/><Relationship Id="rId87" Type="http://schemas.microsoft.com/office/2017/06/relationships/rdRichValue" Target="richData/rdrichvalue.xml"/><Relationship Id="rId5" Type="http://schemas.openxmlformats.org/officeDocument/2006/relationships/worksheet" Target="worksheets/sheet5.xml"/><Relationship Id="rId61" Type="http://schemas.openxmlformats.org/officeDocument/2006/relationships/externalLink" Target="externalLinks/externalLink35.xml"/><Relationship Id="rId82" Type="http://schemas.openxmlformats.org/officeDocument/2006/relationships/theme" Target="theme/theme1.xml"/><Relationship Id="rId90" Type="http://schemas.microsoft.com/office/2017/06/relationships/rdSupportingPropertyBagStructure" Target="richData/rdsupportingpropertybagstructure.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externalLink" Target="externalLinks/externalLink38.xml"/><Relationship Id="rId69" Type="http://schemas.openxmlformats.org/officeDocument/2006/relationships/externalLink" Target="externalLinks/externalLink43.xml"/><Relationship Id="rId77"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externalLink" Target="externalLinks/externalLink25.xml"/><Relationship Id="rId72" Type="http://schemas.openxmlformats.org/officeDocument/2006/relationships/externalLink" Target="externalLinks/externalLink46.xml"/><Relationship Id="rId80" Type="http://schemas.openxmlformats.org/officeDocument/2006/relationships/externalLink" Target="externalLinks/externalLink54.xml"/><Relationship Id="rId85" Type="http://schemas.openxmlformats.org/officeDocument/2006/relationships/sheetMetadata" Target="metadata.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externalLink" Target="externalLinks/externalLink41.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externalLink" Target="externalLinks/externalLink44.xml"/><Relationship Id="rId75" Type="http://schemas.openxmlformats.org/officeDocument/2006/relationships/externalLink" Target="externalLinks/externalLink49.xml"/><Relationship Id="rId83" Type="http://schemas.openxmlformats.org/officeDocument/2006/relationships/styles" Target="styles.xml"/><Relationship Id="rId88" Type="http://schemas.microsoft.com/office/2017/06/relationships/rdRichValueStructure" Target="richData/rdrichvaluestructure.xml"/><Relationship Id="rId91"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externalLink" Target="externalLinks/externalLink39.xml"/><Relationship Id="rId73" Type="http://schemas.openxmlformats.org/officeDocument/2006/relationships/externalLink" Target="externalLinks/externalLink47.xml"/><Relationship Id="rId78" Type="http://schemas.openxmlformats.org/officeDocument/2006/relationships/externalLink" Target="externalLinks/externalLink52.xml"/><Relationship Id="rId81" Type="http://schemas.openxmlformats.org/officeDocument/2006/relationships/externalLink" Target="externalLinks/externalLink55.xml"/><Relationship Id="rId86"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Forecasted Valuation-Efficiency (India and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India</c:v>
          </c:tx>
          <c:spPr>
            <a:ln w="19050" cap="rnd">
              <a:noFill/>
              <a:round/>
            </a:ln>
            <a:effectLst/>
          </c:spPr>
          <c:marker>
            <c:symbol val="circle"/>
            <c:size val="9"/>
            <c:spPr>
              <a:solidFill>
                <a:schemeClr val="accent1"/>
              </a:solidFill>
              <a:ln w="9525">
                <a:solidFill>
                  <a:schemeClr val="accent1"/>
                </a:solidFill>
              </a:ln>
              <a:effectLst/>
            </c:spPr>
          </c:marker>
          <c:dLbls>
            <c:dLbl>
              <c:idx val="0"/>
              <c:tx>
                <c:rich>
                  <a:bodyPr/>
                  <a:lstStyle/>
                  <a:p>
                    <a:fld id="{12E683CB-3777-41E6-B7D2-77BE00779BE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C74-4962-86CD-0C27693B10C4}"/>
                </c:ext>
              </c:extLst>
            </c:dLbl>
            <c:dLbl>
              <c:idx val="1"/>
              <c:tx>
                <c:rich>
                  <a:bodyPr/>
                  <a:lstStyle/>
                  <a:p>
                    <a:fld id="{BEC872EE-FC79-4D7A-B929-4AE2BAE6479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C74-4962-86CD-0C27693B10C4}"/>
                </c:ext>
              </c:extLst>
            </c:dLbl>
            <c:dLbl>
              <c:idx val="2"/>
              <c:tx>
                <c:rich>
                  <a:bodyPr/>
                  <a:lstStyle/>
                  <a:p>
                    <a:fld id="{0E154CFF-ECE6-4809-8164-EC5AAB90025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C74-4962-86CD-0C27693B10C4}"/>
                </c:ext>
              </c:extLst>
            </c:dLbl>
            <c:dLbl>
              <c:idx val="3"/>
              <c:layout>
                <c:manualLayout>
                  <c:x val="-5.4669437158773393E-3"/>
                  <c:y val="0"/>
                </c:manualLayout>
              </c:layout>
              <c:tx>
                <c:rich>
                  <a:bodyPr/>
                  <a:lstStyle/>
                  <a:p>
                    <a:fld id="{BCF5D898-DBC0-414B-8C4D-474F4412886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C74-4962-86CD-0C27693B10C4}"/>
                </c:ext>
              </c:extLst>
            </c:dLbl>
            <c:dLbl>
              <c:idx val="4"/>
              <c:tx>
                <c:rich>
                  <a:bodyPr/>
                  <a:lstStyle/>
                  <a:p>
                    <a:fld id="{ECFF8956-58AB-428F-BE92-15DD310CDAA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C74-4962-86CD-0C27693B10C4}"/>
                </c:ext>
              </c:extLst>
            </c:dLbl>
            <c:dLbl>
              <c:idx val="5"/>
              <c:tx>
                <c:rich>
                  <a:bodyPr/>
                  <a:lstStyle/>
                  <a:p>
                    <a:fld id="{1DCA5126-019E-4363-9B86-8A489AA724B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C74-4962-86CD-0C27693B10C4}"/>
                </c:ext>
              </c:extLst>
            </c:dLbl>
            <c:dLbl>
              <c:idx val="6"/>
              <c:tx>
                <c:rich>
                  <a:bodyPr/>
                  <a:lstStyle/>
                  <a:p>
                    <a:fld id="{C9158DE4-A233-4B1B-9289-6AE1F833C97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C74-4962-86CD-0C27693B10C4}"/>
                </c:ext>
              </c:extLst>
            </c:dLbl>
            <c:dLbl>
              <c:idx val="7"/>
              <c:layout>
                <c:manualLayout>
                  <c:x val="-6.8336796448467243E-3"/>
                  <c:y val="3.3025580001997137E-3"/>
                </c:manualLayout>
              </c:layout>
              <c:tx>
                <c:rich>
                  <a:bodyPr/>
                  <a:lstStyle/>
                  <a:p>
                    <a:fld id="{E42BDD03-15BC-458A-8032-6AC98EE4794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C74-4962-86CD-0C27693B10C4}"/>
                </c:ext>
              </c:extLst>
            </c:dLbl>
            <c:dLbl>
              <c:idx val="8"/>
              <c:layout>
                <c:manualLayout>
                  <c:x val="-4.1002077869080038E-3"/>
                  <c:y val="0"/>
                </c:manualLayout>
              </c:layout>
              <c:tx>
                <c:rich>
                  <a:bodyPr/>
                  <a:lstStyle/>
                  <a:p>
                    <a:fld id="{89EDCBCC-5659-410E-8526-BB93EF5922E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C74-4962-86CD-0C27693B10C4}"/>
                </c:ext>
              </c:extLst>
            </c:dLbl>
            <c:dLbl>
              <c:idx val="9"/>
              <c:layout>
                <c:manualLayout>
                  <c:x val="-8.2004155738160077E-3"/>
                  <c:y val="-2.9723022001797425E-2"/>
                </c:manualLayout>
              </c:layout>
              <c:tx>
                <c:rich>
                  <a:bodyPr/>
                  <a:lstStyle/>
                  <a:p>
                    <a:fld id="{DB306BDC-15E9-445A-8725-9997F1ACF60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4C74-4962-86CD-0C27693B10C4}"/>
                </c:ext>
              </c:extLst>
            </c:dLbl>
            <c:dLbl>
              <c:idx val="10"/>
              <c:layout>
                <c:manualLayout>
                  <c:x val="-6.6970060519497429E-2"/>
                  <c:y val="-2.6420464001597709E-2"/>
                </c:manualLayout>
              </c:layout>
              <c:tx>
                <c:rich>
                  <a:bodyPr/>
                  <a:lstStyle/>
                  <a:p>
                    <a:fld id="{44E5BA79-8E2C-467F-88B8-789BF78AD50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4C74-4962-86CD-0C27693B1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'Cross-Sector US'!$AE$2:$AE$12</c:f>
              <c:numCache>
                <c:formatCode>0.00</c:formatCode>
                <c:ptCount val="11"/>
                <c:pt idx="0">
                  <c:v>0.18333333333333335</c:v>
                </c:pt>
                <c:pt idx="1">
                  <c:v>0.14954551308444244</c:v>
                </c:pt>
                <c:pt idx="2">
                  <c:v>0.35</c:v>
                </c:pt>
                <c:pt idx="3">
                  <c:v>0.18836444254685528</c:v>
                </c:pt>
                <c:pt idx="4">
                  <c:v>0.29165116823801068</c:v>
                </c:pt>
                <c:pt idx="5">
                  <c:v>0.15</c:v>
                </c:pt>
                <c:pt idx="6">
                  <c:v>0.7</c:v>
                </c:pt>
                <c:pt idx="7">
                  <c:v>0.39999999999999997</c:v>
                </c:pt>
                <c:pt idx="8">
                  <c:v>0.3</c:v>
                </c:pt>
                <c:pt idx="9">
                  <c:v>0.15031580928325544</c:v>
                </c:pt>
                <c:pt idx="10">
                  <c:v>0.13389398859242055</c:v>
                </c:pt>
              </c:numCache>
            </c:numRef>
          </c:xVal>
          <c:yVal>
            <c:numRef>
              <c:f>'Cross-Sector US'!$AF$2:$AF$12</c:f>
              <c:numCache>
                <c:formatCode>0.00</c:formatCode>
                <c:ptCount val="11"/>
                <c:pt idx="0">
                  <c:v>49.73219626834004</c:v>
                </c:pt>
                <c:pt idx="1">
                  <c:v>38.833023763515733</c:v>
                </c:pt>
                <c:pt idx="2">
                  <c:v>136.55373189613508</c:v>
                </c:pt>
                <c:pt idx="3">
                  <c:v>16.882125799099693</c:v>
                </c:pt>
                <c:pt idx="4">
                  <c:v>169.27103666935344</c:v>
                </c:pt>
                <c:pt idx="5">
                  <c:v>31.175822697523945</c:v>
                </c:pt>
                <c:pt idx="6">
                  <c:v>100.11909552391585</c:v>
                </c:pt>
                <c:pt idx="7">
                  <c:v>26.976158072522512</c:v>
                </c:pt>
                <c:pt idx="8">
                  <c:v>19.324808989919344</c:v>
                </c:pt>
                <c:pt idx="9">
                  <c:v>56.004030496975147</c:v>
                </c:pt>
                <c:pt idx="10">
                  <c:v>27.870643997257158</c:v>
                </c:pt>
              </c:numCache>
            </c:numRef>
          </c:yVal>
          <c:smooth val="0"/>
          <c:extLst>
            <c:ext xmlns:c15="http://schemas.microsoft.com/office/drawing/2012/chart" uri="{02D57815-91ED-43cb-92C2-25804820EDAC}">
              <c15:datalabelsRange>
                <c15:f>'Cross-Sector US'!$AD$2:$AD$12</c15:f>
                <c15:dlblRangeCache>
                  <c:ptCount val="11"/>
                  <c:pt idx="0">
                    <c:v>Automotive</c:v>
                  </c:pt>
                  <c:pt idx="1">
                    <c:v>BFSI</c:v>
                  </c:pt>
                  <c:pt idx="2">
                    <c:v>Defence</c:v>
                  </c:pt>
                  <c:pt idx="3">
                    <c:v>Energy</c:v>
                  </c:pt>
                  <c:pt idx="4">
                    <c:v>FMCG &amp; Retail</c:v>
                  </c:pt>
                  <c:pt idx="5">
                    <c:v>Infrastructure</c:v>
                  </c:pt>
                  <c:pt idx="6">
                    <c:v>IT</c:v>
                  </c:pt>
                  <c:pt idx="7">
                    <c:v>Minerals</c:v>
                  </c:pt>
                  <c:pt idx="8">
                    <c:v>Oil &amp; Gas</c:v>
                  </c:pt>
                  <c:pt idx="9">
                    <c:v>Pharma</c:v>
                  </c:pt>
                  <c:pt idx="10">
                    <c:v>Telecom</c:v>
                  </c:pt>
                </c15:dlblRangeCache>
              </c15:datalabelsRange>
            </c:ext>
            <c:ext xmlns:c16="http://schemas.microsoft.com/office/drawing/2014/chart" uri="{C3380CC4-5D6E-409C-BE32-E72D297353CC}">
              <c16:uniqueId val="{00000000-4E30-4132-82A2-4E47E018F4F2}"/>
            </c:ext>
          </c:extLst>
        </c:ser>
        <c:ser>
          <c:idx val="1"/>
          <c:order val="1"/>
          <c:tx>
            <c:v>US</c:v>
          </c:tx>
          <c:spPr>
            <a:ln w="25400" cap="rnd">
              <a:noFill/>
              <a:round/>
            </a:ln>
            <a:effectLst/>
          </c:spPr>
          <c:marker>
            <c:symbol val="circle"/>
            <c:size val="9"/>
            <c:spPr>
              <a:solidFill>
                <a:srgbClr val="C00000"/>
              </a:solidFill>
              <a:ln w="9525">
                <a:solidFill>
                  <a:schemeClr val="accent2"/>
                </a:solidFill>
              </a:ln>
              <a:effectLst/>
            </c:spPr>
          </c:marker>
          <c:dLbls>
            <c:dLbl>
              <c:idx val="0"/>
              <c:layout>
                <c:manualLayout>
                  <c:x val="-5.4731288229077591E-3"/>
                  <c:y val="-1.6551009429123104E-2"/>
                </c:manualLayout>
              </c:layout>
              <c:tx>
                <c:rich>
                  <a:bodyPr/>
                  <a:lstStyle/>
                  <a:p>
                    <a:fld id="{5F515149-AE78-4C10-9492-7D3FDD49AF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74-4962-86CD-0C27693B10C4}"/>
                </c:ext>
              </c:extLst>
            </c:dLbl>
            <c:dLbl>
              <c:idx val="1"/>
              <c:layout>
                <c:manualLayout>
                  <c:x val="-4.6469021584957394E-2"/>
                  <c:y val="0"/>
                </c:manualLayout>
              </c:layout>
              <c:tx>
                <c:rich>
                  <a:bodyPr/>
                  <a:lstStyle/>
                  <a:p>
                    <a:fld id="{7DD78855-A367-449E-8A10-411ABCE9858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4C74-4962-86CD-0C27693B10C4}"/>
                </c:ext>
              </c:extLst>
            </c:dLbl>
            <c:dLbl>
              <c:idx val="2"/>
              <c:tx>
                <c:rich>
                  <a:bodyPr/>
                  <a:lstStyle/>
                  <a:p>
                    <a:fld id="{5CCB5D57-9215-4166-861B-8D204EAD01D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C74-4962-86CD-0C27693B10C4}"/>
                </c:ext>
              </c:extLst>
            </c:dLbl>
            <c:dLbl>
              <c:idx val="3"/>
              <c:layout>
                <c:manualLayout>
                  <c:x val="-1.2300623360724038E-2"/>
                  <c:y val="1.9815348001198281E-2"/>
                </c:manualLayout>
              </c:layout>
              <c:tx>
                <c:rich>
                  <a:bodyPr/>
                  <a:lstStyle/>
                  <a:p>
                    <a:fld id="{3DAA3D52-7C70-4E60-95E9-EE0398110D2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C74-4962-86CD-0C27693B10C4}"/>
                </c:ext>
              </c:extLst>
            </c:dLbl>
            <c:dLbl>
              <c:idx val="4"/>
              <c:tx>
                <c:rich>
                  <a:bodyPr/>
                  <a:lstStyle/>
                  <a:p>
                    <a:fld id="{8791B594-CA27-49A5-AB5B-5D5DC526421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C74-4962-86CD-0C27693B10C4}"/>
                </c:ext>
              </c:extLst>
            </c:dLbl>
            <c:dLbl>
              <c:idx val="5"/>
              <c:layout>
                <c:manualLayout>
                  <c:x val="-2.3260797497357977E-2"/>
                  <c:y val="-3.9722422629895449E-2"/>
                </c:manualLayout>
              </c:layout>
              <c:tx>
                <c:rich>
                  <a:bodyPr/>
                  <a:lstStyle/>
                  <a:p>
                    <a:fld id="{695325EF-DED5-4E5E-AE9D-9D32F5CD7E3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C74-4962-86CD-0C27693B10C4}"/>
                </c:ext>
              </c:extLst>
            </c:dLbl>
            <c:dLbl>
              <c:idx val="6"/>
              <c:tx>
                <c:rich>
                  <a:bodyPr/>
                  <a:lstStyle/>
                  <a:p>
                    <a:fld id="{A6059661-4F15-4259-8482-5ED1349F7FA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C74-4962-86CD-0C27693B10C4}"/>
                </c:ext>
              </c:extLst>
            </c:dLbl>
            <c:dLbl>
              <c:idx val="7"/>
              <c:layout>
                <c:manualLayout>
                  <c:x val="-3.4168398224233384E-2"/>
                  <c:y val="2.9723022001797304E-2"/>
                </c:manualLayout>
              </c:layout>
              <c:tx>
                <c:rich>
                  <a:bodyPr/>
                  <a:lstStyle/>
                  <a:p>
                    <a:fld id="{03B0BDB0-FD5C-4817-97AD-E77C09A2554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C74-4962-86CD-0C27693B10C4}"/>
                </c:ext>
              </c:extLst>
            </c:dLbl>
            <c:dLbl>
              <c:idx val="8"/>
              <c:tx>
                <c:rich>
                  <a:bodyPr/>
                  <a:lstStyle/>
                  <a:p>
                    <a:fld id="{0EB7283F-A9E4-4D5A-B6F6-A3AEEE3C0A4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C74-4962-86CD-0C27693B10C4}"/>
                </c:ext>
              </c:extLst>
            </c:dLbl>
            <c:dLbl>
              <c:idx val="9"/>
              <c:layout>
                <c:manualLayout>
                  <c:x val="-4.1002077869079796E-3"/>
                  <c:y val="-1.3210232000798855E-2"/>
                </c:manualLayout>
              </c:layout>
              <c:tx>
                <c:rich>
                  <a:bodyPr/>
                  <a:lstStyle/>
                  <a:p>
                    <a:fld id="{F53A4907-E356-4AC0-A3A8-48B7523358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C74-4962-86CD-0C27693B10C4}"/>
                </c:ext>
              </c:extLst>
            </c:dLbl>
            <c:dLbl>
              <c:idx val="10"/>
              <c:layout>
                <c:manualLayout>
                  <c:x val="-9.567151502785344E-3"/>
                  <c:y val="1.6512790000998569E-2"/>
                </c:manualLayout>
              </c:layout>
              <c:tx>
                <c:rich>
                  <a:bodyPr/>
                  <a:lstStyle/>
                  <a:p>
                    <a:fld id="{4D0FB3A9-0D8E-491C-A6A3-5D63E669768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C74-4962-86CD-0C27693B1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'Cross-Sector US'!$AG$2:$AG$12</c:f>
              <c:numCache>
                <c:formatCode>0.00</c:formatCode>
                <c:ptCount val="11"/>
                <c:pt idx="0">
                  <c:v>0.48659581580542222</c:v>
                </c:pt>
                <c:pt idx="1">
                  <c:v>0.10906980664764367</c:v>
                </c:pt>
                <c:pt idx="2">
                  <c:v>1.6252268973253223</c:v>
                </c:pt>
                <c:pt idx="3">
                  <c:v>0.14773808330800647</c:v>
                </c:pt>
                <c:pt idx="4">
                  <c:v>0.69747693249774723</c:v>
                </c:pt>
                <c:pt idx="5">
                  <c:v>0.62048033787314694</c:v>
                </c:pt>
                <c:pt idx="6">
                  <c:v>0.4961022135998302</c:v>
                </c:pt>
                <c:pt idx="7">
                  <c:v>9.5009697766282805E-2</c:v>
                </c:pt>
                <c:pt idx="8">
                  <c:v>1.8279365413665041</c:v>
                </c:pt>
                <c:pt idx="9">
                  <c:v>0.32835714542638827</c:v>
                </c:pt>
                <c:pt idx="10">
                  <c:v>0.48162409583426535</c:v>
                </c:pt>
              </c:numCache>
            </c:numRef>
          </c:xVal>
          <c:yVal>
            <c:numRef>
              <c:f>'Cross-Sector US'!$AH$2:$AH$12</c:f>
              <c:numCache>
                <c:formatCode>0.00</c:formatCode>
                <c:ptCount val="11"/>
                <c:pt idx="0">
                  <c:v>16.096928479291584</c:v>
                </c:pt>
                <c:pt idx="1">
                  <c:v>24.875369263209397</c:v>
                </c:pt>
                <c:pt idx="2">
                  <c:v>42.277881537282717</c:v>
                </c:pt>
                <c:pt idx="3">
                  <c:v>14.103879773734512</c:v>
                </c:pt>
                <c:pt idx="4">
                  <c:v>36.966108466828913</c:v>
                </c:pt>
                <c:pt idx="5">
                  <c:v>37.990803331783368</c:v>
                </c:pt>
                <c:pt idx="6">
                  <c:v>45.14980507649426</c:v>
                </c:pt>
                <c:pt idx="7">
                  <c:v>12.53516835487317</c:v>
                </c:pt>
                <c:pt idx="8">
                  <c:v>34.648290099435222</c:v>
                </c:pt>
                <c:pt idx="9">
                  <c:v>31.068794953209196</c:v>
                </c:pt>
                <c:pt idx="10">
                  <c:v>14.2925943774949</c:v>
                </c:pt>
              </c:numCache>
            </c:numRef>
          </c:yVal>
          <c:smooth val="0"/>
          <c:extLst>
            <c:ext xmlns:c15="http://schemas.microsoft.com/office/drawing/2012/chart" uri="{02D57815-91ED-43cb-92C2-25804820EDAC}">
              <c15:datalabelsRange>
                <c15:f>'Cross-Sector US'!$AD$2:$AD$12</c15:f>
                <c15:dlblRangeCache>
                  <c:ptCount val="11"/>
                  <c:pt idx="0">
                    <c:v>Automotive</c:v>
                  </c:pt>
                  <c:pt idx="1">
                    <c:v>BFSI</c:v>
                  </c:pt>
                  <c:pt idx="2">
                    <c:v>Defence</c:v>
                  </c:pt>
                  <c:pt idx="3">
                    <c:v>Energy</c:v>
                  </c:pt>
                  <c:pt idx="4">
                    <c:v>FMCG &amp; Retail</c:v>
                  </c:pt>
                  <c:pt idx="5">
                    <c:v>Infrastructure</c:v>
                  </c:pt>
                  <c:pt idx="6">
                    <c:v>IT</c:v>
                  </c:pt>
                  <c:pt idx="7">
                    <c:v>Minerals</c:v>
                  </c:pt>
                  <c:pt idx="8">
                    <c:v>Oil &amp; Gas</c:v>
                  </c:pt>
                  <c:pt idx="9">
                    <c:v>Pharma</c:v>
                  </c:pt>
                  <c:pt idx="10">
                    <c:v>Telecom</c:v>
                  </c:pt>
                </c15:dlblRangeCache>
              </c15:datalabelsRange>
            </c:ext>
            <c:ext xmlns:c16="http://schemas.microsoft.com/office/drawing/2014/chart" uri="{C3380CC4-5D6E-409C-BE32-E72D297353CC}">
              <c16:uniqueId val="{00000001-4E30-4132-82A2-4E47E018F4F2}"/>
            </c:ext>
          </c:extLst>
        </c:ser>
        <c:ser>
          <c:idx val="2"/>
          <c:order val="2"/>
          <c:tx>
            <c:v>Q1</c:v>
          </c:tx>
          <c:spPr>
            <a:ln w="9525" cap="rnd">
              <a:solidFill>
                <a:schemeClr val="tx1"/>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'Cross-Sector US'!$AR$20:$AR$21</c:f>
              <c:numCache>
                <c:formatCode>_(* #,##0.00_);_(* \(#,##0.00\);_(* "-"??_);_(@_)</c:formatCode>
                <c:ptCount val="2"/>
                <c:pt idx="0">
                  <c:v>0.45057826466040346</c:v>
                </c:pt>
                <c:pt idx="1">
                  <c:v>0.45</c:v>
                </c:pt>
              </c:numCache>
            </c:numRef>
          </c:xVal>
          <c:yVal>
            <c:numRef>
              <c:f>'Cross-Sector US'!$AS$20:$AS$21</c:f>
              <c:numCache>
                <c:formatCode>0.00</c:formatCode>
                <c:ptCount val="2"/>
                <c:pt idx="0" formatCode="General">
                  <c:v>0</c:v>
                </c:pt>
                <c:pt idx="1">
                  <c:v>200</c:v>
                </c:pt>
              </c:numCache>
            </c:numRef>
          </c:yVal>
          <c:smooth val="0"/>
          <c:extLst>
            <c:ext xmlns:c16="http://schemas.microsoft.com/office/drawing/2014/chart" uri="{C3380CC4-5D6E-409C-BE32-E72D297353CC}">
              <c16:uniqueId val="{00000018-4C74-4962-86CD-0C27693B10C4}"/>
            </c:ext>
          </c:extLst>
        </c:ser>
        <c:ser>
          <c:idx val="3"/>
          <c:order val="3"/>
          <c:tx>
            <c:v>Q2</c:v>
          </c:tx>
          <c:spPr>
            <a:ln w="9525" cap="rnd">
              <a:solidFill>
                <a:schemeClr val="tx1"/>
              </a:solidFill>
              <a:round/>
            </a:ln>
            <a:effectLst/>
          </c:spPr>
          <c:marker>
            <c:symbol val="circle"/>
            <c:size val="5"/>
            <c:spPr>
              <a:solidFill>
                <a:schemeClr val="tx1">
                  <a:lumMod val="50000"/>
                  <a:lumOff val="50000"/>
                </a:schemeClr>
              </a:solidFill>
              <a:ln w="9525">
                <a:solidFill>
                  <a:schemeClr val="tx1"/>
                </a:solidFill>
              </a:ln>
              <a:effectLst/>
            </c:spPr>
          </c:marker>
          <c:dLbls>
            <c:delete val="1"/>
          </c:dLbls>
          <c:xVal>
            <c:numRef>
              <c:f>'Cross-Sector US'!$AR$24:$AR$25</c:f>
              <c:numCache>
                <c:formatCode>_(* #,##0.00_);_(* \(#,##0.00\);_(* "-"??_);_(@_)</c:formatCode>
                <c:ptCount val="2"/>
                <c:pt idx="0" formatCode="General">
                  <c:v>0</c:v>
                </c:pt>
                <c:pt idx="1">
                  <c:v>2.5</c:v>
                </c:pt>
              </c:numCache>
            </c:numRef>
          </c:xVal>
          <c:yVal>
            <c:numRef>
              <c:f>'Cross-Sector US'!$AS$24:$AS$25</c:f>
              <c:numCache>
                <c:formatCode>_(* #,##0.00_);_(* \(#,##0.00\);_(* "-"??_);_(@_)</c:formatCode>
                <c:ptCount val="2"/>
                <c:pt idx="0">
                  <c:v>44.670377176736139</c:v>
                </c:pt>
                <c:pt idx="1">
                  <c:v>44.670377176736139</c:v>
                </c:pt>
              </c:numCache>
            </c:numRef>
          </c:yVal>
          <c:smooth val="0"/>
          <c:extLst>
            <c:ext xmlns:c16="http://schemas.microsoft.com/office/drawing/2014/chart" uri="{C3380CC4-5D6E-409C-BE32-E72D297353CC}">
              <c16:uniqueId val="{00000019-4C74-4962-86CD-0C27693B10C4}"/>
            </c:ext>
          </c:extLst>
        </c:ser>
        <c:dLbls>
          <c:showLegendKey val="0"/>
          <c:showVal val="1"/>
          <c:showCatName val="0"/>
          <c:showSerName val="0"/>
          <c:showPercent val="0"/>
          <c:showBubbleSize val="0"/>
        </c:dLbls>
        <c:axId val="1177396368"/>
        <c:axId val="1177399608"/>
      </c:scatterChart>
      <c:valAx>
        <c:axId val="1177396368"/>
        <c:scaling>
          <c:orientation val="minMax"/>
          <c:max val="2.5"/>
        </c:scaling>
        <c:delete val="0"/>
        <c:axPos val="b"/>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99608"/>
        <c:crosses val="autoZero"/>
        <c:crossBetween val="midCat"/>
      </c:valAx>
      <c:valAx>
        <c:axId val="1177399608"/>
        <c:scaling>
          <c:orientation val="minMax"/>
          <c:max val="200"/>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96368"/>
        <c:crosses val="autoZero"/>
        <c:crossBetween val="midCat"/>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Historical Valuation - Efficiency (India and US)</a:t>
            </a:r>
          </a:p>
          <a:p>
            <a:pPr>
              <a:defRPr/>
            </a:pPr>
            <a:r>
              <a:rPr lang="en-IN" sz="1050" i="1"/>
              <a:t>X-axis ROCE | Y-axis</a:t>
            </a:r>
            <a:r>
              <a:rPr lang="en-IN" sz="1050" i="1" baseline="0"/>
              <a:t> P/E (India Blue, US red)</a:t>
            </a:r>
            <a:endParaRPr lang="en-IN"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'Cross-Sector US'!$BK$1</c:f>
              <c:strCache>
                <c:ptCount val="1"/>
                <c:pt idx="0">
                  <c:v>PE India-H</c:v>
                </c:pt>
              </c:strCache>
            </c:strRef>
          </c:tx>
          <c:spPr>
            <a:ln w="19050" cap="rnd">
              <a:noFill/>
              <a:round/>
            </a:ln>
            <a:effectLst/>
          </c:spPr>
          <c:marker>
            <c:symbol val="circle"/>
            <c:size val="9"/>
            <c:spPr>
              <a:solidFill>
                <a:srgbClr val="0070C0"/>
              </a:solidFill>
              <a:ln w="9525">
                <a:solidFill>
                  <a:schemeClr val="accent1"/>
                </a:solidFill>
              </a:ln>
              <a:effectLst/>
            </c:spPr>
          </c:marker>
          <c:dLbls>
            <c:dLbl>
              <c:idx val="0"/>
              <c:layout>
                <c:manualLayout>
                  <c:x val="-9.7457389910700784E-2"/>
                  <c:y val="0"/>
                </c:manualLayout>
              </c:layout>
              <c:tx>
                <c:rich>
                  <a:bodyPr/>
                  <a:lstStyle/>
                  <a:p>
                    <a:fld id="{DC72D294-C2EB-4345-887D-501D68B0EF2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353-454C-8472-3273E80F7C3C}"/>
                </c:ext>
              </c:extLst>
            </c:dLbl>
            <c:dLbl>
              <c:idx val="1"/>
              <c:layout>
                <c:manualLayout>
                  <c:x val="-2.8757918334305139E-2"/>
                  <c:y val="-3.2833166151332575E-2"/>
                </c:manualLayout>
              </c:layout>
              <c:tx>
                <c:rich>
                  <a:bodyPr/>
                  <a:lstStyle/>
                  <a:p>
                    <a:fld id="{19AE90BF-F50F-4C9A-8779-74B0E0234A1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353-454C-8472-3273E80F7C3C}"/>
                </c:ext>
              </c:extLst>
            </c:dLbl>
            <c:dLbl>
              <c:idx val="2"/>
              <c:tx>
                <c:rich>
                  <a:bodyPr/>
                  <a:lstStyle/>
                  <a:p>
                    <a:fld id="{B44F1FF6-1D60-4778-BE0D-A6D99D6C79F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353-454C-8472-3273E80F7C3C}"/>
                </c:ext>
              </c:extLst>
            </c:dLbl>
            <c:dLbl>
              <c:idx val="3"/>
              <c:layout>
                <c:manualLayout>
                  <c:x val="-4.0290005064924653E-2"/>
                  <c:y val="3.5390601705250983E-2"/>
                </c:manualLayout>
              </c:layout>
              <c:tx>
                <c:rich>
                  <a:bodyPr/>
                  <a:lstStyle/>
                  <a:p>
                    <a:fld id="{33AF319F-BCAD-462A-8275-F9BB8B9CFEC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1353-454C-8472-3273E80F7C3C}"/>
                </c:ext>
              </c:extLst>
            </c:dLbl>
            <c:dLbl>
              <c:idx val="4"/>
              <c:tx>
                <c:rich>
                  <a:bodyPr/>
                  <a:lstStyle/>
                  <a:p>
                    <a:fld id="{B882CACF-2F76-4FD4-9549-ED1782CD2D4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353-454C-8472-3273E80F7C3C}"/>
                </c:ext>
              </c:extLst>
            </c:dLbl>
            <c:dLbl>
              <c:idx val="5"/>
              <c:layout>
                <c:manualLayout>
                  <c:x val="-7.6329017238742081E-2"/>
                  <c:y val="-4.1178650657337966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2007D512-3C2A-40C6-983B-8A9FD9E7A8F6}" type="CELLRANGE">
                      <a:rPr lang="en-US"/>
                      <a:pPr>
                        <a:defRPr sz="7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353-454C-8472-3273E80F7C3C}"/>
                </c:ext>
              </c:extLst>
            </c:dLbl>
            <c:dLbl>
              <c:idx val="6"/>
              <c:tx>
                <c:rich>
                  <a:bodyPr/>
                  <a:lstStyle/>
                  <a:p>
                    <a:fld id="{A1B00BB5-45D0-4704-BD5A-53AE1BFB434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353-454C-8472-3273E80F7C3C}"/>
                </c:ext>
              </c:extLst>
            </c:dLbl>
            <c:dLbl>
              <c:idx val="7"/>
              <c:layout>
                <c:manualLayout>
                  <c:x val="-1.1183634907785333E-2"/>
                  <c:y val="-2.6266532921065965E-2"/>
                </c:manualLayout>
              </c:layout>
              <c:tx>
                <c:rich>
                  <a:bodyPr/>
                  <a:lstStyle/>
                  <a:p>
                    <a:fld id="{EF7589F4-EE18-4939-8CF8-3C29D402C39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1353-454C-8472-3273E80F7C3C}"/>
                </c:ext>
              </c:extLst>
            </c:dLbl>
            <c:dLbl>
              <c:idx val="8"/>
              <c:layout>
                <c:manualLayout>
                  <c:x val="-1.7969928030744748E-3"/>
                  <c:y val="-1.7544883738019035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618921B1-8D5C-4537-BFE3-49E51A646E40}" type="CELLRANGE">
                      <a:rPr lang="en-US"/>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353-454C-8472-3273E80F7C3C}"/>
                </c:ext>
              </c:extLst>
            </c:dLbl>
            <c:dLbl>
              <c:idx val="9"/>
              <c:layout>
                <c:manualLayout>
                  <c:x val="-4.6734079042415038E-3"/>
                  <c:y val="-2.0350453581622709E-2"/>
                </c:manualLayout>
              </c:layout>
              <c:tx>
                <c:rich>
                  <a:bodyPr/>
                  <a:lstStyle/>
                  <a:p>
                    <a:fld id="{F3471770-91B1-4776-96F3-EBD3FDE7652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1353-454C-8472-3273E80F7C3C}"/>
                </c:ext>
              </c:extLst>
            </c:dLbl>
            <c:dLbl>
              <c:idx val="10"/>
              <c:layout>
                <c:manualLayout>
                  <c:x val="-3.3547954378216572E-3"/>
                  <c:y val="2.7669291623373202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71DC864E-F37F-4D07-BEBF-4560B610DB4F}" type="CELLRANGE">
                      <a:rPr lang="en-US"/>
                      <a:pPr>
                        <a:defRPr sz="7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353-454C-8472-3273E80F7C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'Cross-Sector US'!$BJ$2:$BJ$12</c:f>
              <c:numCache>
                <c:formatCode>_(* #,##0.00_);_(* \(#,##0.00\);_(* "-"??_);_(@_)</c:formatCode>
                <c:ptCount val="11"/>
                <c:pt idx="0">
                  <c:v>0.36798832590336278</c:v>
                </c:pt>
                <c:pt idx="1">
                  <c:v>0.31179801833350745</c:v>
                </c:pt>
                <c:pt idx="2">
                  <c:v>0.34098067644437197</c:v>
                </c:pt>
                <c:pt idx="3">
                  <c:v>0.31583668986129132</c:v>
                </c:pt>
                <c:pt idx="4">
                  <c:v>0.46912962008385062</c:v>
                </c:pt>
                <c:pt idx="5">
                  <c:v>0.18100810344963053</c:v>
                </c:pt>
                <c:pt idx="6">
                  <c:v>1.0630660442512296</c:v>
                </c:pt>
                <c:pt idx="7">
                  <c:v>0.4338456935774932</c:v>
                </c:pt>
                <c:pt idx="8">
                  <c:v>0.12318343727178789</c:v>
                </c:pt>
                <c:pt idx="9">
                  <c:v>0.34535474693319451</c:v>
                </c:pt>
                <c:pt idx="10">
                  <c:v>0.25264961210996845</c:v>
                </c:pt>
              </c:numCache>
            </c:numRef>
          </c:xVal>
          <c:yVal>
            <c:numRef>
              <c:f>'Cross-Sector US'!$BK$2:$BK$12</c:f>
              <c:numCache>
                <c:formatCode>_(* #,##0.00_);_(* \(#,##0.00\);_(* "-"??_);_(@_)</c:formatCode>
                <c:ptCount val="11"/>
                <c:pt idx="0">
                  <c:v>36.386922016455642</c:v>
                </c:pt>
                <c:pt idx="1">
                  <c:v>25.153557142857146</c:v>
                </c:pt>
                <c:pt idx="2">
                  <c:v>75.725357888656362</c:v>
                </c:pt>
                <c:pt idx="3">
                  <c:v>13.417327376400326</c:v>
                </c:pt>
                <c:pt idx="4">
                  <c:v>107.04129328101216</c:v>
                </c:pt>
                <c:pt idx="5">
                  <c:v>24.806680215765947</c:v>
                </c:pt>
                <c:pt idx="6">
                  <c:v>33.858522556853316</c:v>
                </c:pt>
                <c:pt idx="7">
                  <c:v>14.637596146490015</c:v>
                </c:pt>
                <c:pt idx="8">
                  <c:v>13.135594105904921</c:v>
                </c:pt>
                <c:pt idx="9">
                  <c:v>45.303416666666664</c:v>
                </c:pt>
                <c:pt idx="10">
                  <c:v>22.99099856876796</c:v>
                </c:pt>
              </c:numCache>
            </c:numRef>
          </c:yVal>
          <c:smooth val="0"/>
          <c:extLst>
            <c:ext xmlns:c15="http://schemas.microsoft.com/office/drawing/2012/chart" uri="{02D57815-91ED-43cb-92C2-25804820EDAC}">
              <c15:datalabelsRange>
                <c15:f>'Cross-Sector US'!$BI$2:$BI$12</c15:f>
                <c15:dlblRangeCache>
                  <c:ptCount val="11"/>
                  <c:pt idx="0">
                    <c:v>Automotive</c:v>
                  </c:pt>
                  <c:pt idx="1">
                    <c:v>BFSI</c:v>
                  </c:pt>
                  <c:pt idx="2">
                    <c:v>Defence</c:v>
                  </c:pt>
                  <c:pt idx="3">
                    <c:v>Energy</c:v>
                  </c:pt>
                  <c:pt idx="4">
                    <c:v>FMCG &amp; Retail</c:v>
                  </c:pt>
                  <c:pt idx="5">
                    <c:v>Infrastructure</c:v>
                  </c:pt>
                  <c:pt idx="6">
                    <c:v>IT</c:v>
                  </c:pt>
                  <c:pt idx="7">
                    <c:v>Minerals</c:v>
                  </c:pt>
                  <c:pt idx="8">
                    <c:v>Oil &amp; Gas</c:v>
                  </c:pt>
                  <c:pt idx="9">
                    <c:v>Pharma</c:v>
                  </c:pt>
                  <c:pt idx="10">
                    <c:v>Telecom</c:v>
                  </c:pt>
                </c15:dlblRangeCache>
              </c15:datalabelsRange>
            </c:ext>
            <c:ext xmlns:c16="http://schemas.microsoft.com/office/drawing/2014/chart" uri="{C3380CC4-5D6E-409C-BE32-E72D297353CC}">
              <c16:uniqueId val="{00000000-1353-454C-8472-3273E80F7C3C}"/>
            </c:ext>
          </c:extLst>
        </c:ser>
        <c:ser>
          <c:idx val="1"/>
          <c:order val="1"/>
          <c:tx>
            <c:strRef>
              <c:f>'Cross-Sector US'!$BM$1</c:f>
              <c:strCache>
                <c:ptCount val="1"/>
                <c:pt idx="0">
                  <c:v>PE US-H</c:v>
                </c:pt>
              </c:strCache>
            </c:strRef>
          </c:tx>
          <c:spPr>
            <a:ln w="19050" cap="rnd">
              <a:noFill/>
              <a:round/>
            </a:ln>
            <a:effectLst/>
          </c:spPr>
          <c:marker>
            <c:symbol val="circle"/>
            <c:size val="9"/>
            <c:spPr>
              <a:solidFill>
                <a:srgbClr val="C00000"/>
              </a:solidFill>
              <a:ln w="9525">
                <a:solidFill>
                  <a:schemeClr val="accent2"/>
                </a:solidFill>
              </a:ln>
              <a:effectLst/>
            </c:spPr>
          </c:marker>
          <c:dLbls>
            <c:dLbl>
              <c:idx val="0"/>
              <c:tx>
                <c:rich>
                  <a:bodyPr/>
                  <a:lstStyle/>
                  <a:p>
                    <a:fld id="{9F9962C5-BBF4-489D-B765-6176E91296C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1353-454C-8472-3273E80F7C3C}"/>
                </c:ext>
              </c:extLst>
            </c:dLbl>
            <c:dLbl>
              <c:idx val="1"/>
              <c:layout>
                <c:manualLayout>
                  <c:x val="-5.1125242548030303E-2"/>
                  <c:y val="-1.17304684289839E-2"/>
                </c:manualLayout>
              </c:layout>
              <c:tx>
                <c:rich>
                  <a:bodyPr/>
                  <a:lstStyle/>
                  <a:p>
                    <a:fld id="{AD9E19F4-84B4-44A6-B9E4-57C52A38679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1353-454C-8472-3273E80F7C3C}"/>
                </c:ext>
              </c:extLst>
            </c:dLbl>
            <c:dLbl>
              <c:idx val="2"/>
              <c:tx>
                <c:rich>
                  <a:bodyPr/>
                  <a:lstStyle/>
                  <a:p>
                    <a:fld id="{1482E632-7D69-4266-8229-1F85A885BE8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353-454C-8472-3273E80F7C3C}"/>
                </c:ext>
              </c:extLst>
            </c:dLbl>
            <c:dLbl>
              <c:idx val="3"/>
              <c:layout>
                <c:manualLayout>
                  <c:x val="-4.1539215371774074E-2"/>
                  <c:y val="4.2683115996732197E-2"/>
                </c:manualLayout>
              </c:layout>
              <c:tx>
                <c:rich>
                  <a:bodyPr/>
                  <a:lstStyle/>
                  <a:p>
                    <a:fld id="{9D15093F-EF15-489C-B749-09DBBD4EA11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353-454C-8472-3273E80F7C3C}"/>
                </c:ext>
              </c:extLst>
            </c:dLbl>
            <c:dLbl>
              <c:idx val="4"/>
              <c:tx>
                <c:rich>
                  <a:bodyPr/>
                  <a:lstStyle/>
                  <a:p>
                    <a:fld id="{4BB30B5B-60DD-464B-A421-C0D08363AD3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353-454C-8472-3273E80F7C3C}"/>
                </c:ext>
              </c:extLst>
            </c:dLbl>
            <c:dLbl>
              <c:idx val="5"/>
              <c:tx>
                <c:rich>
                  <a:bodyPr/>
                  <a:lstStyle/>
                  <a:p>
                    <a:fld id="{16E9482C-0B16-4A1E-95AA-5662C91E5E5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353-454C-8472-3273E80F7C3C}"/>
                </c:ext>
              </c:extLst>
            </c:dLbl>
            <c:dLbl>
              <c:idx val="6"/>
              <c:tx>
                <c:rich>
                  <a:bodyPr/>
                  <a:lstStyle/>
                  <a:p>
                    <a:fld id="{D55CAEF5-6D05-433B-AC49-81AAC662EBD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353-454C-8472-3273E80F7C3C}"/>
                </c:ext>
              </c:extLst>
            </c:dLbl>
            <c:dLbl>
              <c:idx val="7"/>
              <c:layout>
                <c:manualLayout>
                  <c:x val="-8.8831303344773987E-2"/>
                  <c:y val="1.7920989421197846E-2"/>
                </c:manualLayout>
              </c:layout>
              <c:tx>
                <c:rich>
                  <a:bodyPr/>
                  <a:lstStyle/>
                  <a:p>
                    <a:fld id="{BEC8556A-CD5C-4233-BCE6-2B29BBE501D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353-454C-8472-3273E80F7C3C}"/>
                </c:ext>
              </c:extLst>
            </c:dLbl>
            <c:dLbl>
              <c:idx val="8"/>
              <c:tx>
                <c:rich>
                  <a:bodyPr/>
                  <a:lstStyle/>
                  <a:p>
                    <a:fld id="{96005F56-C619-4EB2-BB6E-DF869D25B99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353-454C-8472-3273E80F7C3C}"/>
                </c:ext>
              </c:extLst>
            </c:dLbl>
            <c:dLbl>
              <c:idx val="9"/>
              <c:layout>
                <c:manualLayout>
                  <c:x val="-1.5976621296836188E-3"/>
                  <c:y val="-9.8499498453997365E-3"/>
                </c:manualLayout>
              </c:layout>
              <c:tx>
                <c:rich>
                  <a:bodyPr/>
                  <a:lstStyle/>
                  <a:p>
                    <a:fld id="{312A4A98-4FAC-42EE-A171-B2D8E42BD43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353-454C-8472-3273E80F7C3C}"/>
                </c:ext>
              </c:extLst>
            </c:dLbl>
            <c:dLbl>
              <c:idx val="10"/>
              <c:tx>
                <c:rich>
                  <a:bodyPr/>
                  <a:lstStyle/>
                  <a:p>
                    <a:fld id="{937C760F-325C-4D93-8EB3-74257189C54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353-454C-8472-3273E80F7C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'Cross-Sector US'!$BL$2:$BL$12</c:f>
              <c:numCache>
                <c:formatCode>_(* #,##0.00_);_(* \(#,##0.00\);_(* "-"??_);_(@_)</c:formatCode>
                <c:ptCount val="11"/>
                <c:pt idx="0">
                  <c:v>0.48659581580542222</c:v>
                </c:pt>
                <c:pt idx="1">
                  <c:v>0.10906980664764367</c:v>
                </c:pt>
                <c:pt idx="2">
                  <c:v>1.6252268973253223</c:v>
                </c:pt>
                <c:pt idx="3">
                  <c:v>0.14773808330800647</c:v>
                </c:pt>
                <c:pt idx="4">
                  <c:v>0.69747693249774723</c:v>
                </c:pt>
                <c:pt idx="5">
                  <c:v>0.62048033787314694</c:v>
                </c:pt>
                <c:pt idx="6">
                  <c:v>0.4961022135998302</c:v>
                </c:pt>
                <c:pt idx="7">
                  <c:v>9.5009697766282805E-2</c:v>
                </c:pt>
                <c:pt idx="8">
                  <c:v>1.8279365413665041</c:v>
                </c:pt>
                <c:pt idx="9">
                  <c:v>0.32835714542638827</c:v>
                </c:pt>
                <c:pt idx="10">
                  <c:v>0.48162409583426535</c:v>
                </c:pt>
              </c:numCache>
            </c:numRef>
          </c:xVal>
          <c:yVal>
            <c:numRef>
              <c:f>'Cross-Sector US'!$BM$2:$BM$12</c:f>
              <c:numCache>
                <c:formatCode>0.00</c:formatCode>
                <c:ptCount val="11"/>
                <c:pt idx="0">
                  <c:v>12.963766666666666</c:v>
                </c:pt>
                <c:pt idx="1">
                  <c:v>18.562685714285717</c:v>
                </c:pt>
                <c:pt idx="2">
                  <c:v>28.07076</c:v>
                </c:pt>
                <c:pt idx="3">
                  <c:v>11.260459999999998</c:v>
                </c:pt>
                <c:pt idx="4">
                  <c:v>26.8964</c:v>
                </c:pt>
                <c:pt idx="5">
                  <c:v>31.709339999999997</c:v>
                </c:pt>
                <c:pt idx="6">
                  <c:v>38.314239999999998</c:v>
                </c:pt>
                <c:pt idx="7">
                  <c:v>14.26952</c:v>
                </c:pt>
                <c:pt idx="8">
                  <c:v>21.939299999999996</c:v>
                </c:pt>
                <c:pt idx="9">
                  <c:v>25.344200000000001</c:v>
                </c:pt>
                <c:pt idx="10">
                  <c:v>10.035160000000001</c:v>
                </c:pt>
              </c:numCache>
            </c:numRef>
          </c:yVal>
          <c:smooth val="0"/>
          <c:extLst>
            <c:ext xmlns:c15="http://schemas.microsoft.com/office/drawing/2012/chart" uri="{02D57815-91ED-43cb-92C2-25804820EDAC}">
              <c15:datalabelsRange>
                <c15:f>'Cross-Sector US'!$BI$2:$BI$12</c15:f>
                <c15:dlblRangeCache>
                  <c:ptCount val="11"/>
                  <c:pt idx="0">
                    <c:v>Automotive</c:v>
                  </c:pt>
                  <c:pt idx="1">
                    <c:v>BFSI</c:v>
                  </c:pt>
                  <c:pt idx="2">
                    <c:v>Defence</c:v>
                  </c:pt>
                  <c:pt idx="3">
                    <c:v>Energy</c:v>
                  </c:pt>
                  <c:pt idx="4">
                    <c:v>FMCG &amp; Retail</c:v>
                  </c:pt>
                  <c:pt idx="5">
                    <c:v>Infrastructure</c:v>
                  </c:pt>
                  <c:pt idx="6">
                    <c:v>IT</c:v>
                  </c:pt>
                  <c:pt idx="7">
                    <c:v>Minerals</c:v>
                  </c:pt>
                  <c:pt idx="8">
                    <c:v>Oil &amp; Gas</c:v>
                  </c:pt>
                  <c:pt idx="9">
                    <c:v>Pharma</c:v>
                  </c:pt>
                  <c:pt idx="10">
                    <c:v>Telecom</c:v>
                  </c:pt>
                </c15:dlblRangeCache>
              </c15:datalabelsRange>
            </c:ext>
            <c:ext xmlns:c16="http://schemas.microsoft.com/office/drawing/2014/chart" uri="{C3380CC4-5D6E-409C-BE32-E72D297353CC}">
              <c16:uniqueId val="{00000001-1353-454C-8472-3273E80F7C3C}"/>
            </c:ext>
          </c:extLst>
        </c:ser>
        <c:ser>
          <c:idx val="2"/>
          <c:order val="2"/>
          <c:tx>
            <c:v>Q1</c:v>
          </c:tx>
          <c:spPr>
            <a:ln w="19050" cap="rnd">
              <a:solidFill>
                <a:schemeClr val="tx1"/>
              </a:solidFill>
              <a:round/>
            </a:ln>
            <a:effectLst/>
          </c:spPr>
          <c:marker>
            <c:symbol val="circle"/>
            <c:size val="5"/>
            <c:spPr>
              <a:solidFill>
                <a:schemeClr val="accent3"/>
              </a:solidFill>
              <a:ln w="9525">
                <a:solidFill>
                  <a:schemeClr val="accent3"/>
                </a:solidFill>
              </a:ln>
              <a:effectLst/>
            </c:spPr>
          </c:marker>
          <c:dLbls>
            <c:delete val="1"/>
          </c:dLbls>
          <c:xVal>
            <c:numRef>
              <c:f>'Cross-Sector US'!$BU$5:$BU$6</c:f>
              <c:numCache>
                <c:formatCode>_(* #,##0.00_);_(* \(#,##0.00\);_(* "-"??_);_(@_)</c:formatCode>
                <c:ptCount val="2"/>
                <c:pt idx="0">
                  <c:v>0.50547538798501124</c:v>
                </c:pt>
                <c:pt idx="1">
                  <c:v>0.50547538798501124</c:v>
                </c:pt>
              </c:numCache>
            </c:numRef>
          </c:xVal>
          <c:yVal>
            <c:numRef>
              <c:f>'Cross-Sector US'!$BV$5:$BV$6</c:f>
              <c:numCache>
                <c:formatCode>_(* #,##0.00_);_(* \(#,##0.00\);_(* "-"??_);_(@_)</c:formatCode>
                <c:ptCount val="2"/>
                <c:pt idx="0" formatCode="General">
                  <c:v>0</c:v>
                </c:pt>
                <c:pt idx="1">
                  <c:v>140</c:v>
                </c:pt>
              </c:numCache>
            </c:numRef>
          </c:yVal>
          <c:smooth val="0"/>
          <c:extLst>
            <c:ext xmlns:c16="http://schemas.microsoft.com/office/drawing/2014/chart" uri="{C3380CC4-5D6E-409C-BE32-E72D297353CC}">
              <c16:uniqueId val="{0000001C-1353-454C-8472-3273E80F7C3C}"/>
            </c:ext>
          </c:extLst>
        </c:ser>
        <c:ser>
          <c:idx val="3"/>
          <c:order val="3"/>
          <c:tx>
            <c:v>Q2</c:v>
          </c:tx>
          <c:spPr>
            <a:ln w="19050" cap="rnd">
              <a:solidFill>
                <a:schemeClr val="tx1"/>
              </a:solidFill>
              <a:round/>
            </a:ln>
            <a:effectLst/>
          </c:spPr>
          <c:marker>
            <c:symbol val="circle"/>
            <c:size val="5"/>
            <c:spPr>
              <a:solidFill>
                <a:schemeClr val="accent4"/>
              </a:solidFill>
              <a:ln w="9525">
                <a:solidFill>
                  <a:schemeClr val="tx1">
                    <a:lumMod val="50000"/>
                    <a:lumOff val="50000"/>
                  </a:schemeClr>
                </a:solidFill>
              </a:ln>
              <a:effectLst/>
            </c:spPr>
          </c:marker>
          <c:dLbls>
            <c:delete val="1"/>
          </c:dLbls>
          <c:xVal>
            <c:numRef>
              <c:f>'Cross-Sector US'!$BU$9:$BU$10</c:f>
              <c:numCache>
                <c:formatCode>_(* #,##0.00_);_(* \(#,##0.00\);_(* "-"??_);_(@_)</c:formatCode>
                <c:ptCount val="2"/>
                <c:pt idx="0" formatCode="General">
                  <c:v>0</c:v>
                </c:pt>
                <c:pt idx="1">
                  <c:v>2.5</c:v>
                </c:pt>
              </c:numCache>
            </c:numRef>
          </c:xVal>
          <c:yVal>
            <c:numRef>
              <c:f>'Cross-Sector US'!$BV$9:$BV$10</c:f>
              <c:numCache>
                <c:formatCode>_(* #,##0.00_);_(* \(#,##0.00\);_(* "-"??_);_(@_)</c:formatCode>
                <c:ptCount val="2"/>
                <c:pt idx="0">
                  <c:v>24.980118679311545</c:v>
                </c:pt>
                <c:pt idx="1">
                  <c:v>24.980118679311545</c:v>
                </c:pt>
              </c:numCache>
            </c:numRef>
          </c:yVal>
          <c:smooth val="0"/>
          <c:extLst>
            <c:ext xmlns:c16="http://schemas.microsoft.com/office/drawing/2014/chart" uri="{C3380CC4-5D6E-409C-BE32-E72D297353CC}">
              <c16:uniqueId val="{0000001D-1353-454C-8472-3273E80F7C3C}"/>
            </c:ext>
          </c:extLst>
        </c:ser>
        <c:dLbls>
          <c:showLegendKey val="0"/>
          <c:showVal val="1"/>
          <c:showCatName val="0"/>
          <c:showSerName val="0"/>
          <c:showPercent val="0"/>
          <c:showBubbleSize val="0"/>
        </c:dLbls>
        <c:axId val="976476272"/>
        <c:axId val="976480592"/>
      </c:scatterChart>
      <c:valAx>
        <c:axId val="976476272"/>
        <c:scaling>
          <c:orientation val="minMax"/>
          <c:max val="2.5"/>
        </c:scaling>
        <c:delete val="0"/>
        <c:axPos val="b"/>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80592"/>
        <c:crosses val="autoZero"/>
        <c:crossBetween val="midCat"/>
      </c:valAx>
      <c:valAx>
        <c:axId val="976480592"/>
        <c:scaling>
          <c:orientation val="minMax"/>
          <c:max val="140"/>
        </c:scaling>
        <c:delete val="0"/>
        <c:axPos val="l"/>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76272"/>
        <c:crossesAt val="0"/>
        <c:crossBetween val="midCat"/>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29</xdr:col>
      <xdr:colOff>490751</xdr:colOff>
      <xdr:row>15</xdr:row>
      <xdr:rowOff>146767</xdr:rowOff>
    </xdr:from>
    <xdr:to>
      <xdr:col>40</xdr:col>
      <xdr:colOff>259772</xdr:colOff>
      <xdr:row>38</xdr:row>
      <xdr:rowOff>164523</xdr:rowOff>
    </xdr:to>
    <xdr:graphicFrame macro="">
      <xdr:nvGraphicFramePr>
        <xdr:cNvPr id="5" name="Chart 4">
          <a:extLst>
            <a:ext uri="{FF2B5EF4-FFF2-40B4-BE49-F238E27FC236}">
              <a16:creationId xmlns:a16="http://schemas.microsoft.com/office/drawing/2014/main" id="{3AEBCF7A-D69C-48F3-4404-D3CFB8760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340634</xdr:colOff>
      <xdr:row>16</xdr:row>
      <xdr:rowOff>31977</xdr:rowOff>
    </xdr:from>
    <xdr:to>
      <xdr:col>65</xdr:col>
      <xdr:colOff>417287</xdr:colOff>
      <xdr:row>39</xdr:row>
      <xdr:rowOff>53192</xdr:rowOff>
    </xdr:to>
    <xdr:graphicFrame macro="">
      <xdr:nvGraphicFramePr>
        <xdr:cNvPr id="2" name="Chart 1">
          <a:extLst>
            <a:ext uri="{FF2B5EF4-FFF2-40B4-BE49-F238E27FC236}">
              <a16:creationId xmlns:a16="http://schemas.microsoft.com/office/drawing/2014/main" id="{991DF2D0-D6B8-55F5-C07F-A8A7F9C72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294408</xdr:colOff>
      <xdr:row>21</xdr:row>
      <xdr:rowOff>8660</xdr:rowOff>
    </xdr:from>
    <xdr:to>
      <xdr:col>65</xdr:col>
      <xdr:colOff>95249</xdr:colOff>
      <xdr:row>22</xdr:row>
      <xdr:rowOff>162099</xdr:rowOff>
    </xdr:to>
    <xdr:sp macro="" textlink="">
      <xdr:nvSpPr>
        <xdr:cNvPr id="3" name="Text Box 28">
          <a:extLst>
            <a:ext uri="{FF2B5EF4-FFF2-40B4-BE49-F238E27FC236}">
              <a16:creationId xmlns:a16="http://schemas.microsoft.com/office/drawing/2014/main" id="{E0DF5DD4-EB1B-C745-A365-B3F7A27E6F8E}"/>
            </a:ext>
          </a:extLst>
        </xdr:cNvPr>
        <xdr:cNvSpPr txBox="1"/>
      </xdr:nvSpPr>
      <xdr:spPr>
        <a:xfrm>
          <a:off x="45512181" y="7239001"/>
          <a:ext cx="1705841" cy="335280"/>
        </a:xfrm>
        <a:prstGeom prst="rect">
          <a:avLst/>
        </a:prstGeom>
        <a:noFill/>
        <a:ln w="6350">
          <a:noFill/>
        </a:ln>
      </xdr:spPr>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15000"/>
            </a:lnSpc>
            <a:spcAft>
              <a:spcPts val="800"/>
            </a:spcAft>
            <a:buNone/>
          </a:pPr>
          <a:r>
            <a:rPr lang="en-IN" sz="1200" b="1"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rPr>
            <a:t>High ROCE-High PE</a:t>
          </a:r>
          <a:endParaRPr lang="en-IN" sz="1200"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0.60287</cdr:x>
      <cdr:y>0.31591</cdr:y>
    </cdr:from>
    <cdr:to>
      <cdr:x>0.81463</cdr:x>
      <cdr:y>0.39242</cdr:y>
    </cdr:to>
    <cdr:sp macro="" textlink="">
      <cdr:nvSpPr>
        <cdr:cNvPr id="2" name="Text Box 28">
          <a:extLst xmlns:a="http://schemas.openxmlformats.org/drawingml/2006/main">
            <a:ext uri="{FF2B5EF4-FFF2-40B4-BE49-F238E27FC236}">
              <a16:creationId xmlns:a16="http://schemas.microsoft.com/office/drawing/2014/main" id="{E0DF5DD4-EB1B-C745-A365-B3F7A27E6F8E}"/>
            </a:ext>
          </a:extLst>
        </cdr:cNvPr>
        <cdr:cNvSpPr txBox="1"/>
      </cdr:nvSpPr>
      <cdr:spPr>
        <a:xfrm xmlns:a="http://schemas.openxmlformats.org/drawingml/2006/main">
          <a:off x="4856595" y="1384300"/>
          <a:ext cx="1705841" cy="335280"/>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lnSpc>
              <a:spcPct val="115000"/>
            </a:lnSpc>
            <a:spcAft>
              <a:spcPts val="800"/>
            </a:spcAft>
            <a:buNone/>
          </a:pPr>
          <a:r>
            <a:rPr lang="en-IN" sz="1200" b="1" kern="100">
              <a:effectLst/>
              <a:latin typeface="Aptos" panose="020B0004020202020204" pitchFamily="34" charset="0"/>
              <a:ea typeface="Times New Roman" panose="02020603050405020304" pitchFamily="18" charset="0"/>
              <a:cs typeface="Mangal" panose="02040503050203030202" pitchFamily="18" charset="0"/>
            </a:rPr>
            <a:t>High ROCE-High PE</a:t>
          </a:r>
          <a:endParaRPr lang="en-IN" sz="1200" kern="100">
            <a:effectLst/>
            <a:latin typeface="Aptos" panose="020B0004020202020204" pitchFamily="34" charset="0"/>
            <a:ea typeface="Times New Roman" panose="02020603050405020304" pitchFamily="18" charset="0"/>
            <a:cs typeface="Mangal" panose="02040503050203030202" pitchFamily="18" charset="0"/>
          </a:endParaRPr>
        </a:p>
      </cdr:txBody>
    </cdr:sp>
  </cdr:relSizeAnchor>
  <cdr:relSizeAnchor xmlns:cdr="http://schemas.openxmlformats.org/drawingml/2006/chartDrawing">
    <cdr:from>
      <cdr:x>0.04715</cdr:x>
      <cdr:y>0.39249</cdr:y>
    </cdr:from>
    <cdr:to>
      <cdr:x>0.24543</cdr:x>
      <cdr:y>0.469</cdr:y>
    </cdr:to>
    <cdr:sp macro="" textlink="">
      <cdr:nvSpPr>
        <cdr:cNvPr id="3" name="Text Box 28">
          <a:extLst xmlns:a="http://schemas.openxmlformats.org/drawingml/2006/main">
            <a:ext uri="{FF2B5EF4-FFF2-40B4-BE49-F238E27FC236}">
              <a16:creationId xmlns:a16="http://schemas.microsoft.com/office/drawing/2014/main" id="{E8EF13F6-313F-A6FB-32E9-FC194AA48197}"/>
            </a:ext>
          </a:extLst>
        </cdr:cNvPr>
        <cdr:cNvSpPr txBox="1"/>
      </cdr:nvSpPr>
      <cdr:spPr>
        <a:xfrm xmlns:a="http://schemas.openxmlformats.org/drawingml/2006/main">
          <a:off x="380345" y="1747041"/>
          <a:ext cx="1599353" cy="340580"/>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lnSpc>
              <a:spcPct val="115000"/>
            </a:lnSpc>
            <a:spcAft>
              <a:spcPts val="800"/>
            </a:spcAft>
            <a:buNone/>
          </a:pPr>
          <a:r>
            <a:rPr lang="en-IN" sz="1000" b="1"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rPr>
            <a:t>High ROCE-Low PE</a:t>
          </a:r>
          <a:endParaRPr lang="en-IN" sz="1000"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endParaRPr>
        </a:p>
      </cdr:txBody>
    </cdr:sp>
  </cdr:relSizeAnchor>
  <cdr:relSizeAnchor xmlns:cdr="http://schemas.openxmlformats.org/drawingml/2006/chartDrawing">
    <cdr:from>
      <cdr:x>0.56955</cdr:x>
      <cdr:y>0.82772</cdr:y>
    </cdr:from>
    <cdr:to>
      <cdr:x>0.79341</cdr:x>
      <cdr:y>0.90423</cdr:y>
    </cdr:to>
    <cdr:sp macro="" textlink="">
      <cdr:nvSpPr>
        <cdr:cNvPr id="4" name="Text Box 28">
          <a:extLst xmlns:a="http://schemas.openxmlformats.org/drawingml/2006/main">
            <a:ext uri="{FF2B5EF4-FFF2-40B4-BE49-F238E27FC236}">
              <a16:creationId xmlns:a16="http://schemas.microsoft.com/office/drawing/2014/main" id="{7B6DAF82-CE6C-FA76-10C7-D949568E34E4}"/>
            </a:ext>
          </a:extLst>
        </cdr:cNvPr>
        <cdr:cNvSpPr txBox="1"/>
      </cdr:nvSpPr>
      <cdr:spPr>
        <a:xfrm xmlns:a="http://schemas.openxmlformats.org/drawingml/2006/main">
          <a:off x="4588164" y="3627005"/>
          <a:ext cx="1803342" cy="335280"/>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lnSpc>
              <a:spcPct val="115000"/>
            </a:lnSpc>
            <a:spcAft>
              <a:spcPts val="800"/>
            </a:spcAft>
            <a:buNone/>
          </a:pPr>
          <a:r>
            <a:rPr lang="en-IN" sz="1100" b="1" kern="100">
              <a:effectLst/>
              <a:latin typeface="Aptos" panose="020B0004020202020204" pitchFamily="34" charset="0"/>
              <a:ea typeface="Times New Roman" panose="02020603050405020304" pitchFamily="18" charset="0"/>
              <a:cs typeface="Mangal" panose="02040503050203030202" pitchFamily="18" charset="0"/>
            </a:rPr>
            <a:t>Low ROCE-High PE</a:t>
          </a:r>
          <a:endParaRPr lang="en-IN" sz="1100" kern="100">
            <a:effectLst/>
            <a:latin typeface="Aptos" panose="020B0004020202020204" pitchFamily="34" charset="0"/>
            <a:ea typeface="Times New Roman" panose="02020603050405020304" pitchFamily="18" charset="0"/>
            <a:cs typeface="Mangal" panose="02040503050203030202" pitchFamily="18" charset="0"/>
          </a:endParaRPr>
        </a:p>
      </cdr:txBody>
    </cdr:sp>
  </cdr:relSizeAnchor>
  <cdr:relSizeAnchor xmlns:cdr="http://schemas.openxmlformats.org/drawingml/2006/chartDrawing">
    <cdr:from>
      <cdr:x>0.03893</cdr:x>
      <cdr:y>0.90024</cdr:y>
    </cdr:from>
    <cdr:to>
      <cdr:x>0.21714</cdr:x>
      <cdr:y>0.97676</cdr:y>
    </cdr:to>
    <cdr:sp macro="" textlink="">
      <cdr:nvSpPr>
        <cdr:cNvPr id="5" name="Text Box 28">
          <a:extLst xmlns:a="http://schemas.openxmlformats.org/drawingml/2006/main">
            <a:ext uri="{FF2B5EF4-FFF2-40B4-BE49-F238E27FC236}">
              <a16:creationId xmlns:a16="http://schemas.microsoft.com/office/drawing/2014/main" id="{4741C5A4-4C59-363B-80CF-024F817CDAD1}"/>
            </a:ext>
          </a:extLst>
        </cdr:cNvPr>
        <cdr:cNvSpPr txBox="1"/>
      </cdr:nvSpPr>
      <cdr:spPr>
        <a:xfrm xmlns:a="http://schemas.openxmlformats.org/drawingml/2006/main">
          <a:off x="314051" y="3980698"/>
          <a:ext cx="1437656" cy="338331"/>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lnSpc>
              <a:spcPct val="115000"/>
            </a:lnSpc>
            <a:spcAft>
              <a:spcPts val="800"/>
            </a:spcAft>
            <a:buNone/>
          </a:pPr>
          <a:r>
            <a:rPr lang="en-IN" sz="900" b="1"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rPr>
            <a:t>Low ROCE-Low PE</a:t>
          </a:r>
          <a:endParaRPr lang="en-IN" sz="900"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0.46775</cdr:x>
      <cdr:y>0.83074</cdr:y>
    </cdr:from>
    <cdr:to>
      <cdr:x>0.68933</cdr:x>
      <cdr:y>0.9072</cdr:y>
    </cdr:to>
    <cdr:sp macro="" textlink="">
      <cdr:nvSpPr>
        <cdr:cNvPr id="2" name="Text Box 28">
          <a:extLst xmlns:a="http://schemas.openxmlformats.org/drawingml/2006/main">
            <a:ext uri="{FF2B5EF4-FFF2-40B4-BE49-F238E27FC236}">
              <a16:creationId xmlns:a16="http://schemas.microsoft.com/office/drawing/2014/main" id="{90139822-881A-4378-77E5-2B7B105C4E9A}"/>
            </a:ext>
          </a:extLst>
        </cdr:cNvPr>
        <cdr:cNvSpPr txBox="1"/>
      </cdr:nvSpPr>
      <cdr:spPr>
        <a:xfrm xmlns:a="http://schemas.openxmlformats.org/drawingml/2006/main">
          <a:off x="3806882" y="3643139"/>
          <a:ext cx="1803342" cy="335280"/>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p xmlns:a="http://schemas.openxmlformats.org/drawingml/2006/main">
          <a:pPr algn="ctr">
            <a:lnSpc>
              <a:spcPct val="115000"/>
            </a:lnSpc>
            <a:spcAft>
              <a:spcPts val="800"/>
            </a:spcAft>
            <a:buNone/>
          </a:pPr>
          <a:r>
            <a:rPr lang="en-IN" sz="1200" b="1"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rPr>
            <a:t>Low ROCE-High PE</a:t>
          </a:r>
          <a:endParaRPr lang="en-IN" sz="1200"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endParaRPr>
        </a:p>
      </cdr:txBody>
    </cdr:sp>
  </cdr:relSizeAnchor>
  <cdr:relSizeAnchor xmlns:cdr="http://schemas.openxmlformats.org/drawingml/2006/chartDrawing">
    <cdr:from>
      <cdr:x>0.06171</cdr:x>
      <cdr:y>0.90807</cdr:y>
    </cdr:from>
    <cdr:to>
      <cdr:x>0.25797</cdr:x>
      <cdr:y>0.98453</cdr:y>
    </cdr:to>
    <cdr:sp macro="" textlink="">
      <cdr:nvSpPr>
        <cdr:cNvPr id="3" name="Text Box 28">
          <a:extLst xmlns:a="http://schemas.openxmlformats.org/drawingml/2006/main">
            <a:ext uri="{FF2B5EF4-FFF2-40B4-BE49-F238E27FC236}">
              <a16:creationId xmlns:a16="http://schemas.microsoft.com/office/drawing/2014/main" id="{BF360B13-40A4-2231-8A72-30DEB3A11428}"/>
            </a:ext>
          </a:extLst>
        </cdr:cNvPr>
        <cdr:cNvSpPr txBox="1"/>
      </cdr:nvSpPr>
      <cdr:spPr>
        <a:xfrm xmlns:a="http://schemas.openxmlformats.org/drawingml/2006/main">
          <a:off x="505768" y="3910372"/>
          <a:ext cx="1608422" cy="329227"/>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p xmlns:a="http://schemas.openxmlformats.org/drawingml/2006/main">
          <a:pPr algn="ctr">
            <a:lnSpc>
              <a:spcPct val="115000"/>
            </a:lnSpc>
            <a:spcAft>
              <a:spcPts val="800"/>
            </a:spcAft>
            <a:buNone/>
          </a:pPr>
          <a:r>
            <a:rPr lang="en-IN" sz="1050" b="1"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rPr>
            <a:t>Low ROCE-Low PE</a:t>
          </a:r>
          <a:endParaRPr lang="en-IN" sz="1050"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endParaRPr>
        </a:p>
      </cdr:txBody>
    </cdr:sp>
  </cdr:relSizeAnchor>
  <cdr:relSizeAnchor xmlns:cdr="http://schemas.openxmlformats.org/drawingml/2006/chartDrawing">
    <cdr:from>
      <cdr:x>0.05838</cdr:x>
      <cdr:y>0.33343</cdr:y>
    </cdr:from>
    <cdr:to>
      <cdr:x>0.25463</cdr:x>
      <cdr:y>0.40989</cdr:y>
    </cdr:to>
    <cdr:sp macro="" textlink="">
      <cdr:nvSpPr>
        <cdr:cNvPr id="4" name="Text Box 28">
          <a:extLst xmlns:a="http://schemas.openxmlformats.org/drawingml/2006/main">
            <a:ext uri="{FF2B5EF4-FFF2-40B4-BE49-F238E27FC236}">
              <a16:creationId xmlns:a16="http://schemas.microsoft.com/office/drawing/2014/main" id="{C692EEA7-9F04-62E3-A6FE-51A6EB7EC947}"/>
            </a:ext>
          </a:extLst>
        </cdr:cNvPr>
        <cdr:cNvSpPr txBox="1"/>
      </cdr:nvSpPr>
      <cdr:spPr>
        <a:xfrm xmlns:a="http://schemas.openxmlformats.org/drawingml/2006/main">
          <a:off x="475096" y="1462231"/>
          <a:ext cx="1597255" cy="335280"/>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lnSpc>
              <a:spcPct val="115000"/>
            </a:lnSpc>
            <a:spcAft>
              <a:spcPts val="800"/>
            </a:spcAft>
            <a:buNone/>
          </a:pPr>
          <a:r>
            <a:rPr lang="en-IN" sz="1200" b="1"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rPr>
            <a:t>High ROCE-Low PE</a:t>
          </a:r>
          <a:endParaRPr lang="en-IN" sz="1200" kern="100">
            <a:solidFill>
              <a:schemeClr val="bg1">
                <a:lumMod val="50000"/>
              </a:schemeClr>
            </a:solidFill>
            <a:effectLst/>
            <a:latin typeface="Aptos" panose="020B0004020202020204" pitchFamily="34" charset="0"/>
            <a:ea typeface="Times New Roman" panose="02020603050405020304" pitchFamily="18" charset="0"/>
            <a:cs typeface="Mangal" panose="02040503050203030202" pitchFamily="18"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44</xdr:col>
      <xdr:colOff>350520</xdr:colOff>
      <xdr:row>1</xdr:row>
      <xdr:rowOff>76200</xdr:rowOff>
    </xdr:from>
    <xdr:to>
      <xdr:col>44</xdr:col>
      <xdr:colOff>556260</xdr:colOff>
      <xdr:row>1</xdr:row>
      <xdr:rowOff>274320</xdr:rowOff>
    </xdr:to>
    <xdr:sp macro="" textlink="">
      <xdr:nvSpPr>
        <xdr:cNvPr id="2" name="Isosceles Triangle 1">
          <a:extLst>
            <a:ext uri="{FF2B5EF4-FFF2-40B4-BE49-F238E27FC236}">
              <a16:creationId xmlns:a16="http://schemas.microsoft.com/office/drawing/2014/main" id="{D0F84D78-044A-2777-E0A0-63F64FC90F8B}"/>
            </a:ext>
          </a:extLst>
        </xdr:cNvPr>
        <xdr:cNvSpPr/>
      </xdr:nvSpPr>
      <xdr:spPr>
        <a:xfrm>
          <a:off x="35379660" y="259080"/>
          <a:ext cx="205740" cy="19812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1</xdr:row>
      <xdr:rowOff>76200</xdr:rowOff>
    </xdr:from>
    <xdr:to>
      <xdr:col>45</xdr:col>
      <xdr:colOff>502920</xdr:colOff>
      <xdr:row>1</xdr:row>
      <xdr:rowOff>274320</xdr:rowOff>
    </xdr:to>
    <xdr:sp macro="" textlink="">
      <xdr:nvSpPr>
        <xdr:cNvPr id="5" name="Isosceles Triangle 4">
          <a:extLst>
            <a:ext uri="{FF2B5EF4-FFF2-40B4-BE49-F238E27FC236}">
              <a16:creationId xmlns:a16="http://schemas.microsoft.com/office/drawing/2014/main" id="{BD0CECE1-5787-4CEF-93AD-4DFE4AEC17C7}"/>
            </a:ext>
          </a:extLst>
        </xdr:cNvPr>
        <xdr:cNvSpPr/>
      </xdr:nvSpPr>
      <xdr:spPr>
        <a:xfrm>
          <a:off x="36377880" y="259080"/>
          <a:ext cx="205740" cy="19812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350520</xdr:colOff>
      <xdr:row>2</xdr:row>
      <xdr:rowOff>76200</xdr:rowOff>
    </xdr:from>
    <xdr:to>
      <xdr:col>44</xdr:col>
      <xdr:colOff>556260</xdr:colOff>
      <xdr:row>2</xdr:row>
      <xdr:rowOff>274320</xdr:rowOff>
    </xdr:to>
    <xdr:sp macro="" textlink="">
      <xdr:nvSpPr>
        <xdr:cNvPr id="6" name="Isosceles Triangle 5">
          <a:extLst>
            <a:ext uri="{FF2B5EF4-FFF2-40B4-BE49-F238E27FC236}">
              <a16:creationId xmlns:a16="http://schemas.microsoft.com/office/drawing/2014/main" id="{3077385F-8116-4FB3-81C8-BD3F588E13A4}"/>
            </a:ext>
          </a:extLst>
        </xdr:cNvPr>
        <xdr:cNvSpPr/>
      </xdr:nvSpPr>
      <xdr:spPr>
        <a:xfrm>
          <a:off x="35379660" y="624840"/>
          <a:ext cx="205740" cy="198120"/>
        </a:xfrm>
        <a:prstGeom prst="triangl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2</xdr:row>
      <xdr:rowOff>76200</xdr:rowOff>
    </xdr:from>
    <xdr:to>
      <xdr:col>45</xdr:col>
      <xdr:colOff>502920</xdr:colOff>
      <xdr:row>2</xdr:row>
      <xdr:rowOff>274320</xdr:rowOff>
    </xdr:to>
    <xdr:sp macro="" textlink="">
      <xdr:nvSpPr>
        <xdr:cNvPr id="7" name="Isosceles Triangle 6">
          <a:extLst>
            <a:ext uri="{FF2B5EF4-FFF2-40B4-BE49-F238E27FC236}">
              <a16:creationId xmlns:a16="http://schemas.microsoft.com/office/drawing/2014/main" id="{779FF406-F5AF-4AE8-B7BA-CF0183FEF858}"/>
            </a:ext>
          </a:extLst>
        </xdr:cNvPr>
        <xdr:cNvSpPr/>
      </xdr:nvSpPr>
      <xdr:spPr>
        <a:xfrm>
          <a:off x="36377880" y="624840"/>
          <a:ext cx="205740" cy="198120"/>
        </a:xfrm>
        <a:prstGeom prst="triangl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350520</xdr:colOff>
      <xdr:row>4</xdr:row>
      <xdr:rowOff>76200</xdr:rowOff>
    </xdr:from>
    <xdr:to>
      <xdr:col>44</xdr:col>
      <xdr:colOff>556260</xdr:colOff>
      <xdr:row>4</xdr:row>
      <xdr:rowOff>220980</xdr:rowOff>
    </xdr:to>
    <xdr:sp macro="" textlink="">
      <xdr:nvSpPr>
        <xdr:cNvPr id="8" name="Isosceles Triangle 7">
          <a:extLst>
            <a:ext uri="{FF2B5EF4-FFF2-40B4-BE49-F238E27FC236}">
              <a16:creationId xmlns:a16="http://schemas.microsoft.com/office/drawing/2014/main" id="{60BDCB56-F7A5-42B6-A65B-CE58B84E8654}"/>
            </a:ext>
          </a:extLst>
        </xdr:cNvPr>
        <xdr:cNvSpPr/>
      </xdr:nvSpPr>
      <xdr:spPr>
        <a:xfrm>
          <a:off x="35379660" y="1173480"/>
          <a:ext cx="205740" cy="14478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350520</xdr:colOff>
      <xdr:row>5</xdr:row>
      <xdr:rowOff>76200</xdr:rowOff>
    </xdr:from>
    <xdr:to>
      <xdr:col>44</xdr:col>
      <xdr:colOff>556260</xdr:colOff>
      <xdr:row>5</xdr:row>
      <xdr:rowOff>274320</xdr:rowOff>
    </xdr:to>
    <xdr:sp macro="" textlink="">
      <xdr:nvSpPr>
        <xdr:cNvPr id="10" name="Isosceles Triangle 9">
          <a:extLst>
            <a:ext uri="{FF2B5EF4-FFF2-40B4-BE49-F238E27FC236}">
              <a16:creationId xmlns:a16="http://schemas.microsoft.com/office/drawing/2014/main" id="{F2257DF8-DD4E-4822-B903-BE296DCD879C}"/>
            </a:ext>
          </a:extLst>
        </xdr:cNvPr>
        <xdr:cNvSpPr/>
      </xdr:nvSpPr>
      <xdr:spPr>
        <a:xfrm>
          <a:off x="35379660" y="1455420"/>
          <a:ext cx="205740" cy="198120"/>
        </a:xfrm>
        <a:prstGeom prst="triangl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5</xdr:row>
      <xdr:rowOff>76200</xdr:rowOff>
    </xdr:from>
    <xdr:to>
      <xdr:col>45</xdr:col>
      <xdr:colOff>502920</xdr:colOff>
      <xdr:row>5</xdr:row>
      <xdr:rowOff>274320</xdr:rowOff>
    </xdr:to>
    <xdr:sp macro="" textlink="">
      <xdr:nvSpPr>
        <xdr:cNvPr id="11" name="Isosceles Triangle 10">
          <a:extLst>
            <a:ext uri="{FF2B5EF4-FFF2-40B4-BE49-F238E27FC236}">
              <a16:creationId xmlns:a16="http://schemas.microsoft.com/office/drawing/2014/main" id="{D61A3948-6D5B-4F8F-B952-52D1BAC905CD}"/>
            </a:ext>
          </a:extLst>
        </xdr:cNvPr>
        <xdr:cNvSpPr/>
      </xdr:nvSpPr>
      <xdr:spPr>
        <a:xfrm>
          <a:off x="36377880" y="1455420"/>
          <a:ext cx="205740" cy="198120"/>
        </a:xfrm>
        <a:prstGeom prst="triangl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4</xdr:row>
      <xdr:rowOff>83820</xdr:rowOff>
    </xdr:from>
    <xdr:to>
      <xdr:col>45</xdr:col>
      <xdr:colOff>502920</xdr:colOff>
      <xdr:row>4</xdr:row>
      <xdr:rowOff>228600</xdr:rowOff>
    </xdr:to>
    <xdr:sp macro="" textlink="">
      <xdr:nvSpPr>
        <xdr:cNvPr id="12" name="Isosceles Triangle 11">
          <a:extLst>
            <a:ext uri="{FF2B5EF4-FFF2-40B4-BE49-F238E27FC236}">
              <a16:creationId xmlns:a16="http://schemas.microsoft.com/office/drawing/2014/main" id="{AC836B3E-A923-41B7-913A-0CBBA51456C4}"/>
            </a:ext>
          </a:extLst>
        </xdr:cNvPr>
        <xdr:cNvSpPr/>
      </xdr:nvSpPr>
      <xdr:spPr>
        <a:xfrm>
          <a:off x="36377880" y="1181100"/>
          <a:ext cx="205740" cy="14478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6</xdr:row>
      <xdr:rowOff>76200</xdr:rowOff>
    </xdr:from>
    <xdr:to>
      <xdr:col>45</xdr:col>
      <xdr:colOff>502920</xdr:colOff>
      <xdr:row>6</xdr:row>
      <xdr:rowOff>274320</xdr:rowOff>
    </xdr:to>
    <xdr:sp macro="" textlink="">
      <xdr:nvSpPr>
        <xdr:cNvPr id="14" name="Isosceles Triangle 13">
          <a:extLst>
            <a:ext uri="{FF2B5EF4-FFF2-40B4-BE49-F238E27FC236}">
              <a16:creationId xmlns:a16="http://schemas.microsoft.com/office/drawing/2014/main" id="{7DA53CEE-A142-4C3D-BBDE-ED6EA5833709}"/>
            </a:ext>
          </a:extLst>
        </xdr:cNvPr>
        <xdr:cNvSpPr/>
      </xdr:nvSpPr>
      <xdr:spPr>
        <a:xfrm>
          <a:off x="36377880" y="1821180"/>
          <a:ext cx="205740" cy="19812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350520</xdr:colOff>
      <xdr:row>7</xdr:row>
      <xdr:rowOff>76200</xdr:rowOff>
    </xdr:from>
    <xdr:to>
      <xdr:col>44</xdr:col>
      <xdr:colOff>556260</xdr:colOff>
      <xdr:row>7</xdr:row>
      <xdr:rowOff>274320</xdr:rowOff>
    </xdr:to>
    <xdr:sp macro="" textlink="">
      <xdr:nvSpPr>
        <xdr:cNvPr id="15" name="Isosceles Triangle 14">
          <a:extLst>
            <a:ext uri="{FF2B5EF4-FFF2-40B4-BE49-F238E27FC236}">
              <a16:creationId xmlns:a16="http://schemas.microsoft.com/office/drawing/2014/main" id="{E1BE4ED1-1C6E-4DA9-BA25-9B51F9ED6963}"/>
            </a:ext>
          </a:extLst>
        </xdr:cNvPr>
        <xdr:cNvSpPr/>
      </xdr:nvSpPr>
      <xdr:spPr>
        <a:xfrm rot="10800000">
          <a:off x="35379660" y="2186940"/>
          <a:ext cx="205740" cy="198120"/>
        </a:xfrm>
        <a:prstGeom prst="triangl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7</xdr:row>
      <xdr:rowOff>76200</xdr:rowOff>
    </xdr:from>
    <xdr:to>
      <xdr:col>45</xdr:col>
      <xdr:colOff>502920</xdr:colOff>
      <xdr:row>7</xdr:row>
      <xdr:rowOff>274320</xdr:rowOff>
    </xdr:to>
    <xdr:sp macro="" textlink="">
      <xdr:nvSpPr>
        <xdr:cNvPr id="16" name="Isosceles Triangle 15">
          <a:extLst>
            <a:ext uri="{FF2B5EF4-FFF2-40B4-BE49-F238E27FC236}">
              <a16:creationId xmlns:a16="http://schemas.microsoft.com/office/drawing/2014/main" id="{17824CB6-013C-4A31-B877-FF398007B414}"/>
            </a:ext>
          </a:extLst>
        </xdr:cNvPr>
        <xdr:cNvSpPr/>
      </xdr:nvSpPr>
      <xdr:spPr>
        <a:xfrm>
          <a:off x="36233100" y="1455420"/>
          <a:ext cx="205740" cy="198120"/>
        </a:xfrm>
        <a:prstGeom prst="triangl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7</xdr:row>
      <xdr:rowOff>76200</xdr:rowOff>
    </xdr:from>
    <xdr:to>
      <xdr:col>45</xdr:col>
      <xdr:colOff>502920</xdr:colOff>
      <xdr:row>7</xdr:row>
      <xdr:rowOff>274320</xdr:rowOff>
    </xdr:to>
    <xdr:sp macro="" textlink="">
      <xdr:nvSpPr>
        <xdr:cNvPr id="17" name="Isosceles Triangle 16">
          <a:extLst>
            <a:ext uri="{FF2B5EF4-FFF2-40B4-BE49-F238E27FC236}">
              <a16:creationId xmlns:a16="http://schemas.microsoft.com/office/drawing/2014/main" id="{47547F84-CB70-49C5-B331-0FEBF49F251C}"/>
            </a:ext>
          </a:extLst>
        </xdr:cNvPr>
        <xdr:cNvSpPr/>
      </xdr:nvSpPr>
      <xdr:spPr>
        <a:xfrm>
          <a:off x="36377880" y="2186940"/>
          <a:ext cx="205740" cy="19812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8</xdr:row>
      <xdr:rowOff>83820</xdr:rowOff>
    </xdr:from>
    <xdr:to>
      <xdr:col>45</xdr:col>
      <xdr:colOff>502920</xdr:colOff>
      <xdr:row>8</xdr:row>
      <xdr:rowOff>281940</xdr:rowOff>
    </xdr:to>
    <xdr:sp macro="" textlink="">
      <xdr:nvSpPr>
        <xdr:cNvPr id="18" name="Isosceles Triangle 17">
          <a:extLst>
            <a:ext uri="{FF2B5EF4-FFF2-40B4-BE49-F238E27FC236}">
              <a16:creationId xmlns:a16="http://schemas.microsoft.com/office/drawing/2014/main" id="{EA7510D3-15A9-4AE5-87A6-9398F6E41626}"/>
            </a:ext>
          </a:extLst>
        </xdr:cNvPr>
        <xdr:cNvSpPr/>
      </xdr:nvSpPr>
      <xdr:spPr>
        <a:xfrm rot="10800000">
          <a:off x="36377880" y="2506980"/>
          <a:ext cx="205740" cy="198120"/>
        </a:xfrm>
        <a:prstGeom prst="triangl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350520</xdr:colOff>
      <xdr:row>8</xdr:row>
      <xdr:rowOff>76200</xdr:rowOff>
    </xdr:from>
    <xdr:to>
      <xdr:col>44</xdr:col>
      <xdr:colOff>556260</xdr:colOff>
      <xdr:row>8</xdr:row>
      <xdr:rowOff>274320</xdr:rowOff>
    </xdr:to>
    <xdr:sp macro="" textlink="">
      <xdr:nvSpPr>
        <xdr:cNvPr id="19" name="Isosceles Triangle 18">
          <a:extLst>
            <a:ext uri="{FF2B5EF4-FFF2-40B4-BE49-F238E27FC236}">
              <a16:creationId xmlns:a16="http://schemas.microsoft.com/office/drawing/2014/main" id="{823B09D3-4125-43DC-9CD4-07C761043A95}"/>
            </a:ext>
          </a:extLst>
        </xdr:cNvPr>
        <xdr:cNvSpPr/>
      </xdr:nvSpPr>
      <xdr:spPr>
        <a:xfrm>
          <a:off x="35379660" y="2499360"/>
          <a:ext cx="205740" cy="19812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350520</xdr:colOff>
      <xdr:row>9</xdr:row>
      <xdr:rowOff>76200</xdr:rowOff>
    </xdr:from>
    <xdr:to>
      <xdr:col>44</xdr:col>
      <xdr:colOff>556260</xdr:colOff>
      <xdr:row>9</xdr:row>
      <xdr:rowOff>274320</xdr:rowOff>
    </xdr:to>
    <xdr:sp macro="" textlink="">
      <xdr:nvSpPr>
        <xdr:cNvPr id="20" name="Isosceles Triangle 19">
          <a:extLst>
            <a:ext uri="{FF2B5EF4-FFF2-40B4-BE49-F238E27FC236}">
              <a16:creationId xmlns:a16="http://schemas.microsoft.com/office/drawing/2014/main" id="{CF99888E-AB56-4FFC-AD57-383BDA4CE00C}"/>
            </a:ext>
          </a:extLst>
        </xdr:cNvPr>
        <xdr:cNvSpPr/>
      </xdr:nvSpPr>
      <xdr:spPr>
        <a:xfrm>
          <a:off x="35379660" y="2865120"/>
          <a:ext cx="205740" cy="198120"/>
        </a:xfrm>
        <a:prstGeom prst="triangl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297180</xdr:colOff>
      <xdr:row>9</xdr:row>
      <xdr:rowOff>76200</xdr:rowOff>
    </xdr:from>
    <xdr:to>
      <xdr:col>45</xdr:col>
      <xdr:colOff>502920</xdr:colOff>
      <xdr:row>9</xdr:row>
      <xdr:rowOff>274320</xdr:rowOff>
    </xdr:to>
    <xdr:sp macro="" textlink="">
      <xdr:nvSpPr>
        <xdr:cNvPr id="21" name="Isosceles Triangle 20">
          <a:extLst>
            <a:ext uri="{FF2B5EF4-FFF2-40B4-BE49-F238E27FC236}">
              <a16:creationId xmlns:a16="http://schemas.microsoft.com/office/drawing/2014/main" id="{F8A929E3-B7FB-4FF1-B08C-22B249481E8C}"/>
            </a:ext>
          </a:extLst>
        </xdr:cNvPr>
        <xdr:cNvSpPr/>
      </xdr:nvSpPr>
      <xdr:spPr>
        <a:xfrm>
          <a:off x="36377880" y="2865120"/>
          <a:ext cx="205740" cy="198120"/>
        </a:xfrm>
        <a:prstGeom prst="triangl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350520</xdr:colOff>
      <xdr:row>10</xdr:row>
      <xdr:rowOff>76200</xdr:rowOff>
    </xdr:from>
    <xdr:to>
      <xdr:col>44</xdr:col>
      <xdr:colOff>556260</xdr:colOff>
      <xdr:row>10</xdr:row>
      <xdr:rowOff>274320</xdr:rowOff>
    </xdr:to>
    <xdr:sp macro="" textlink="">
      <xdr:nvSpPr>
        <xdr:cNvPr id="22" name="Isosceles Triangle 21">
          <a:extLst>
            <a:ext uri="{FF2B5EF4-FFF2-40B4-BE49-F238E27FC236}">
              <a16:creationId xmlns:a16="http://schemas.microsoft.com/office/drawing/2014/main" id="{3A9D6320-4492-449B-9F92-CB864AE0A224}"/>
            </a:ext>
          </a:extLst>
        </xdr:cNvPr>
        <xdr:cNvSpPr/>
      </xdr:nvSpPr>
      <xdr:spPr>
        <a:xfrm>
          <a:off x="35379660" y="3230880"/>
          <a:ext cx="205740" cy="198120"/>
        </a:xfrm>
        <a:prstGeom prst="triangl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Music\NISM%20&amp;%20Future\Project\Fundamental%20Analysis\Fundamental%20Analysis-%20BFSI.xlsx" TargetMode="External"/><Relationship Id="rId1" Type="http://schemas.openxmlformats.org/officeDocument/2006/relationships/externalLinkPath" Target="/Music/NISM%20&amp;%20Future/Project/Fundamental%20Analysis/Fundamental%20Analysis-%20BFSI.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Music\NISM%20&amp;%20Future\Project\Fundamental%20Analysis\Fundamental%20Analysis-%20IT%20Sector.xlsx" TargetMode="External"/><Relationship Id="rId1" Type="http://schemas.openxmlformats.org/officeDocument/2006/relationships/externalLinkPath" Target="/Music/NISM%20&amp;%20Future/Project/Fundamental%20Analysis/Fundamental%20Analysis-%20IT%20Secto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Music\NISM%20&amp;%20Future\Project\Fundamental%20Analysis\Fundamental%20Analysis-Automobile%20sector.xlsx" TargetMode="External"/><Relationship Id="rId1" Type="http://schemas.openxmlformats.org/officeDocument/2006/relationships/externalLinkPath" Target="/Music/NISM%20&amp;%20Future/Project/Fundamental%20Analysis/Fundamental%20Analysis-Automobile%20secto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Music\NISM%20&amp;%20Future\Project\Fundamental%20Analysis\Fundamental%20Analysis-Defence.xlsx" TargetMode="External"/><Relationship Id="rId1" Type="http://schemas.openxmlformats.org/officeDocument/2006/relationships/externalLinkPath" Target="/Music/NISM%20&amp;%20Future/Project/Fundamental%20Analysis/Fundamental%20Analysis-Defence.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Music\NISM%20&amp;%20Future\Project\Fundamental%20Analysis\Fundamental%20Analysis-Energy%20Sector.xlsx" TargetMode="External"/><Relationship Id="rId1" Type="http://schemas.openxmlformats.org/officeDocument/2006/relationships/externalLinkPath" Target="/Music/NISM%20&amp;%20Future/Project/Fundamental%20Analysis/Fundamental%20Analysis-Energy%20Sector.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D:\Music\NISM%20&amp;%20Future\Project\Fundamental%20Analysis\Fundamental%20Analysis-FMCG%20&amp;%20Retail.xlsx" TargetMode="External"/><Relationship Id="rId1" Type="http://schemas.openxmlformats.org/officeDocument/2006/relationships/externalLinkPath" Target="/Music/NISM%20&amp;%20Future/Project/Fundamental%20Analysis/Fundamental%20Analysis-FMCG%20&amp;%20Retai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20BFSI.xlsx" TargetMode="External"/><Relationship Id="rId1" Type="http://schemas.openxmlformats.org/officeDocument/2006/relationships/externalLinkPath" Target="/Music/NISM%20&amp;%20Future/Fundamental%20Analysis%20Project-Flagship/Fundamental%20Analysis/Fundamental%20Analysis-%20BFSI.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FMCG%20&amp;%20Retail.xlsx" TargetMode="External"/><Relationship Id="rId1" Type="http://schemas.openxmlformats.org/officeDocument/2006/relationships/externalLinkPath" Target="/Music/NISM%20&amp;%20Future/Fundamental%20Analysis%20Project-Flagship/Fundamental%20Analysis/Fundamental%20Analysis-FMCG%20&amp;%20Retail.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Pharma.xlsx" TargetMode="External"/><Relationship Id="rId1" Type="http://schemas.openxmlformats.org/officeDocument/2006/relationships/externalLinkPath" Target="/Music/NISM%20&amp;%20Future/Fundamental%20Analysis%20Project-Flagship/Fundamental%20Analysis/Fundamental%20Analysis-Pharma.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20IT%20Sector.xlsx" TargetMode="External"/><Relationship Id="rId1" Type="http://schemas.openxmlformats.org/officeDocument/2006/relationships/externalLinkPath" Target="/Music/NISM%20&amp;%20Future/Fundamental%20Analysis%20Project-Flagship/Fundamental%20Analysis/Fundamental%20Analysis-%20IT%20Sector.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Automobile%20sector.xlsx" TargetMode="External"/><Relationship Id="rId1" Type="http://schemas.openxmlformats.org/officeDocument/2006/relationships/externalLinkPath" Target="/Music/NISM%20&amp;%20Future/Fundamental%20Analysis%20Project-Flagship/Fundamental%20Analysis/Fundamental%20Analysis-Automobile%20sector.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Energy%20Sector.xlsx" TargetMode="External"/><Relationship Id="rId1" Type="http://schemas.openxmlformats.org/officeDocument/2006/relationships/externalLinkPath" Target="/Music/NISM%20&amp;%20Future/Fundamental%20Analysis%20Project-Flagship/Fundamental%20Analysis/Fundamental%20Analysis-Energy%20Sector.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Telecom.xlsx" TargetMode="External"/><Relationship Id="rId1" Type="http://schemas.openxmlformats.org/officeDocument/2006/relationships/externalLinkPath" Target="/Music/NISM%20&amp;%20Future/Fundamental%20Analysis%20Project-Flagship/Fundamental%20Analysis/Fundamental%20Analysis-Telecom.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Defence.xlsx" TargetMode="External"/><Relationship Id="rId1" Type="http://schemas.openxmlformats.org/officeDocument/2006/relationships/externalLinkPath" Target="/Music/NISM%20&amp;%20Future/Fundamental%20Analysis%20Project-Flagship/Fundamental%20Analysis/Fundamental%20Analysis-Defenc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Sector%20Analysis\Financials.xlsx" TargetMode="External"/><Relationship Id="rId1" Type="http://schemas.openxmlformats.org/officeDocument/2006/relationships/externalLinkPath" Target="/Music/Job%20&amp;%20Future/Fundamental%20Analysis%20Project-Flagship/Sector%20Analysis/Financials.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Oil%20&amp;%20Gas.xlsx" TargetMode="External"/><Relationship Id="rId1" Type="http://schemas.openxmlformats.org/officeDocument/2006/relationships/externalLinkPath" Target="/Music/NISM%20&amp;%20Future/Fundamental%20Analysis%20Project-Flagship/Fundamental%20Analysis/Fundamental%20Analysis-Oil%20&amp;%20Gas.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Infrastructure.xlsx" TargetMode="External"/><Relationship Id="rId1" Type="http://schemas.openxmlformats.org/officeDocument/2006/relationships/externalLinkPath" Target="/Music/NISM%20&amp;%20Future/Fundamental%20Analysis%20Project-Flagship/Fundamental%20Analysis/Fundamental%20Analysis-Infrastructur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Fundamental%20Analysis-Basic%20Materials%20(Minerals).xlsx" TargetMode="External"/><Relationship Id="rId1" Type="http://schemas.openxmlformats.org/officeDocument/2006/relationships/externalLinkPath" Target="/Music/NISM%20&amp;%20Future/Fundamental%20Analysis%20Project-Flagship/Fundamental%20Analysis/Fundamental%20Analysis-Basic%20Materials%20(Mineral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Automobile%20sector.xlsx" TargetMode="External"/><Relationship Id="rId1" Type="http://schemas.openxmlformats.org/officeDocument/2006/relationships/externalLinkPath" Target="/Music/NISM%20&amp;%20Future/Fundamental%20Analysis%20Project-Flagship/Fundamental%20Analysis-India/Fundamental%20Analysis-Automobile%20sector.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Auto%20US.xlsx" TargetMode="External"/><Relationship Id="rId1" Type="http://schemas.openxmlformats.org/officeDocument/2006/relationships/externalLinkPath" Target="/Music/NISM%20&amp;%20Future/Fundamental%20Analysis%20Project-Flagship/Fundamental%20Analysis-US/Fundamental%20Analysis-Auto%20US.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BFS%20US.xlsx" TargetMode="External"/><Relationship Id="rId1" Type="http://schemas.openxmlformats.org/officeDocument/2006/relationships/externalLinkPath" Target="/Music/NISM%20&amp;%20Future/Fundamental%20Analysis%20Project-Flagship/Fundamental%20Analysis-US/Fundamental%20Analysis-BFS%20US.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Defence%20US.xlsx" TargetMode="External"/><Relationship Id="rId1" Type="http://schemas.openxmlformats.org/officeDocument/2006/relationships/externalLinkPath" Target="/Music/NISM%20&amp;%20Future/Fundamental%20Analysis%20Project-Flagship/Fundamental%20Analysis-US/Fundamental%20Analysis-Defence%20US.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20Energy%20US.xlsx" TargetMode="External"/><Relationship Id="rId1" Type="http://schemas.openxmlformats.org/officeDocument/2006/relationships/externalLinkPath" Target="/Music/NISM%20&amp;%20Future/Fundamental%20Analysis%20Project-Flagship/Fundamental%20Analysis-US/Fundamental%20Analysis-%20Energy%20U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FMCG%20US.xlsx" TargetMode="External"/><Relationship Id="rId1" Type="http://schemas.openxmlformats.org/officeDocument/2006/relationships/externalLinkPath" Target="/Music/NISM%20&amp;%20Future/Fundamental%20Analysis%20Project-Flagship/Fundamental%20Analysis-US/Fundamental%20Analysis-FMCG%20US.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Infra%20US.xlsx" TargetMode="External"/><Relationship Id="rId1" Type="http://schemas.openxmlformats.org/officeDocument/2006/relationships/externalLinkPath" Target="/Music/NISM%20&amp;%20Future/Fundamental%20Analysis%20Project-Flagship/Fundamental%20Analysis-US/Fundamental%20Analysis-Infra%20US.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IT%20US.xlsx" TargetMode="External"/><Relationship Id="rId1" Type="http://schemas.openxmlformats.org/officeDocument/2006/relationships/externalLinkPath" Target="/Music/NISM%20&amp;%20Future/Fundamental%20Analysis%20Project-Flagship/Fundamental%20Analysis-US/Fundamental%20Analysis-IT%20US.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Basic%20Materials.xlsx" TargetMode="External"/><Relationship Id="rId1" Type="http://schemas.openxmlformats.org/officeDocument/2006/relationships/externalLinkPath" Target="/Music/NISM%20&amp;%20Future/Fundamental%20Analysis%20Project-Flagship/Fundamental%20Analysis-US/Fundamental%20Analysis-Basic%20Materials.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Oil%20&amp;%20Gas%20US.xlsx" TargetMode="External"/><Relationship Id="rId1" Type="http://schemas.openxmlformats.org/officeDocument/2006/relationships/externalLinkPath" Target="/Music/NISM%20&amp;%20Future/Fundamental%20Analysis%20Project-Flagship/Fundamental%20Analysis-US/Fundamental%20Analysis-Oil%20&amp;%20Gas%20US.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20Pharma%20US.xlsx" TargetMode="External"/><Relationship Id="rId1" Type="http://schemas.openxmlformats.org/officeDocument/2006/relationships/externalLinkPath" Target="/Music/NISM%20&amp;%20Future/Fundamental%20Analysis%20Project-Flagship/Fundamental%20Analysis-US/Fundamental%20Analysis-%20Pharma%20US.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US\Fundamental%20Analysis-Telecom%20US.xlsx" TargetMode="External"/><Relationship Id="rId1" Type="http://schemas.openxmlformats.org/officeDocument/2006/relationships/externalLinkPath" Target="/Music/NISM%20&amp;%20Future/Fundamental%20Analysis%20Project-Flagship/Fundamental%20Analysis-US/Fundamental%20Analysis-Telecom%20US.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20BFSI.xlsx" TargetMode="External"/><Relationship Id="rId1" Type="http://schemas.openxmlformats.org/officeDocument/2006/relationships/externalLinkPath" Target="/Music/NISM%20&amp;%20Future/Fundamental%20Analysis%20Project-Flagship/Fundamental%20Analysis-India/Fundamental%20Analysis-%20BFSI.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Defence.xlsx" TargetMode="External"/><Relationship Id="rId1" Type="http://schemas.openxmlformats.org/officeDocument/2006/relationships/externalLinkPath" Target="/Music/NISM%20&amp;%20Future/Fundamental%20Analysis%20Project-Flagship/Fundamental%20Analysis-India/Fundamental%20Analysis-Defence.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Energy%20Sector.xlsx" TargetMode="External"/><Relationship Id="rId1" Type="http://schemas.openxmlformats.org/officeDocument/2006/relationships/externalLinkPath" Target="/Music/NISM%20&amp;%20Future/Fundamental%20Analysis%20Project-Flagship/Fundamental%20Analysis-India/Fundamental%20Analysis-Energy%20Sector.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FMCG%20&amp;%20Retail.xlsx" TargetMode="External"/><Relationship Id="rId1" Type="http://schemas.openxmlformats.org/officeDocument/2006/relationships/externalLinkPath" Target="/Music/NISM%20&amp;%20Future/Fundamental%20Analysis%20Project-Flagship/Fundamental%20Analysis-India/Fundamental%20Analysis-FMCG%20&amp;%20Retail.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Infrastructure.xlsx" TargetMode="External"/><Relationship Id="rId1" Type="http://schemas.openxmlformats.org/officeDocument/2006/relationships/externalLinkPath" Target="/Music/NISM%20&amp;%20Future/Fundamental%20Analysis%20Project-Flagship/Fundamental%20Analysis-India/Fundamental%20Analysis-Infrastructure.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20IT%20Sector.xlsx" TargetMode="External"/><Relationship Id="rId1" Type="http://schemas.openxmlformats.org/officeDocument/2006/relationships/externalLinkPath" Target="/Music/NISM%20&amp;%20Future/Fundamental%20Analysis%20Project-Flagship/Fundamental%20Analysis-India/Fundamental%20Analysis-%20IT%20Sector.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Basic%20Materials%20(Minerals).xlsx" TargetMode="External"/><Relationship Id="rId1" Type="http://schemas.openxmlformats.org/officeDocument/2006/relationships/externalLinkPath" Target="/Music/NISM%20&amp;%20Future/Fundamental%20Analysis%20Project-Flagship/Fundamental%20Analysis-India/Fundamental%20Analysis-Basic%20Materials%20(Minerals).xlsx"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Oil%20&amp;%20Gas.xlsx" TargetMode="External"/><Relationship Id="rId1" Type="http://schemas.openxmlformats.org/officeDocument/2006/relationships/externalLinkPath" Target="/Music/NISM%20&amp;%20Future/Fundamental%20Analysis%20Project-Flagship/Fundamental%20Analysis-India/Fundamental%20Analysis-Oil%20&amp;%20Gas.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Pharma.xlsx" TargetMode="External"/><Relationship Id="rId1" Type="http://schemas.openxmlformats.org/officeDocument/2006/relationships/externalLinkPath" Target="/Music/NISM%20&amp;%20Future/Fundamental%20Analysis%20Project-Flagship/Fundamental%20Analysis-India/Fundamental%20Analysis-Pharma.xlsx"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file:///D:\Music\NISM%20&amp;%20Future\Fundamental%20Analysis%20Project-Flagship\Fundamental%20Analysis-India\Fundamental%20Analysis-Telecom.xlsx" TargetMode="External"/><Relationship Id="rId1" Type="http://schemas.openxmlformats.org/officeDocument/2006/relationships/externalLinkPath" Target="/Music/NISM%20&amp;%20Future/Fundamental%20Analysis%20Project-Flagship/Fundamental%20Analysis-India/Fundamental%20Analysis-Telecom.xlsx"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India\Fundamental%20Analysis-%20BFSI.xlsx" TargetMode="External"/><Relationship Id="rId1" Type="http://schemas.openxmlformats.org/officeDocument/2006/relationships/externalLinkPath" Target="/Music/Job%20&amp;%20Future/Fundamental%20Analysis%20Project-Flagship/Fundamental%20Analysis-India/Fundamental%20Analysis-%20BFSI.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India\Fundamental%20Analysis-Defence.xlsx" TargetMode="External"/><Relationship Id="rId1" Type="http://schemas.openxmlformats.org/officeDocument/2006/relationships/externalLinkPath" Target="/Music/Job%20&amp;%20Future/Fundamental%20Analysis%20Project-Flagship/Fundamental%20Analysis-India/Fundamental%20Analysis-Defence.xlsx"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India\Fundamental%20Analysis-Energy%20Sector.xlsx" TargetMode="External"/><Relationship Id="rId1" Type="http://schemas.openxmlformats.org/officeDocument/2006/relationships/externalLinkPath" Target="/Music/Job%20&amp;%20Future/Fundamental%20Analysis%20Project-Flagship/Fundamental%20Analysis-India/Fundamental%20Analysis-Energy%20Sector.xlsx"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India\Fundamental%20Analysis-FMCG%20&amp;%20Retail.xlsx" TargetMode="External"/><Relationship Id="rId1" Type="http://schemas.openxmlformats.org/officeDocument/2006/relationships/externalLinkPath" Target="/Music/Job%20&amp;%20Future/Fundamental%20Analysis%20Project-Flagship/Fundamental%20Analysis-India/Fundamental%20Analysis-FMCG%20&amp;%20Retail.xlsx"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India\Fundamental%20Analysis-Infrastructure.xlsx" TargetMode="External"/><Relationship Id="rId1" Type="http://schemas.openxmlformats.org/officeDocument/2006/relationships/externalLinkPath" Target="/Music/Job%20&amp;%20Future/Fundamental%20Analysis%20Project-Flagship/Fundamental%20Analysis-India/Fundamental%20Analysis-Infrastructure.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India\Fundamental%20Analysis-Pharma.xlsx" TargetMode="External"/><Relationship Id="rId1" Type="http://schemas.openxmlformats.org/officeDocument/2006/relationships/externalLinkPath" Target="/Music/Job%20&amp;%20Future/Fundamental%20Analysis%20Project-Flagship/Fundamental%20Analysis-India/Fundamental%20Analysis-Pharma.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India\Fundamental%20Analysis-Telecom.xlsx" TargetMode="External"/><Relationship Id="rId1" Type="http://schemas.openxmlformats.org/officeDocument/2006/relationships/externalLinkPath" Target="/Music/Job%20&amp;%20Future/Fundamental%20Analysis%20Project-Flagship/Fundamental%20Analysis-India/Fundamental%20Analysis-Telecom.xlsx"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Defence%20US.xlsx" TargetMode="External"/><Relationship Id="rId1" Type="http://schemas.openxmlformats.org/officeDocument/2006/relationships/externalLinkPath" Target="/Music/Job%20&amp;%20Future/Fundamental%20Analysis%20Project-Flagship/Fundamental%20Analysis-US/Fundamental%20Analysis-Defence%20US.xlsx"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20Energy%20US.xlsx" TargetMode="External"/><Relationship Id="rId1" Type="http://schemas.openxmlformats.org/officeDocument/2006/relationships/externalLinkPath" Target="/Music/Job%20&amp;%20Future/Fundamental%20Analysis%20Project-Flagship/Fundamental%20Analysis-US/Fundamental%20Analysis-%20Energy%20US.xlsx"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FMCG%20US.xlsx" TargetMode="External"/><Relationship Id="rId1" Type="http://schemas.openxmlformats.org/officeDocument/2006/relationships/externalLinkPath" Target="/Music/Job%20&amp;%20Future/Fundamental%20Analysis%20Project-Flagship/Fundamental%20Analysis-US/Fundamental%20Analysis-FMCG%20US.xlsx"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Infra%20US.xlsx" TargetMode="External"/><Relationship Id="rId1" Type="http://schemas.openxmlformats.org/officeDocument/2006/relationships/externalLinkPath" Target="/Music/Job%20&amp;%20Future/Fundamental%20Analysis%20Project-Flagship/Fundamental%20Analysis-US/Fundamental%20Analysis-Infra%20US.xlsx"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IT%20US.xlsx" TargetMode="External"/><Relationship Id="rId1" Type="http://schemas.openxmlformats.org/officeDocument/2006/relationships/externalLinkPath" Target="/Music/Job%20&amp;%20Future/Fundamental%20Analysis%20Project-Flagship/Fundamental%20Analysis-US/Fundamental%20Analysis-IT%20US.xlsx"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Oil%20&amp;%20Gas%20US.xlsx" TargetMode="External"/><Relationship Id="rId1" Type="http://schemas.openxmlformats.org/officeDocument/2006/relationships/externalLinkPath" Target="/Music/Job%20&amp;%20Future/Fundamental%20Analysis%20Project-Flagship/Fundamental%20Analysis-US/Fundamental%20Analysis-Oil%20&amp;%20Gas%20US.xlsx"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20Pharma%20US.xlsx" TargetMode="External"/><Relationship Id="rId1" Type="http://schemas.openxmlformats.org/officeDocument/2006/relationships/externalLinkPath" Target="/Music/Job%20&amp;%20Future/Fundamental%20Analysis%20Project-Flagship/Fundamental%20Analysis-US/Fundamental%20Analysis-%20Pharma%20US.xlsx"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file:///D:\Music\Job%20&amp;%20Future\Fundamental%20Analysis%20Project-Flagship\Fundamental%20Analysis-US\Fundamental%20Analysis-Telecom%20US.xlsx" TargetMode="External"/><Relationship Id="rId1" Type="http://schemas.openxmlformats.org/officeDocument/2006/relationships/externalLinkPath" Target="/Music/Job%20&amp;%20Future/Fundamental%20Analysis%20Project-Flagship/Fundamental%20Analysis-US/Fundamental%20Analysis-Telecom%20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Banks"/>
      <sheetName val="Balance Sheet-NBFCs"/>
      <sheetName val="Income Statement-Banks"/>
      <sheetName val="Income Statement-NBFCs"/>
      <sheetName val="Cash Flow Statement-Banks"/>
      <sheetName val="Cash Flow Statement-NBFCs"/>
      <sheetName val="Financial Ratios-Banks"/>
      <sheetName val="Financial Ratios-NBFCs"/>
      <sheetName val="Dupont Analysis"/>
      <sheetName val="Input &amp; Assumptions-Banks"/>
      <sheetName val="Financial Projections"/>
      <sheetName val="WACC"/>
      <sheetName val="DCF-DDM-RIM"/>
      <sheetName val="Intrinsic Value"/>
      <sheetName val="Senstivity Analysis"/>
      <sheetName val="Senstivity Analysis-Intrinsic "/>
      <sheetName val="Data"/>
      <sheetName val="Axis"/>
      <sheetName val="HDFC"/>
      <sheetName val="ICICI"/>
      <sheetName val="BankData"/>
      <sheetName val="ChartData"/>
      <sheetName val="Holdings"/>
      <sheetName val="Transactions"/>
      <sheetName val="DashBoard"/>
    </sheetNames>
    <sheetDataSet>
      <sheetData sheetId="0">
        <row r="14">
          <cell r="D14">
            <v>310.14</v>
          </cell>
        </row>
      </sheetData>
      <sheetData sheetId="1">
        <row r="9">
          <cell r="B9">
            <v>86453.97</v>
          </cell>
        </row>
        <row r="75">
          <cell r="B75">
            <v>582958.80000000005</v>
          </cell>
          <cell r="C75">
            <v>625749.9</v>
          </cell>
          <cell r="D75">
            <v>725125.5</v>
          </cell>
          <cell r="E75">
            <v>868387.54</v>
          </cell>
          <cell r="F75">
            <v>999333.47999999986</v>
          </cell>
          <cell r="G75">
            <v>1043670.83</v>
          </cell>
          <cell r="H75">
            <v>1185283.4889999998</v>
          </cell>
          <cell r="I75">
            <v>1420942.2800000003</v>
          </cell>
          <cell r="J75">
            <v>1661949.29</v>
          </cell>
          <cell r="K75">
            <v>2565891.4</v>
          </cell>
          <cell r="L75">
            <v>706246.08569999994</v>
          </cell>
          <cell r="M75">
            <v>733729.03999999992</v>
          </cell>
          <cell r="N75">
            <v>859020.4</v>
          </cell>
          <cell r="O75">
            <v>1083866.26</v>
          </cell>
          <cell r="P75">
            <v>1260776.17</v>
          </cell>
          <cell r="Q75">
            <v>2374311.1500000004</v>
          </cell>
          <cell r="R75">
            <v>2500598.9677999998</v>
          </cell>
          <cell r="S75">
            <v>2794075.9758000001</v>
          </cell>
          <cell r="T75">
            <v>3267902.1236</v>
          </cell>
          <cell r="U75">
            <v>3784272.6676000003</v>
          </cell>
        </row>
      </sheetData>
      <sheetData sheetId="2">
        <row r="9">
          <cell r="B9">
            <v>5585.13</v>
          </cell>
        </row>
        <row r="27">
          <cell r="B27">
            <v>27975.41</v>
          </cell>
          <cell r="C27">
            <v>33418.9</v>
          </cell>
          <cell r="D27">
            <v>46482.07</v>
          </cell>
          <cell r="E27">
            <v>62113.89</v>
          </cell>
          <cell r="F27">
            <v>79300.75</v>
          </cell>
          <cell r="G27">
            <v>141376.04999999999</v>
          </cell>
          <cell r="H27">
            <v>146686.87</v>
          </cell>
          <cell r="I27">
            <v>191423.25</v>
          </cell>
          <cell r="J27">
            <v>242268.93</v>
          </cell>
          <cell r="K27">
            <v>326293.32</v>
          </cell>
          <cell r="L27">
            <v>470677.41</v>
          </cell>
          <cell r="M27">
            <v>588085.17000000004</v>
          </cell>
          <cell r="N27">
            <v>645276.41</v>
          </cell>
          <cell r="O27">
            <v>705543.84</v>
          </cell>
          <cell r="P27">
            <v>881871.71</v>
          </cell>
        </row>
      </sheetData>
      <sheetData sheetId="3">
        <row r="7">
          <cell r="B7">
            <v>80057.67</v>
          </cell>
          <cell r="C7">
            <v>77974.28</v>
          </cell>
          <cell r="D7">
            <v>86114.19</v>
          </cell>
          <cell r="E7">
            <v>105797.29999999999</v>
          </cell>
          <cell r="F7">
            <v>137989.36000000002</v>
          </cell>
          <cell r="G7">
            <v>147068.26630000002</v>
          </cell>
          <cell r="H7">
            <v>155885.27359999999</v>
          </cell>
          <cell r="I7">
            <v>167695.4</v>
          </cell>
          <cell r="J7">
            <v>204666.09999999998</v>
          </cell>
          <cell r="K7">
            <v>407994.77</v>
          </cell>
          <cell r="L7">
            <v>149786.10310000001</v>
          </cell>
          <cell r="M7">
            <v>98086.7984</v>
          </cell>
          <cell r="N7">
            <v>104892.07509999999</v>
          </cell>
          <cell r="O7">
            <v>186178.80100000001</v>
          </cell>
          <cell r="P7">
            <v>236037.72719999999</v>
          </cell>
          <cell r="Q7">
            <v>368010.64</v>
          </cell>
          <cell r="R7">
            <v>385337.89049999998</v>
          </cell>
          <cell r="S7">
            <v>406973.08970000001</v>
          </cell>
          <cell r="T7">
            <v>473378.14120000001</v>
          </cell>
          <cell r="U7">
            <v>594574.90449999995</v>
          </cell>
        </row>
        <row r="9">
          <cell r="B9">
            <v>37995.94</v>
          </cell>
          <cell r="C9">
            <v>34627.379999999997</v>
          </cell>
          <cell r="D9">
            <v>34922.660000000003</v>
          </cell>
          <cell r="E9">
            <v>43389.15</v>
          </cell>
          <cell r="F9">
            <v>61390.74</v>
          </cell>
          <cell r="G9">
            <v>62137.421600000001</v>
          </cell>
          <cell r="H9">
            <v>59247.579899999997</v>
          </cell>
          <cell r="I9">
            <v>58584.33</v>
          </cell>
          <cell r="J9">
            <v>77779.94</v>
          </cell>
          <cell r="K9">
            <v>154138.54999999999</v>
          </cell>
          <cell r="L9">
            <v>44665.522199999999</v>
          </cell>
          <cell r="M9">
            <v>40128.837399999997</v>
          </cell>
          <cell r="N9">
            <v>38908.450700000001</v>
          </cell>
          <cell r="O9">
            <v>50543.387900000002</v>
          </cell>
          <cell r="P9">
            <v>74108.162700000001</v>
          </cell>
          <cell r="Q9">
            <v>161123.79860000001</v>
          </cell>
          <cell r="R9">
            <v>156010.16709999999</v>
          </cell>
          <cell r="S9">
            <v>156194.34409999999</v>
          </cell>
          <cell r="T9">
            <v>189980.8167</v>
          </cell>
          <cell r="U9">
            <v>259736.04810000001</v>
          </cell>
        </row>
        <row r="13">
          <cell r="B13">
            <v>1878.7513999999937</v>
          </cell>
          <cell r="C13">
            <v>7252.3899999999994</v>
          </cell>
          <cell r="D13">
            <v>14164.350000000006</v>
          </cell>
          <cell r="E13">
            <v>10852.659999999989</v>
          </cell>
          <cell r="F13">
            <v>26423.540000000008</v>
          </cell>
          <cell r="G13">
            <v>27296.265300000014</v>
          </cell>
          <cell r="H13">
            <v>31856.768099999987</v>
          </cell>
          <cell r="I13">
            <v>38150.89999999998</v>
          </cell>
          <cell r="J13">
            <v>46148.699999999983</v>
          </cell>
          <cell r="K13">
            <v>65446.5</v>
          </cell>
          <cell r="L13">
            <v>11225.467999999993</v>
          </cell>
          <cell r="M13">
            <v>16192.684100000013</v>
          </cell>
          <cell r="N13">
            <v>23339.49069999998</v>
          </cell>
          <cell r="O13">
            <v>34463.027000000002</v>
          </cell>
          <cell r="P13">
            <v>45006.744699999981</v>
          </cell>
          <cell r="Q13">
            <v>18176.8223</v>
          </cell>
          <cell r="R13">
            <v>24279.719399999944</v>
          </cell>
          <cell r="S13">
            <v>36356.17140000005</v>
          </cell>
          <cell r="T13">
            <v>56558.429900000046</v>
          </cell>
          <cell r="U13">
            <v>68138.260899999877</v>
          </cell>
        </row>
      </sheetData>
      <sheetData sheetId="4">
        <row r="14">
          <cell r="B14">
            <v>26385.630000000005</v>
          </cell>
          <cell r="C14">
            <v>26683.050000000003</v>
          </cell>
          <cell r="D14">
            <v>31640.41</v>
          </cell>
          <cell r="E14">
            <v>41418.259999999995</v>
          </cell>
          <cell r="F14">
            <v>54982.509999999995</v>
          </cell>
          <cell r="G14">
            <v>2646.23</v>
          </cell>
          <cell r="H14">
            <v>3155.2799999999997</v>
          </cell>
          <cell r="I14">
            <v>3767.1299999999997</v>
          </cell>
          <cell r="J14">
            <v>5665.4400000000005</v>
          </cell>
          <cell r="K14">
            <v>7617.7099999999982</v>
          </cell>
          <cell r="L14">
            <v>97072.67</v>
          </cell>
          <cell r="M14">
            <v>115701.95999999999</v>
          </cell>
          <cell r="N14">
            <v>122374.63</v>
          </cell>
          <cell r="O14">
            <v>119750.05</v>
          </cell>
          <cell r="P14">
            <v>151627.42000000001</v>
          </cell>
        </row>
        <row r="17">
          <cell r="B17">
            <v>9473.2099999999991</v>
          </cell>
          <cell r="C17">
            <v>9414</v>
          </cell>
          <cell r="D17">
            <v>9748.24</v>
          </cell>
          <cell r="E17">
            <v>12559.89</v>
          </cell>
          <cell r="F17">
            <v>18724.689999999999</v>
          </cell>
          <cell r="G17">
            <v>1616.03</v>
          </cell>
          <cell r="H17">
            <v>1965.87</v>
          </cell>
          <cell r="I17">
            <v>2155.31</v>
          </cell>
          <cell r="J17">
            <v>3211.32</v>
          </cell>
          <cell r="K17">
            <v>4692.6099999999997</v>
          </cell>
          <cell r="L17">
            <v>31728.400000000001</v>
          </cell>
          <cell r="M17">
            <v>40999.29</v>
          </cell>
          <cell r="N17">
            <v>42558.52</v>
          </cell>
          <cell r="O17">
            <v>42091.78</v>
          </cell>
          <cell r="P17">
            <v>54300.78</v>
          </cell>
        </row>
        <row r="33">
          <cell r="B33">
            <v>5263.7500000000027</v>
          </cell>
          <cell r="C33">
            <v>4419.8200000000052</v>
          </cell>
          <cell r="D33">
            <v>7028.2300000000032</v>
          </cell>
          <cell r="E33">
            <v>11507.689999999995</v>
          </cell>
          <cell r="F33">
            <v>14451.169999999991</v>
          </cell>
          <cell r="G33">
            <v>421.33000000000027</v>
          </cell>
          <cell r="H33">
            <v>453.18999999999983</v>
          </cell>
          <cell r="I33">
            <v>709.61999999999921</v>
          </cell>
          <cell r="J33">
            <v>1257.8000000000004</v>
          </cell>
          <cell r="K33">
            <v>1731.219999999998</v>
          </cell>
          <cell r="L33">
            <v>31686.809999999998</v>
          </cell>
          <cell r="M33">
            <v>38188.69999999999</v>
          </cell>
          <cell r="N33">
            <v>40313.240000000005</v>
          </cell>
          <cell r="O33">
            <v>36697.660000000003</v>
          </cell>
          <cell r="P33">
            <v>44675.94000000001</v>
          </cell>
        </row>
      </sheetData>
      <sheetData sheetId="5"/>
      <sheetData sheetId="6"/>
      <sheetData sheetId="7">
        <row r="6">
          <cell r="B6">
            <v>1.1847772664158384E-2</v>
          </cell>
        </row>
      </sheetData>
      <sheetData sheetId="8">
        <row r="6">
          <cell r="B6">
            <v>0.16778272125644128</v>
          </cell>
        </row>
      </sheetData>
      <sheetData sheetId="9"/>
      <sheetData sheetId="10"/>
      <sheetData sheetId="11">
        <row r="5">
          <cell r="D5">
            <v>1113076.3431270414</v>
          </cell>
          <cell r="E5">
            <v>1239765.2739794801</v>
          </cell>
          <cell r="F5">
            <v>1380873.7774871453</v>
          </cell>
          <cell r="G5">
            <v>1538043.0710331206</v>
          </cell>
          <cell r="H5">
            <v>1713101.1732714393</v>
          </cell>
          <cell r="I5">
            <v>1908084.1656096801</v>
          </cell>
          <cell r="M5">
            <v>3071660.5237216875</v>
          </cell>
          <cell r="N5">
            <v>3677123.0352890976</v>
          </cell>
          <cell r="O5">
            <v>4401929.741985647</v>
          </cell>
          <cell r="P5">
            <v>5269604.8697359934</v>
          </cell>
          <cell r="Q5">
            <v>6308309.5621192763</v>
          </cell>
          <cell r="R5">
            <v>7551755.8745385045</v>
          </cell>
          <cell r="V5">
            <v>1415710.2588467074</v>
          </cell>
          <cell r="W5">
            <v>1589683.8667277566</v>
          </cell>
          <cell r="X5">
            <v>1785036.7194436956</v>
          </cell>
          <cell r="Y5">
            <v>2004396.0666979549</v>
          </cell>
          <cell r="Z5">
            <v>2250712.0152947404</v>
          </cell>
          <cell r="AA5">
            <v>2527297.2043580995</v>
          </cell>
          <cell r="AE5">
            <v>4154046.7403928745</v>
          </cell>
          <cell r="AF5">
            <v>4559952.6876356276</v>
          </cell>
          <cell r="AG5">
            <v>5005521.0769026736</v>
          </cell>
          <cell r="AH5">
            <v>5494627.4594590692</v>
          </cell>
          <cell r="AI5">
            <v>6031526.0797829321</v>
          </cell>
          <cell r="AJ5">
            <v>6620886.8789592348</v>
          </cell>
          <cell r="AN5">
            <v>97673.659974016409</v>
          </cell>
          <cell r="AO5">
            <v>120303.32440386471</v>
          </cell>
          <cell r="AP5">
            <v>148175.97565681121</v>
          </cell>
          <cell r="AQ5">
            <v>182506.34278517554</v>
          </cell>
          <cell r="AR5">
            <v>224790.59111421416</v>
          </cell>
          <cell r="AS5">
            <v>276871.52721566829</v>
          </cell>
          <cell r="AW5">
            <v>385704.45108491846</v>
          </cell>
          <cell r="AX5">
            <v>455933.09598467493</v>
          </cell>
          <cell r="AY5">
            <v>538948.89579172654</v>
          </cell>
          <cell r="AZ5">
            <v>637080.12169593538</v>
          </cell>
          <cell r="BA5">
            <v>753078.97396074119</v>
          </cell>
          <cell r="BB5">
            <v>890198.77046554699</v>
          </cell>
          <cell r="BF5">
            <v>999866.04930453282</v>
          </cell>
          <cell r="BG5">
            <v>1133648.0184309967</v>
          </cell>
          <cell r="BH5">
            <v>1285330.0005400025</v>
          </cell>
          <cell r="BI5">
            <v>1457307.0154303117</v>
          </cell>
          <cell r="BJ5">
            <v>1652294.5362904153</v>
          </cell>
          <cell r="BK5">
            <v>1873371.3663273796</v>
          </cell>
        </row>
        <row r="8">
          <cell r="D8">
            <v>86510.209591432169</v>
          </cell>
          <cell r="E8">
            <v>97760.527157166594</v>
          </cell>
          <cell r="F8">
            <v>110536.23905754853</v>
          </cell>
          <cell r="G8">
            <v>125050.62262987698</v>
          </cell>
          <cell r="H8">
            <v>141547.41612594799</v>
          </cell>
          <cell r="I8">
            <v>160305.23095632804</v>
          </cell>
          <cell r="M8">
            <v>322579.03726990544</v>
          </cell>
          <cell r="N8">
            <v>412796.9389600954</v>
          </cell>
          <cell r="O8">
            <v>531906.6750605742</v>
          </cell>
          <cell r="P8">
            <v>689986.14179837157</v>
          </cell>
          <cell r="Q8">
            <v>900791.12977349851</v>
          </cell>
          <cell r="R8">
            <v>1183126.957374325</v>
          </cell>
          <cell r="V8">
            <v>178387.82998757449</v>
          </cell>
          <cell r="W8">
            <v>197195.76538546989</v>
          </cell>
          <cell r="X8">
            <v>218724.97078884928</v>
          </cell>
          <cell r="Y8">
            <v>243407.1892042929</v>
          </cell>
          <cell r="Z8">
            <v>271744.08776030689</v>
          </cell>
          <cell r="AA8">
            <v>304318.63124557206</v>
          </cell>
          <cell r="AE8">
            <v>368705.0113425405</v>
          </cell>
          <cell r="AF8">
            <v>406003.47632396268</v>
          </cell>
          <cell r="AG8">
            <v>447082.81850027276</v>
          </cell>
          <cell r="AH8">
            <v>492327.07420673873</v>
          </cell>
          <cell r="AI8">
            <v>542159.36524411011</v>
          </cell>
          <cell r="AJ8">
            <v>597045.88456818729</v>
          </cell>
          <cell r="AN8">
            <v>44967.682347205482</v>
          </cell>
          <cell r="AO8">
            <v>54712.538750317522</v>
          </cell>
          <cell r="AP8">
            <v>66618.524966372002</v>
          </cell>
          <cell r="AQ8">
            <v>81172.484990273675</v>
          </cell>
          <cell r="AR8">
            <v>98972.069662324531</v>
          </cell>
          <cell r="AS8">
            <v>120751.12388645286</v>
          </cell>
          <cell r="BF8">
            <v>121936.10218944657</v>
          </cell>
          <cell r="BG8">
            <v>138463.52452090735</v>
          </cell>
          <cell r="BH8">
            <v>157237.01489204139</v>
          </cell>
          <cell r="BI8">
            <v>178562.76657142013</v>
          </cell>
          <cell r="BJ8">
            <v>202788.86778772809</v>
          </cell>
          <cell r="BK8">
            <v>230311.05862077858</v>
          </cell>
        </row>
        <row r="14">
          <cell r="E14">
            <v>34713.369050721674</v>
          </cell>
          <cell r="F14">
            <v>38340.122318173781</v>
          </cell>
          <cell r="G14">
            <v>42350.052180478684</v>
          </cell>
          <cell r="H14">
            <v>46783.317540727912</v>
          </cell>
          <cell r="I14">
            <v>51684.106101196587</v>
          </cell>
          <cell r="M14">
            <v>82628.654285693992</v>
          </cell>
          <cell r="N14">
            <v>94913.598853867443</v>
          </cell>
          <cell r="O14">
            <v>108199.58645988026</v>
          </cell>
          <cell r="P14">
            <v>123663.11313525234</v>
          </cell>
          <cell r="Q14">
            <v>141977.34992507857</v>
          </cell>
          <cell r="R14">
            <v>164160.1659233559</v>
          </cell>
          <cell r="V14">
            <v>52473.032651342655</v>
          </cell>
          <cell r="W14">
            <v>63887.541905793521</v>
          </cell>
          <cell r="X14">
            <v>74552.19086281216</v>
          </cell>
          <cell r="Y14">
            <v>87219.295613881462</v>
          </cell>
          <cell r="Z14">
            <v>102240.5487189046</v>
          </cell>
          <cell r="AA14">
            <v>120026.86616837833</v>
          </cell>
          <cell r="AE14">
            <v>65752.222358490893</v>
          </cell>
          <cell r="AF14">
            <v>78715.148775338923</v>
          </cell>
          <cell r="AG14">
            <v>81703.994020219237</v>
          </cell>
          <cell r="AH14">
            <v>84386.945375224182</v>
          </cell>
          <cell r="AI14">
            <v>86658.405363091806</v>
          </cell>
          <cell r="AJ14">
            <v>88392.907097402698</v>
          </cell>
          <cell r="AN14">
            <v>21802.869904639745</v>
          </cell>
          <cell r="AO14">
            <v>26527.121515651663</v>
          </cell>
          <cell r="AP14">
            <v>32298.983976438569</v>
          </cell>
          <cell r="AQ14">
            <v>39354.441730338978</v>
          </cell>
          <cell r="AR14">
            <v>47983.187788023002</v>
          </cell>
          <cell r="AS14">
            <v>58540.928724869525</v>
          </cell>
          <cell r="AW14">
            <v>1360.936590646174</v>
          </cell>
          <cell r="AX14">
            <v>1589.6654294142577</v>
          </cell>
          <cell r="AY14">
            <v>1862.0544961614919</v>
          </cell>
          <cell r="AZ14">
            <v>2186.518754974175</v>
          </cell>
          <cell r="BA14">
            <v>2573.0778109353901</v>
          </cell>
          <cell r="BB14">
            <v>3033.6585318780922</v>
          </cell>
          <cell r="BF14">
            <v>70110.224540334835</v>
          </cell>
          <cell r="BG14">
            <v>79613.82846189657</v>
          </cell>
          <cell r="BH14">
            <v>90409.087715849499</v>
          </cell>
          <cell r="BI14">
            <v>102672.10547967436</v>
          </cell>
          <cell r="BJ14">
            <v>116603.08339549002</v>
          </cell>
          <cell r="BK14">
            <v>132429.63349700524</v>
          </cell>
        </row>
      </sheetData>
      <sheetData sheetId="12"/>
      <sheetData sheetId="13"/>
      <sheetData sheetId="14"/>
      <sheetData sheetId="15"/>
      <sheetData sheetId="16">
        <row r="6">
          <cell r="B6">
            <v>1186.0495310002218</v>
          </cell>
        </row>
      </sheetData>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WACC"/>
      <sheetName val="Valuation"/>
      <sheetName val="FCFF"/>
      <sheetName val="DDM"/>
      <sheetName val="RIM"/>
      <sheetName val="Summary"/>
    </sheetNames>
    <sheetDataSet>
      <sheetData sheetId="0"/>
      <sheetData sheetId="1"/>
      <sheetData sheetId="2">
        <row r="5">
          <cell r="B5">
            <v>161541</v>
          </cell>
          <cell r="C5">
            <v>167311</v>
          </cell>
          <cell r="D5">
            <v>195772</v>
          </cell>
          <cell r="E5">
            <v>228907</v>
          </cell>
          <cell r="F5">
            <v>245315</v>
          </cell>
          <cell r="I5">
            <v>93594</v>
          </cell>
          <cell r="J5">
            <v>102673</v>
          </cell>
          <cell r="K5">
            <v>123936</v>
          </cell>
          <cell r="L5">
            <v>149468</v>
          </cell>
          <cell r="M5">
            <v>166590</v>
          </cell>
          <cell r="P5">
            <v>71265</v>
          </cell>
          <cell r="Q5">
            <v>76306</v>
          </cell>
          <cell r="R5">
            <v>86718</v>
          </cell>
          <cell r="S5">
            <v>102814</v>
          </cell>
          <cell r="T5">
            <v>111408</v>
          </cell>
          <cell r="AD5">
            <v>11207.800000000001</v>
          </cell>
          <cell r="AE5">
            <v>12644.199999999999</v>
          </cell>
          <cell r="AF5">
            <v>26874.5</v>
          </cell>
          <cell r="AG5">
            <v>33739.9</v>
          </cell>
          <cell r="AH5">
            <v>36218.9</v>
          </cell>
        </row>
        <row r="6">
          <cell r="W6">
            <v>63862.6</v>
          </cell>
          <cell r="X6">
            <v>64325.599999999999</v>
          </cell>
          <cell r="Y6">
            <v>81373.2</v>
          </cell>
          <cell r="Z6">
            <v>92762.200000000012</v>
          </cell>
          <cell r="AA6">
            <v>92391.1</v>
          </cell>
        </row>
        <row r="18">
          <cell r="AD18">
            <v>1520.4999999999995</v>
          </cell>
          <cell r="AE18">
            <v>1938.2000000000007</v>
          </cell>
          <cell r="AF18">
            <v>3950.0000000000018</v>
          </cell>
          <cell r="AG18">
            <v>4410.3</v>
          </cell>
          <cell r="AH18">
            <v>4584.5999999999967</v>
          </cell>
        </row>
        <row r="20">
          <cell r="P20">
            <v>11057</v>
          </cell>
          <cell r="Q20">
            <v>11169</v>
          </cell>
          <cell r="R20">
            <v>13523</v>
          </cell>
          <cell r="S20">
            <v>14845</v>
          </cell>
          <cell r="T20">
            <v>15710</v>
          </cell>
        </row>
        <row r="21">
          <cell r="B21">
            <v>32447</v>
          </cell>
          <cell r="C21">
            <v>32562</v>
          </cell>
          <cell r="D21">
            <v>38449</v>
          </cell>
          <cell r="E21">
            <v>42303</v>
          </cell>
          <cell r="F21">
            <v>46099</v>
          </cell>
        </row>
        <row r="22">
          <cell r="I22">
            <v>16639</v>
          </cell>
          <cell r="J22">
            <v>19423</v>
          </cell>
          <cell r="K22">
            <v>22146</v>
          </cell>
          <cell r="L22">
            <v>24108</v>
          </cell>
          <cell r="M22">
            <v>26750</v>
          </cell>
        </row>
        <row r="28">
          <cell r="W28">
            <v>9771.7999999999993</v>
          </cell>
          <cell r="X28">
            <v>10867.999999999995</v>
          </cell>
          <cell r="Y28">
            <v>12243.399999999992</v>
          </cell>
          <cell r="Z28">
            <v>11366.499999999993</v>
          </cell>
          <cell r="AA28">
            <v>11112.100000000019</v>
          </cell>
        </row>
      </sheetData>
      <sheetData sheetId="3"/>
      <sheetData sheetId="4">
        <row r="7">
          <cell r="C7">
            <v>0.26838104533536256</v>
          </cell>
        </row>
      </sheetData>
      <sheetData sheetId="5"/>
      <sheetData sheetId="6">
        <row r="3">
          <cell r="D3">
            <v>266693.46367347147</v>
          </cell>
          <cell r="E3">
            <v>289934.99609136517</v>
          </cell>
          <cell r="F3">
            <v>315201.95808556589</v>
          </cell>
          <cell r="G3">
            <v>342670.85974563297</v>
          </cell>
          <cell r="H3">
            <v>372533.59348400717</v>
          </cell>
          <cell r="I3">
            <v>404998.7745591377</v>
          </cell>
          <cell r="N3">
            <v>186951.56805154632</v>
          </cell>
          <cell r="O3">
            <v>209801.84162874095</v>
          </cell>
          <cell r="P3">
            <v>235445.00433756711</v>
          </cell>
          <cell r="Q3">
            <v>264222.41881752381</v>
          </cell>
          <cell r="R3">
            <v>296517.17097249819</v>
          </cell>
          <cell r="S3">
            <v>332759.16962312855</v>
          </cell>
          <cell r="X3">
            <v>121821.62701082628</v>
          </cell>
          <cell r="Y3">
            <v>133208.64576659558</v>
          </cell>
          <cell r="Z3">
            <v>145660.04200053398</v>
          </cell>
          <cell r="AA3">
            <v>159275.30614471438</v>
          </cell>
          <cell r="AB3">
            <v>174163.22828878145</v>
          </cell>
          <cell r="AC3">
            <v>190442.76744576081</v>
          </cell>
          <cell r="AH3">
            <v>99473.373395880495</v>
          </cell>
          <cell r="AI3">
            <v>107098.54103648798</v>
          </cell>
          <cell r="AJ3">
            <v>115308.21867773625</v>
          </cell>
          <cell r="AK3">
            <v>124147.21214645456</v>
          </cell>
          <cell r="AL3">
            <v>133663.76187643467</v>
          </cell>
          <cell r="AM3">
            <v>143909.80618947756</v>
          </cell>
          <cell r="AR3">
            <v>45795.017891588599</v>
          </cell>
          <cell r="AS3">
            <v>57903.019243845614</v>
          </cell>
          <cell r="AT3">
            <v>73212.322910107949</v>
          </cell>
          <cell r="AU3">
            <v>92569.339144843034</v>
          </cell>
          <cell r="AV3">
            <v>117044.26535180857</v>
          </cell>
          <cell r="AW3">
            <v>147990.25442224686</v>
          </cell>
        </row>
        <row r="7">
          <cell r="D7">
            <v>50895.621668761829</v>
          </cell>
          <cell r="E7">
            <v>55019.02147988294</v>
          </cell>
          <cell r="F7">
            <v>59476.485900981876</v>
          </cell>
          <cell r="G7">
            <v>64295.079773876452</v>
          </cell>
          <cell r="H7">
            <v>69504.060646947066</v>
          </cell>
          <cell r="I7">
            <v>75135.056421180314</v>
          </cell>
          <cell r="N7">
            <v>31765.088206654531</v>
          </cell>
          <cell r="O7">
            <v>35381.893147364572</v>
          </cell>
          <cell r="P7">
            <v>39410.511141891475</v>
          </cell>
          <cell r="Q7">
            <v>43897.83163936896</v>
          </cell>
          <cell r="R7">
            <v>48896.082968841612</v>
          </cell>
          <cell r="S7">
            <v>54463.440229509506</v>
          </cell>
          <cell r="X7">
            <v>31901.550083251055</v>
          </cell>
          <cell r="Y7">
            <v>38175.416991200844</v>
          </cell>
          <cell r="Z7">
            <v>45683.123818400607</v>
          </cell>
          <cell r="AA7">
            <v>54667.321703083086</v>
          </cell>
          <cell r="AB7">
            <v>65418.382378322407</v>
          </cell>
          <cell r="AC7">
            <v>78283.783065872209</v>
          </cell>
          <cell r="AH7">
            <v>12489.442870163821</v>
          </cell>
          <cell r="AI7">
            <v>13018.213192714637</v>
          </cell>
          <cell r="AJ7">
            <v>13569.370266773676</v>
          </cell>
          <cell r="AK7">
            <v>14143.861888807038</v>
          </cell>
          <cell r="AL7">
            <v>14742.675982502526</v>
          </cell>
          <cell r="AM7">
            <v>15366.842297651201</v>
          </cell>
          <cell r="AR7">
            <v>5861.0242720854794</v>
          </cell>
          <cell r="AS7">
            <v>7304.5006204761303</v>
          </cell>
          <cell r="AT7">
            <v>9103.4820600650819</v>
          </cell>
          <cell r="AU7">
            <v>11345.523797426256</v>
          </cell>
          <cell r="AV7">
            <v>14139.744483337321</v>
          </cell>
          <cell r="AW7">
            <v>17622.136943507452</v>
          </cell>
        </row>
      </sheetData>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Key Assumptions-WACC"/>
      <sheetName val="Valuation-FCFF"/>
      <sheetName val="NAV"/>
      <sheetName val="Valuation-Summary"/>
    </sheetNames>
    <sheetDataSet>
      <sheetData sheetId="0"/>
      <sheetData sheetId="1"/>
      <sheetData sheetId="2">
        <row r="6">
          <cell r="B6">
            <v>78994.399999999994</v>
          </cell>
          <cell r="C6">
            <v>73308.3</v>
          </cell>
          <cell r="D6">
            <v>90074.5</v>
          </cell>
          <cell r="E6">
            <v>119712</v>
          </cell>
          <cell r="F6">
            <v>144787.29999999999</v>
          </cell>
          <cell r="G6">
            <v>156650.5</v>
          </cell>
          <cell r="J6">
            <v>76410.62</v>
          </cell>
          <cell r="K6">
            <v>75310.89</v>
          </cell>
          <cell r="L6">
            <v>91105.08</v>
          </cell>
          <cell r="M6">
            <v>122475.04000000001</v>
          </cell>
          <cell r="N6">
            <v>141254.69</v>
          </cell>
          <cell r="O6">
            <v>161391.87</v>
          </cell>
          <cell r="Z6">
            <v>18901.140000000003</v>
          </cell>
          <cell r="AA6">
            <v>19468.04</v>
          </cell>
          <cell r="AB6">
            <v>24388.18</v>
          </cell>
          <cell r="AC6">
            <v>32111.99</v>
          </cell>
          <cell r="AD6">
            <v>39250.559999999998</v>
          </cell>
          <cell r="AH6">
            <v>14532.89</v>
          </cell>
          <cell r="AI6">
            <v>15367.34</v>
          </cell>
          <cell r="AJ6">
            <v>12851.289999999999</v>
          </cell>
          <cell r="AK6">
            <v>15202.9</v>
          </cell>
          <cell r="AL6">
            <v>16859.68</v>
          </cell>
          <cell r="AM6">
            <v>17350.649999999998</v>
          </cell>
        </row>
        <row r="8">
          <cell r="R8">
            <v>264041.12</v>
          </cell>
          <cell r="S8">
            <v>252437.94</v>
          </cell>
          <cell r="T8">
            <v>281507.25</v>
          </cell>
          <cell r="U8">
            <v>350600.15</v>
          </cell>
          <cell r="V8">
            <v>439708</v>
          </cell>
          <cell r="W8">
            <v>445939</v>
          </cell>
          <cell r="AP8">
            <v>60953.5</v>
          </cell>
          <cell r="AQ8">
            <v>57599.200000000004</v>
          </cell>
          <cell r="AR8">
            <v>64031.7</v>
          </cell>
          <cell r="AS8">
            <v>78957.7</v>
          </cell>
          <cell r="AT8">
            <v>98879.3</v>
          </cell>
        </row>
        <row r="24">
          <cell r="B24">
            <v>5677.599999999994</v>
          </cell>
          <cell r="C24">
            <v>4389.1000000000004</v>
          </cell>
          <cell r="D24">
            <v>3879.5000000000027</v>
          </cell>
          <cell r="E24">
            <v>8210.9999999999964</v>
          </cell>
          <cell r="F24">
            <v>13209.299999999988</v>
          </cell>
          <cell r="G24">
            <v>13955.199999999983</v>
          </cell>
        </row>
        <row r="25">
          <cell r="Z25">
            <v>646.80000000000371</v>
          </cell>
          <cell r="AA25">
            <v>607.50000000000523</v>
          </cell>
          <cell r="AB25">
            <v>730.87999999999829</v>
          </cell>
          <cell r="AC25">
            <v>1309.4600000000009</v>
          </cell>
          <cell r="AD25">
            <v>1778.5399999999995</v>
          </cell>
        </row>
        <row r="26">
          <cell r="AH26">
            <v>762.47999999999865</v>
          </cell>
          <cell r="AI26">
            <v>803.099999999999</v>
          </cell>
          <cell r="AJ26">
            <v>694.30999999999813</v>
          </cell>
          <cell r="AK26">
            <v>822.76999999999862</v>
          </cell>
          <cell r="AL26">
            <v>882.81999999999891</v>
          </cell>
          <cell r="AM26">
            <v>800.49999999999818</v>
          </cell>
          <cell r="AP26">
            <v>934.19999999999561</v>
          </cell>
          <cell r="AQ26">
            <v>1242.7000000000044</v>
          </cell>
          <cell r="AR26">
            <v>817.30000000000302</v>
          </cell>
          <cell r="AS26">
            <v>1669.6000000000001</v>
          </cell>
          <cell r="AT26">
            <v>3019.6000000000145</v>
          </cell>
        </row>
        <row r="29">
          <cell r="J29">
            <v>-321.00000000000682</v>
          </cell>
          <cell r="K29">
            <v>1512.3900000000008</v>
          </cell>
          <cell r="L29">
            <v>7253.009999999982</v>
          </cell>
          <cell r="M29">
            <v>11374.48000000002</v>
          </cell>
          <cell r="N29">
            <v>12269.820000000002</v>
          </cell>
          <cell r="O29">
            <v>14073.16999999998</v>
          </cell>
        </row>
        <row r="42">
          <cell r="R42">
            <v>-10579.979999999978</v>
          </cell>
          <cell r="S42">
            <v>-10474.280000000008</v>
          </cell>
          <cell r="T42">
            <v>-11308.759999999957</v>
          </cell>
          <cell r="U42">
            <v>2689.8700000000185</v>
          </cell>
          <cell r="V42">
            <v>31807</v>
          </cell>
          <cell r="W42">
            <v>28149</v>
          </cell>
        </row>
      </sheetData>
      <sheetData sheetId="3"/>
      <sheetData sheetId="4">
        <row r="5">
          <cell r="C5">
            <v>2.2596607069885625E-3</v>
          </cell>
        </row>
      </sheetData>
      <sheetData sheetId="5"/>
      <sheetData sheetId="6">
        <row r="3">
          <cell r="D3">
            <v>161753.61646641558</v>
          </cell>
          <cell r="E3">
            <v>180299.73731190301</v>
          </cell>
          <cell r="F3">
            <v>200972.29344786098</v>
          </cell>
          <cell r="G3">
            <v>224015.09472985068</v>
          </cell>
          <cell r="H3">
            <v>249699.90542424237</v>
          </cell>
          <cell r="M3">
            <v>179730.04496472565</v>
          </cell>
          <cell r="N3">
            <v>203483.08619712663</v>
          </cell>
          <cell r="O3">
            <v>230375.31858645895</v>
          </cell>
          <cell r="P3">
            <v>260821.61621235474</v>
          </cell>
          <cell r="Q3">
            <v>295291.68272465898</v>
          </cell>
          <cell r="V3">
            <v>476706.32996391284</v>
          </cell>
          <cell r="W3">
            <v>520233.5167669662</v>
          </cell>
          <cell r="X3">
            <v>567735.09172452823</v>
          </cell>
          <cell r="Y3">
            <v>619573.94898076158</v>
          </cell>
          <cell r="Z3">
            <v>676146.11788322311</v>
          </cell>
          <cell r="AE3">
            <v>45305.299316393772</v>
          </cell>
          <cell r="AF3">
            <v>52435.401184118993</v>
          </cell>
          <cell r="AG3">
            <v>60687.63122252695</v>
          </cell>
          <cell r="AH3">
            <v>70238.588820350007</v>
          </cell>
          <cell r="AI3">
            <v>81292.666398271307</v>
          </cell>
          <cell r="AJ3">
            <v>94086.423447988884</v>
          </cell>
          <cell r="AO3">
            <v>17747.906803958085</v>
          </cell>
          <cell r="AP3">
            <v>18273.055858009073</v>
          </cell>
          <cell r="AQ3">
            <v>18813.743732046943</v>
          </cell>
          <cell r="AR3">
            <v>19370.430209679267</v>
          </cell>
          <cell r="AS3">
            <v>19943.588679212426</v>
          </cell>
          <cell r="AX3">
            <v>107712.13703060281</v>
          </cell>
          <cell r="AY3">
            <v>118653.87253040374</v>
          </cell>
          <cell r="AZ3">
            <v>130707.10371720963</v>
          </cell>
          <cell r="BA3">
            <v>143984.73979653485</v>
          </cell>
          <cell r="BB3">
            <v>158611.15964385192</v>
          </cell>
          <cell r="BC3">
            <v>174723.3769295107</v>
          </cell>
        </row>
        <row r="6">
          <cell r="D6">
            <v>17124.483954047937</v>
          </cell>
          <cell r="E6">
            <v>20179.15017779078</v>
          </cell>
          <cell r="F6">
            <v>23778.707900951311</v>
          </cell>
          <cell r="G6">
            <v>28020.354893888172</v>
          </cell>
          <cell r="H6">
            <v>33018.627069641239</v>
          </cell>
          <cell r="M6">
            <v>23190.754313642537</v>
          </cell>
          <cell r="N6">
            <v>26932.039722474015</v>
          </cell>
          <cell r="O6">
            <v>31276.893963997634</v>
          </cell>
          <cell r="P6">
            <v>36322.68874231739</v>
          </cell>
          <cell r="Q6">
            <v>42182.504406925458</v>
          </cell>
          <cell r="V6">
            <v>30629.466230677583</v>
          </cell>
          <cell r="W6">
            <v>31970.699844134964</v>
          </cell>
          <cell r="X6">
            <v>33370.664732643621</v>
          </cell>
          <cell r="Y6">
            <v>34831.932679847028</v>
          </cell>
          <cell r="Z6">
            <v>36357.18808521561</v>
          </cell>
          <cell r="AE6">
            <v>4257.5553595590418</v>
          </cell>
          <cell r="AF6">
            <v>5170.8318488325185</v>
          </cell>
          <cell r="AG6">
            <v>6280.0127657459143</v>
          </cell>
          <cell r="AH6">
            <v>7627.1210302141571</v>
          </cell>
          <cell r="AI6">
            <v>9263.1937831141513</v>
          </cell>
          <cell r="AJ6">
            <v>11250.216002028665</v>
          </cell>
          <cell r="AO6">
            <v>1029.7163679984972</v>
          </cell>
          <cell r="AP6">
            <v>1064.1814375960857</v>
          </cell>
          <cell r="AQ6">
            <v>1099.8000685619136</v>
          </cell>
          <cell r="AR6">
            <v>1136.6108711133929</v>
          </cell>
          <cell r="AS6">
            <v>1174.6537477692646</v>
          </cell>
          <cell r="AX6">
            <v>5152.136565059197</v>
          </cell>
          <cell r="AY6">
            <v>6249.038893307652</v>
          </cell>
          <cell r="AZ6">
            <v>7579.4743786305362</v>
          </cell>
          <cell r="BA6">
            <v>9193.1627946564076</v>
          </cell>
          <cell r="BB6">
            <v>11150.409375000076</v>
          </cell>
          <cell r="BC6">
            <v>13524.358483280448</v>
          </cell>
        </row>
      </sheetData>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Basic info"/>
      <sheetName val="Balance Sheet "/>
      <sheetName val="Income Statement"/>
      <sheetName val="Cash Flow Statement"/>
      <sheetName val="Ratio Analysis"/>
      <sheetName val="WACC"/>
      <sheetName val="DCF"/>
      <sheetName val="Relative Model"/>
    </sheetNames>
    <sheetDataSet>
      <sheetData sheetId="0"/>
      <sheetData sheetId="1"/>
      <sheetData sheetId="2">
        <row r="6">
          <cell r="P6">
            <v>1658.7946999999999</v>
          </cell>
          <cell r="Q6">
            <v>1328.4308999999998</v>
          </cell>
          <cell r="R6">
            <v>1918.16</v>
          </cell>
          <cell r="S6">
            <v>2762.9806000000003</v>
          </cell>
          <cell r="T6">
            <v>3892.2642000000001</v>
          </cell>
          <cell r="W6">
            <v>3192.9222999999997</v>
          </cell>
          <cell r="X6">
            <v>2008.3730999999998</v>
          </cell>
          <cell r="Y6">
            <v>2928.6131999999998</v>
          </cell>
          <cell r="Z6">
            <v>2644.7946999999999</v>
          </cell>
          <cell r="AA6">
            <v>2731.1043999999997</v>
          </cell>
          <cell r="AD6">
            <v>21741.73</v>
          </cell>
          <cell r="AE6">
            <v>23112.77</v>
          </cell>
          <cell r="AF6">
            <v>25604.95</v>
          </cell>
          <cell r="AG6">
            <v>28597.579999999998</v>
          </cell>
          <cell r="AH6">
            <v>32277.68</v>
          </cell>
          <cell r="AI6">
            <v>33542.639999999999</v>
          </cell>
        </row>
        <row r="9">
          <cell r="B9">
            <v>10604.6</v>
          </cell>
          <cell r="C9">
            <v>8540.66</v>
          </cell>
          <cell r="D9">
            <v>6166.91</v>
          </cell>
          <cell r="E9">
            <v>4621.92</v>
          </cell>
          <cell r="F9">
            <v>5535.32</v>
          </cell>
          <cell r="I9">
            <v>20925.23</v>
          </cell>
          <cell r="J9">
            <v>18006.22</v>
          </cell>
          <cell r="K9">
            <v>15547.35</v>
          </cell>
          <cell r="L9">
            <v>14189.93</v>
          </cell>
          <cell r="M9">
            <v>13067.07</v>
          </cell>
        </row>
        <row r="22">
          <cell r="W22">
            <v>534.90079999999966</v>
          </cell>
          <cell r="X22">
            <v>257.76520000000005</v>
          </cell>
          <cell r="Y22">
            <v>499.92440000000005</v>
          </cell>
          <cell r="Z22">
            <v>354.04989999999998</v>
          </cell>
          <cell r="AA22">
            <v>612.7207999999996</v>
          </cell>
        </row>
        <row r="25">
          <cell r="P25">
            <v>163.48170000000007</v>
          </cell>
          <cell r="Q25">
            <v>153.47119999999978</v>
          </cell>
          <cell r="R25">
            <v>189.51929999999973</v>
          </cell>
          <cell r="S25">
            <v>228.12400000000008</v>
          </cell>
          <cell r="T25">
            <v>357.2677000000001</v>
          </cell>
        </row>
        <row r="29">
          <cell r="I29">
            <v>4020</v>
          </cell>
          <cell r="J29">
            <v>3006.67</v>
          </cell>
          <cell r="K29">
            <v>2348.9299999999998</v>
          </cell>
          <cell r="L29">
            <v>2065.42</v>
          </cell>
          <cell r="M29">
            <v>1824.7199999999978</v>
          </cell>
        </row>
        <row r="30">
          <cell r="B30">
            <v>1845.43</v>
          </cell>
          <cell r="C30">
            <v>1072.72</v>
          </cell>
          <cell r="D30">
            <v>586.47</v>
          </cell>
          <cell r="E30">
            <v>513.86</v>
          </cell>
          <cell r="F30">
            <v>477.06999999999954</v>
          </cell>
        </row>
        <row r="35">
          <cell r="AD35">
            <v>2882.6500000000005</v>
          </cell>
          <cell r="AE35">
            <v>3239.0600000000045</v>
          </cell>
          <cell r="AF35">
            <v>5079.8799999999992</v>
          </cell>
          <cell r="AG35">
            <v>5827.7300000000014</v>
          </cell>
          <cell r="AH35">
            <v>7620.9500000000007</v>
          </cell>
          <cell r="AI35">
            <v>8364.0400000000009</v>
          </cell>
        </row>
      </sheetData>
      <sheetData sheetId="3"/>
      <sheetData sheetId="4">
        <row r="8">
          <cell r="C8">
            <v>0.23149592929473314</v>
          </cell>
        </row>
      </sheetData>
      <sheetData sheetId="5"/>
      <sheetData sheetId="6">
        <row r="4">
          <cell r="D4">
            <v>12077.153984228209</v>
          </cell>
          <cell r="E4">
            <v>13754.186707538172</v>
          </cell>
          <cell r="F4">
            <v>15664.092072757418</v>
          </cell>
          <cell r="G4">
            <v>17839.206757993677</v>
          </cell>
          <cell r="H4">
            <v>20316.357710123353</v>
          </cell>
          <cell r="I4">
            <v>23137.485663185951</v>
          </cell>
          <cell r="N4">
            <v>22991.570863058354</v>
          </cell>
          <cell r="O4">
            <v>25261.960358430177</v>
          </cell>
          <cell r="P4">
            <v>27756.548038928053</v>
          </cell>
          <cell r="Q4">
            <v>30497.473201054312</v>
          </cell>
          <cell r="R4">
            <v>33509.061369756193</v>
          </cell>
          <cell r="S4">
            <v>36818.040185810183</v>
          </cell>
          <cell r="X4">
            <v>2949.2512927154135</v>
          </cell>
          <cell r="Y4">
            <v>3184.8226627966105</v>
          </cell>
          <cell r="Z4">
            <v>3439.2102899187048</v>
          </cell>
          <cell r="AA4">
            <v>3713.9171221220595</v>
          </cell>
          <cell r="AB4">
            <v>4010.5661553825603</v>
          </cell>
          <cell r="AC4">
            <v>4330.9100224373351</v>
          </cell>
          <cell r="AH4">
            <v>4616.1960630447638</v>
          </cell>
          <cell r="AI4">
            <v>5474.7738070992136</v>
          </cell>
          <cell r="AJ4">
            <v>6493.0405532060186</v>
          </cell>
          <cell r="AK4">
            <v>7700.6972545439276</v>
          </cell>
          <cell r="AL4">
            <v>9132.9690181682163</v>
          </cell>
          <cell r="AM4">
            <v>10831.632556078264</v>
          </cell>
          <cell r="AR4">
            <v>36056.294995220873</v>
          </cell>
          <cell r="AS4">
            <v>38758.321014159585</v>
          </cell>
          <cell r="AT4">
            <v>41662.834410350712</v>
          </cell>
          <cell r="AU4">
            <v>44785.009404049422</v>
          </cell>
          <cell r="AV4">
            <v>48141.157357803291</v>
          </cell>
        </row>
        <row r="7">
          <cell r="D7">
            <v>2342.8536927406476</v>
          </cell>
          <cell r="E7">
            <v>2967.2077440845947</v>
          </cell>
          <cell r="F7">
            <v>3757.9477642312268</v>
          </cell>
          <cell r="G7">
            <v>4759.4144450601207</v>
          </cell>
          <cell r="H7">
            <v>6027.7649613580843</v>
          </cell>
          <cell r="I7">
            <v>7634.1219805070486</v>
          </cell>
          <cell r="N7">
            <v>4669.8678676776744</v>
          </cell>
          <cell r="O7">
            <v>5443.499464345362</v>
          </cell>
          <cell r="P7">
            <v>6345.2943976044626</v>
          </cell>
          <cell r="Q7">
            <v>7396.4847899755587</v>
          </cell>
          <cell r="R7">
            <v>8621.8201741740613</v>
          </cell>
          <cell r="S7">
            <v>10050.150203315767</v>
          </cell>
          <cell r="X7">
            <v>776.95364440989238</v>
          </cell>
          <cell r="Y7">
            <v>968.16630161262242</v>
          </cell>
          <cell r="Z7">
            <v>1206.4374680811122</v>
          </cell>
          <cell r="AA7">
            <v>1503.3485073438635</v>
          </cell>
          <cell r="AB7">
            <v>1873.3310215636243</v>
          </cell>
          <cell r="AC7">
            <v>2334.3683112793406</v>
          </cell>
          <cell r="AH7">
            <v>427.89758609149351</v>
          </cell>
          <cell r="AI7">
            <v>495.78280159275658</v>
          </cell>
          <cell r="AJ7">
            <v>574.43788968373678</v>
          </cell>
          <cell r="AK7">
            <v>665.57147211281153</v>
          </cell>
          <cell r="AL7">
            <v>771.16324052771961</v>
          </cell>
          <cell r="AM7">
            <v>893.50696124850651</v>
          </cell>
          <cell r="AR7">
            <v>9510.5226984478886</v>
          </cell>
          <cell r="AS7">
            <v>11136.366498659972</v>
          </cell>
          <cell r="AT7">
            <v>13040.151706142919</v>
          </cell>
          <cell r="AU7">
            <v>15269.392987352156</v>
          </cell>
          <cell r="AV7">
            <v>17879.727740618648</v>
          </cell>
        </row>
      </sheetData>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
      <sheetName val="Key Assumptions"/>
      <sheetName val="FCFF Projections (5y )"/>
      <sheetName val="Weighted Avg Cost of Capital"/>
      <sheetName val="Intrinsic Value calculation"/>
      <sheetName val="Interpretations"/>
    </sheetNames>
    <sheetDataSet>
      <sheetData sheetId="0"/>
      <sheetData sheetId="1"/>
      <sheetData sheetId="2">
        <row r="5">
          <cell r="P5">
            <v>29698.98</v>
          </cell>
          <cell r="Q5">
            <v>32907.339999999997</v>
          </cell>
          <cell r="R5">
            <v>43735.63</v>
          </cell>
          <cell r="S5">
            <v>56547.1</v>
          </cell>
          <cell r="T5">
            <v>63272.32</v>
          </cell>
        </row>
        <row r="6">
          <cell r="B6">
            <v>27841.81</v>
          </cell>
          <cell r="C6">
            <v>28149.68</v>
          </cell>
          <cell r="D6">
            <v>31686.47</v>
          </cell>
          <cell r="E6">
            <v>43040.520000000004</v>
          </cell>
          <cell r="F6">
            <v>60281.479999999996</v>
          </cell>
          <cell r="I6">
            <v>8202.41</v>
          </cell>
          <cell r="J6">
            <v>8388.6</v>
          </cell>
          <cell r="K6">
            <v>7686.73</v>
          </cell>
          <cell r="L6">
            <v>7882.74</v>
          </cell>
          <cell r="M6">
            <v>8260.23</v>
          </cell>
          <cell r="W6">
            <v>8559.6899999999987</v>
          </cell>
          <cell r="X6">
            <v>7159.65</v>
          </cell>
          <cell r="Y6">
            <v>8735.84</v>
          </cell>
          <cell r="Z6">
            <v>10867.05</v>
          </cell>
          <cell r="AA6">
            <v>11942.34</v>
          </cell>
          <cell r="AD6">
            <v>112372.57999999999</v>
          </cell>
          <cell r="AE6">
            <v>115546.82999999999</v>
          </cell>
          <cell r="AF6">
            <v>134994.31</v>
          </cell>
          <cell r="AG6">
            <v>177977.16999999998</v>
          </cell>
          <cell r="AH6">
            <v>181165.86000000002</v>
          </cell>
        </row>
        <row r="24">
          <cell r="W24">
            <v>1081.1799999999985</v>
          </cell>
          <cell r="X24">
            <v>822.67999999999972</v>
          </cell>
          <cell r="Y24">
            <v>1743.4799999999993</v>
          </cell>
          <cell r="Z24">
            <v>1480.1199999999994</v>
          </cell>
          <cell r="AA24">
            <v>1725.6499999999999</v>
          </cell>
        </row>
        <row r="25">
          <cell r="B25">
            <v>-2274.7699999999963</v>
          </cell>
          <cell r="C25">
            <v>1269.9800000000016</v>
          </cell>
          <cell r="D25">
            <v>4911.5800000000045</v>
          </cell>
          <cell r="E25">
            <v>10726.640000000003</v>
          </cell>
          <cell r="F25">
            <v>20828.789999999994</v>
          </cell>
          <cell r="I25">
            <v>-4255.37</v>
          </cell>
          <cell r="J25">
            <v>427.08000000000004</v>
          </cell>
          <cell r="K25">
            <v>-565.12999999999965</v>
          </cell>
          <cell r="L25">
            <v>-361.35999999999962</v>
          </cell>
          <cell r="M25">
            <v>-2242.1800000000003</v>
          </cell>
        </row>
        <row r="27">
          <cell r="AD27">
            <v>11908.909999999978</v>
          </cell>
          <cell r="AE27">
            <v>14969.399999999996</v>
          </cell>
          <cell r="AF27">
            <v>16960.29</v>
          </cell>
          <cell r="AG27">
            <v>17121.34999999998</v>
          </cell>
          <cell r="AH27">
            <v>21332.250000000007</v>
          </cell>
        </row>
        <row r="36">
          <cell r="P36">
            <v>1726.6699999999994</v>
          </cell>
          <cell r="Q36">
            <v>1484.85</v>
          </cell>
          <cell r="R36">
            <v>2623.439999999996</v>
          </cell>
          <cell r="S36">
            <v>3809.6699999999983</v>
          </cell>
          <cell r="T36">
            <v>4280.1000000000031</v>
          </cell>
        </row>
      </sheetData>
      <sheetData sheetId="3"/>
      <sheetData sheetId="4">
        <row r="8">
          <cell r="B8">
            <v>-0.35102037667137254</v>
          </cell>
        </row>
      </sheetData>
      <sheetData sheetId="5"/>
      <sheetData sheetId="6">
        <row r="3">
          <cell r="D3">
            <v>73778.504262243165</v>
          </cell>
          <cell r="E3">
            <v>90297.512456128039</v>
          </cell>
          <cell r="F3">
            <v>110515.12682857817</v>
          </cell>
          <cell r="G3">
            <v>135259.46535759571</v>
          </cell>
          <cell r="H3">
            <v>165544.06164868723</v>
          </cell>
          <cell r="I3">
            <v>202609.37949660025</v>
          </cell>
          <cell r="N3">
            <v>8285.8736425387178</v>
          </cell>
          <cell r="O3">
            <v>8311.5968950159786</v>
          </cell>
          <cell r="P3">
            <v>8337.4000045785087</v>
          </cell>
          <cell r="Q3">
            <v>8363.2832191402958</v>
          </cell>
          <cell r="R3">
            <v>8389.2467873849673</v>
          </cell>
          <cell r="S3">
            <v>8415.2909587681843</v>
          </cell>
          <cell r="X3">
            <v>76700.989735291965</v>
          </cell>
          <cell r="Y3">
            <v>92979.707814939669</v>
          </cell>
          <cell r="Z3">
            <v>112713.35735285404</v>
          </cell>
          <cell r="AA3">
            <v>136635.19948931149</v>
          </cell>
          <cell r="AB3">
            <v>165634.1198411762</v>
          </cell>
          <cell r="AC3">
            <v>200787.65763215534</v>
          </cell>
          <cell r="AH3">
            <v>13117.003979751122</v>
          </cell>
          <cell r="AI3">
            <v>14407.209425021123</v>
          </cell>
          <cell r="AJ3">
            <v>15824.321143520445</v>
          </cell>
          <cell r="AK3">
            <v>17380.82180011769</v>
          </cell>
          <cell r="AL3">
            <v>19090.421870712842</v>
          </cell>
          <cell r="AM3">
            <v>20968.180411315388</v>
          </cell>
          <cell r="AR3">
            <v>205300.6409305374</v>
          </cell>
          <cell r="AS3">
            <v>232650.63940021282</v>
          </cell>
          <cell r="AT3">
            <v>263644.18429478392</v>
          </cell>
          <cell r="AU3">
            <v>298766.66615513462</v>
          </cell>
          <cell r="AV3">
            <v>338568.13888846949</v>
          </cell>
          <cell r="AW3">
            <v>383671.93417381163</v>
          </cell>
        </row>
        <row r="6">
          <cell r="D6">
            <v>17618.497096115192</v>
          </cell>
          <cell r="E6">
            <v>20320.366109098839</v>
          </cell>
          <cell r="F6">
            <v>23436.577850834921</v>
          </cell>
          <cell r="G6">
            <v>27030.673483402359</v>
          </cell>
          <cell r="H6">
            <v>31175.9384674961</v>
          </cell>
          <cell r="I6">
            <v>35956.896890708354</v>
          </cell>
          <cell r="N6">
            <v>-2037.2839887150533</v>
          </cell>
          <cell r="O6">
            <v>-1851.1118869469519</v>
          </cell>
          <cell r="P6">
            <v>-1681.9526570556936</v>
          </cell>
          <cell r="Q6">
            <v>-1528.2516202964548</v>
          </cell>
          <cell r="R6">
            <v>-1388.5961683530334</v>
          </cell>
          <cell r="S6">
            <v>-1261.7027805870657</v>
          </cell>
          <cell r="X6">
            <v>4440.9522871744393</v>
          </cell>
          <cell r="Y6">
            <v>4607.8496336440439</v>
          </cell>
          <cell r="Z6">
            <v>4781.0192213937535</v>
          </cell>
          <cell r="AA6">
            <v>4960.6967702328293</v>
          </cell>
          <cell r="AB6">
            <v>5147.1268586585184</v>
          </cell>
          <cell r="AC6">
            <v>5340.5632567782341</v>
          </cell>
          <cell r="AH6">
            <v>2030.0273021342168</v>
          </cell>
          <cell r="AI6">
            <v>2388.0919348711077</v>
          </cell>
          <cell r="AJ6">
            <v>2809.3134921883793</v>
          </cell>
          <cell r="AK6">
            <v>3304.8318543136966</v>
          </cell>
          <cell r="AL6">
            <v>3887.7517997390287</v>
          </cell>
          <cell r="AM6">
            <v>4573.4895821236441</v>
          </cell>
          <cell r="AR6">
            <v>23306.428827337681</v>
          </cell>
          <cell r="AS6">
            <v>26715.667212618217</v>
          </cell>
          <cell r="AT6">
            <v>30623.605182197014</v>
          </cell>
          <cell r="AU6">
            <v>35103.191954425303</v>
          </cell>
          <cell r="AV6">
            <v>40238.047677860835</v>
          </cell>
          <cell r="AW6">
            <v>46124.024363023447</v>
          </cell>
        </row>
      </sheetData>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Common Size Balance Sheet"/>
      <sheetName val="Income Statement"/>
      <sheetName val="Common Size Income Statement"/>
      <sheetName val="Cash Flow Statement"/>
      <sheetName val="Financial Ratio"/>
      <sheetName val="Dupont Analysis"/>
      <sheetName val="Balance Sheet Forecast"/>
      <sheetName val="Income Statement Forecast"/>
      <sheetName val="WACC &amp; Key Assumptions"/>
      <sheetName val="DCF Valuation"/>
      <sheetName val="Relative Valuation"/>
    </sheetNames>
    <sheetDataSet>
      <sheetData sheetId="0"/>
      <sheetData sheetId="1">
        <row r="28">
          <cell r="B28">
            <v>12076.449999999999</v>
          </cell>
        </row>
      </sheetData>
      <sheetData sheetId="2"/>
      <sheetData sheetId="3">
        <row r="6">
          <cell r="B6">
            <v>24930.190000000002</v>
          </cell>
          <cell r="C6">
            <v>24339.27</v>
          </cell>
          <cell r="D6">
            <v>31093.760000000002</v>
          </cell>
          <cell r="E6">
            <v>42968.899999999994</v>
          </cell>
          <cell r="F6">
            <v>50935.28</v>
          </cell>
          <cell r="G6">
            <v>59482.36</v>
          </cell>
          <cell r="J6">
            <v>40415</v>
          </cell>
          <cell r="K6">
            <v>47438</v>
          </cell>
          <cell r="L6">
            <v>52704</v>
          </cell>
          <cell r="M6">
            <v>61092</v>
          </cell>
          <cell r="N6">
            <v>62707</v>
          </cell>
          <cell r="Q6">
            <v>53991.360000000001</v>
          </cell>
          <cell r="R6">
            <v>55787.68</v>
          </cell>
          <cell r="S6">
            <v>67041.31</v>
          </cell>
          <cell r="T6">
            <v>78498.700000000012</v>
          </cell>
          <cell r="U6">
            <v>76584.649999999994</v>
          </cell>
          <cell r="V6">
            <v>84142.47</v>
          </cell>
          <cell r="Y6">
            <v>21205</v>
          </cell>
          <cell r="Z6">
            <v>21830</v>
          </cell>
          <cell r="AA6">
            <v>29033</v>
          </cell>
          <cell r="AB6">
            <v>40883</v>
          </cell>
          <cell r="AC6">
            <v>51617</v>
          </cell>
          <cell r="AD6">
            <v>60942</v>
          </cell>
          <cell r="AG6">
            <v>3635.4</v>
          </cell>
          <cell r="AH6">
            <v>2794.56</v>
          </cell>
          <cell r="AI6">
            <v>4673.2300000000005</v>
          </cell>
          <cell r="AJ6">
            <v>8502.94</v>
          </cell>
          <cell r="AK6">
            <v>12664.380000000001</v>
          </cell>
          <cell r="AL6">
            <v>17353.170000000002</v>
          </cell>
          <cell r="AO6">
            <v>6592.76</v>
          </cell>
          <cell r="AP6">
            <v>9026.2159999999985</v>
          </cell>
          <cell r="AQ6">
            <v>13429.407000000001</v>
          </cell>
          <cell r="AR6">
            <v>16400.421999999999</v>
          </cell>
          <cell r="AS6">
            <v>20602.596000000001</v>
          </cell>
        </row>
        <row r="21">
          <cell r="B21">
            <v>1300.9800000000041</v>
          </cell>
          <cell r="C21">
            <v>1099.4300000000007</v>
          </cell>
          <cell r="D21">
            <v>1492.4000000000026</v>
          </cell>
          <cell r="E21">
            <v>2378.3399999999892</v>
          </cell>
          <cell r="F21">
            <v>2535.6099999999942</v>
          </cell>
          <cell r="G21">
            <v>2707.449999999998</v>
          </cell>
        </row>
        <row r="25">
          <cell r="AG25">
            <v>105.97999999999961</v>
          </cell>
          <cell r="AH25">
            <v>-181.13000000000028</v>
          </cell>
          <cell r="AI25">
            <v>34.600000000000435</v>
          </cell>
          <cell r="AJ25">
            <v>393.6900000000017</v>
          </cell>
          <cell r="AK25">
            <v>1477.3899999999987</v>
          </cell>
          <cell r="AL25">
            <v>1534.4100000000017</v>
          </cell>
        </row>
        <row r="27">
          <cell r="J27">
            <v>6756</v>
          </cell>
          <cell r="K27">
            <v>7999</v>
          </cell>
          <cell r="L27">
            <v>8892</v>
          </cell>
          <cell r="M27">
            <v>10143</v>
          </cell>
          <cell r="N27">
            <v>10282</v>
          </cell>
          <cell r="AO27">
            <v>357.26800000000088</v>
          </cell>
          <cell r="AP27">
            <v>746.05199999999832</v>
          </cell>
          <cell r="AQ27">
            <v>1550.1140000000019</v>
          </cell>
          <cell r="AR27">
            <v>2101.8130000000001</v>
          </cell>
          <cell r="AS27">
            <v>2634.2839999999992</v>
          </cell>
        </row>
        <row r="28">
          <cell r="Y28">
            <v>1493</v>
          </cell>
          <cell r="Z28">
            <v>974</v>
          </cell>
          <cell r="AA28">
            <v>2198</v>
          </cell>
          <cell r="AB28">
            <v>3274</v>
          </cell>
          <cell r="AC28">
            <v>3496</v>
          </cell>
          <cell r="AD28">
            <v>3337</v>
          </cell>
        </row>
        <row r="30">
          <cell r="Q30">
            <v>15592.779999999999</v>
          </cell>
          <cell r="R30">
            <v>13382.879999999997</v>
          </cell>
          <cell r="S30">
            <v>15503.129999999997</v>
          </cell>
          <cell r="T30">
            <v>19476.720000000016</v>
          </cell>
          <cell r="U30">
            <v>20751.359999999993</v>
          </cell>
          <cell r="V30">
            <v>35052.480000000003</v>
          </cell>
        </row>
      </sheetData>
      <sheetData sheetId="4"/>
      <sheetData sheetId="5"/>
      <sheetData sheetId="6">
        <row r="7">
          <cell r="B7">
            <v>0.11741484810743527</v>
          </cell>
        </row>
      </sheetData>
      <sheetData sheetId="7"/>
      <sheetData sheetId="8"/>
      <sheetData sheetId="9">
        <row r="6">
          <cell r="D6">
            <v>68759.670686451544</v>
          </cell>
          <cell r="E6">
            <v>79484.029484405692</v>
          </cell>
          <cell r="F6">
            <v>91881.154378792766</v>
          </cell>
          <cell r="G6">
            <v>106211.97350176869</v>
          </cell>
          <cell r="H6">
            <v>122778.11781930229</v>
          </cell>
          <cell r="M6">
            <v>67473.415295990329</v>
          </cell>
          <cell r="N6">
            <v>72603.056127397125</v>
          </cell>
          <cell r="O6">
            <v>78123.641688896692</v>
          </cell>
          <cell r="P6">
            <v>84065.008220783653</v>
          </cell>
          <cell r="Q6">
            <v>90459.270769277486</v>
          </cell>
          <cell r="R6">
            <v>97340.997309732804</v>
          </cell>
          <cell r="W6">
            <v>90670.70976091527</v>
          </cell>
          <cell r="X6">
            <v>97722.987539869675</v>
          </cell>
          <cell r="Y6">
            <v>105341.28902655539</v>
          </cell>
          <cell r="Z6">
            <v>113570.96413910274</v>
          </cell>
          <cell r="AA6">
            <v>122460.99659133804</v>
          </cell>
          <cell r="AF6">
            <v>72666.305425619386</v>
          </cell>
          <cell r="AG6">
            <v>86646.384159711452</v>
          </cell>
          <cell r="AH6">
            <v>103316.29203906145</v>
          </cell>
          <cell r="AI6">
            <v>123193.61478217383</v>
          </cell>
          <cell r="AJ6">
            <v>146895.54439597522</v>
          </cell>
          <cell r="AO6">
            <v>22575.396445599974</v>
          </cell>
          <cell r="AP6">
            <v>29381.465023052519</v>
          </cell>
          <cell r="AQ6">
            <v>38252.548430859439</v>
          </cell>
          <cell r="AR6">
            <v>49816.053279592597</v>
          </cell>
          <cell r="AS6">
            <v>64890.065741058927</v>
          </cell>
          <cell r="AX6">
            <v>24911.40976590187</v>
          </cell>
          <cell r="AY6">
            <v>30121.377810395818</v>
          </cell>
          <cell r="AZ6">
            <v>36420.971980128292</v>
          </cell>
          <cell r="BA6">
            <v>44038.082614020277</v>
          </cell>
          <cell r="BB6">
            <v>53248.262961324101</v>
          </cell>
          <cell r="BC6">
            <v>64384.697955064534</v>
          </cell>
        </row>
        <row r="18">
          <cell r="D18">
            <v>2632.8514078304079</v>
          </cell>
          <cell r="E18">
            <v>2965.0561592331183</v>
          </cell>
          <cell r="F18">
            <v>3350.9216849407585</v>
          </cell>
          <cell r="G18">
            <v>3798.1351010950484</v>
          </cell>
          <cell r="H18">
            <v>4315.5328542022826</v>
          </cell>
          <cell r="M18">
            <v>14602.832648797412</v>
          </cell>
          <cell r="N18">
            <v>11942.974649995596</v>
          </cell>
          <cell r="O18">
            <v>13021.884239470137</v>
          </cell>
          <cell r="P18">
            <v>14169.150201183322</v>
          </cell>
          <cell r="Q18">
            <v>15393.52767704432</v>
          </cell>
          <cell r="R18">
            <v>16703.753341066884</v>
          </cell>
          <cell r="W18">
            <v>30948.524159080207</v>
          </cell>
          <cell r="X18">
            <v>25159.06259820464</v>
          </cell>
          <cell r="Y18">
            <v>27092.186879449051</v>
          </cell>
          <cell r="Z18">
            <v>29183.086379645669</v>
          </cell>
          <cell r="AA18">
            <v>31444.18058496009</v>
          </cell>
          <cell r="AF18">
            <v>5173.7367941589082</v>
          </cell>
          <cell r="AG18">
            <v>6215.2794681760861</v>
          </cell>
          <cell r="AH18">
            <v>7442.2486463629821</v>
          </cell>
          <cell r="AI18">
            <v>8895.1785998287032</v>
          </cell>
          <cell r="AJ18">
            <v>10620.830567815176</v>
          </cell>
          <cell r="AO18">
            <v>1477.9383905970849</v>
          </cell>
          <cell r="AP18">
            <v>2039.1123445042776</v>
          </cell>
          <cell r="AQ18">
            <v>2716.9239302327505</v>
          </cell>
          <cell r="AR18">
            <v>3571.8102398798401</v>
          </cell>
          <cell r="AS18">
            <v>4670.9384411365327</v>
          </cell>
          <cell r="AX18">
            <v>4306.8034684782306</v>
          </cell>
          <cell r="AY18">
            <v>4009.370830859727</v>
          </cell>
          <cell r="AZ18">
            <v>4835.386770190169</v>
          </cell>
          <cell r="BA18">
            <v>5835.4005346973318</v>
          </cell>
          <cell r="BB18">
            <v>7045.6798407418637</v>
          </cell>
          <cell r="BC18">
            <v>8510.0900256920431</v>
          </cell>
        </row>
      </sheetData>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Banks"/>
      <sheetName val="Balance Sheet-NBFCs"/>
      <sheetName val="Income Statement-Banks"/>
      <sheetName val="Income Statement-NBFCs"/>
      <sheetName val="Cash Flow Statement-Banks"/>
      <sheetName val="Cash Flow Statement-NBFCs"/>
      <sheetName val="Financial Ratios-Banks"/>
      <sheetName val="Financial Ratios-NBFCs"/>
      <sheetName val="Dupont Analysis"/>
      <sheetName val="Input &amp; Assumptions-Banks"/>
      <sheetName val="Financial Projections"/>
      <sheetName val="Calc"/>
      <sheetName val="WACC"/>
      <sheetName val="DCF-DDM-RIM"/>
      <sheetName val="Intrinsic Value"/>
      <sheetName val="Senstivity Analysis-Intrinsic "/>
      <sheetName val="Senstivity Analysis"/>
      <sheetName val="Data"/>
      <sheetName val="Axis"/>
      <sheetName val="HDFC"/>
      <sheetName val="ICICI"/>
      <sheetName val="BankData"/>
      <sheetName val="ChartData"/>
      <sheetName val="Holdings"/>
      <sheetName val="Transactions"/>
      <sheetName val="DashBoard"/>
    </sheetNames>
    <sheetDataSet>
      <sheetData sheetId="0">
        <row r="8">
          <cell r="B8">
            <v>21.717600000000001</v>
          </cell>
          <cell r="C8">
            <v>18.590900000000001</v>
          </cell>
          <cell r="D8">
            <v>14.611800000000001</v>
          </cell>
          <cell r="E8">
            <v>9.9600000000000009</v>
          </cell>
          <cell r="F8">
            <v>49.994</v>
          </cell>
          <cell r="G8">
            <v>39.635800000000003</v>
          </cell>
          <cell r="H8">
            <v>21.564800000000002</v>
          </cell>
        </row>
      </sheetData>
      <sheetData sheetId="1">
        <row r="13">
          <cell r="B13">
            <v>642157.20000000007</v>
          </cell>
          <cell r="C13">
            <v>698302.63</v>
          </cell>
          <cell r="D13">
            <v>820914.16</v>
          </cell>
          <cell r="E13">
            <v>945824.72</v>
          </cell>
          <cell r="F13">
            <v>1067102.4000000001</v>
          </cell>
          <cell r="G13">
            <v>1146207.1300000001</v>
          </cell>
          <cell r="H13">
            <v>1333720.8699999999</v>
          </cell>
          <cell r="I13">
            <v>1558003.03</v>
          </cell>
          <cell r="J13">
            <v>1882663.25</v>
          </cell>
          <cell r="K13">
            <v>2376887.2799999998</v>
          </cell>
          <cell r="L13">
            <v>800784.45</v>
          </cell>
          <cell r="M13">
            <v>932522.15</v>
          </cell>
          <cell r="N13">
            <v>1064571.6099999999</v>
          </cell>
          <cell r="O13">
            <v>1210832.1399999999</v>
          </cell>
          <cell r="P13">
            <v>1443579.94</v>
          </cell>
          <cell r="Q13">
            <v>3274160.6100000003</v>
          </cell>
          <cell r="R13">
            <v>3715331.23</v>
          </cell>
          <cell r="S13">
            <v>4087410.5971999997</v>
          </cell>
          <cell r="T13">
            <v>4468535.4899999993</v>
          </cell>
          <cell r="U13">
            <v>4966537.47</v>
          </cell>
        </row>
        <row r="75">
          <cell r="B75">
            <v>582958.80000000005</v>
          </cell>
          <cell r="C75">
            <v>625749.9</v>
          </cell>
          <cell r="D75">
            <v>725125.5</v>
          </cell>
          <cell r="E75">
            <v>868387.54</v>
          </cell>
          <cell r="F75">
            <v>999333.47999999986</v>
          </cell>
          <cell r="G75">
            <v>1043670.83</v>
          </cell>
          <cell r="H75">
            <v>1185283.4889999998</v>
          </cell>
          <cell r="I75">
            <v>1420942.2800000003</v>
          </cell>
          <cell r="J75">
            <v>1661949.29</v>
          </cell>
          <cell r="K75">
            <v>2565891.4</v>
          </cell>
          <cell r="L75">
            <v>706246.08569999994</v>
          </cell>
          <cell r="M75">
            <v>733729.03999999992</v>
          </cell>
          <cell r="N75">
            <v>859020.4</v>
          </cell>
          <cell r="O75">
            <v>1083866.26</v>
          </cell>
          <cell r="P75">
            <v>1260776.17</v>
          </cell>
          <cell r="Q75">
            <v>2374311.1500000004</v>
          </cell>
          <cell r="R75">
            <v>2500598.9677999998</v>
          </cell>
          <cell r="S75">
            <v>2794075.9758000001</v>
          </cell>
          <cell r="T75">
            <v>3267902.1236</v>
          </cell>
          <cell r="U75">
            <v>3784272.6676000003</v>
          </cell>
        </row>
      </sheetData>
      <sheetData sheetId="2">
        <row r="14">
          <cell r="B14">
            <v>0</v>
          </cell>
          <cell r="C14">
            <v>0</v>
          </cell>
          <cell r="D14">
            <v>510</v>
          </cell>
          <cell r="E14">
            <v>175.77</v>
          </cell>
          <cell r="F14">
            <v>184.26</v>
          </cell>
          <cell r="G14">
            <v>21427.1</v>
          </cell>
          <cell r="H14">
            <v>25803.43</v>
          </cell>
          <cell r="I14">
            <v>30799.52</v>
          </cell>
          <cell r="J14">
            <v>44665.56</v>
          </cell>
          <cell r="K14">
            <v>60150.92</v>
          </cell>
          <cell r="L14">
            <v>2560.06</v>
          </cell>
          <cell r="M14">
            <v>2579.5300000000002</v>
          </cell>
          <cell r="N14">
            <v>2235.2600000000002</v>
          </cell>
          <cell r="O14">
            <v>3314.76</v>
          </cell>
          <cell r="P14">
            <v>4018.26</v>
          </cell>
        </row>
        <row r="27">
          <cell r="B27">
            <v>27975.41</v>
          </cell>
          <cell r="C27">
            <v>33418.9</v>
          </cell>
          <cell r="D27">
            <v>46482.07</v>
          </cell>
          <cell r="E27">
            <v>62113.89</v>
          </cell>
          <cell r="F27">
            <v>79300.75</v>
          </cell>
          <cell r="G27">
            <v>141376.04999999999</v>
          </cell>
          <cell r="H27">
            <v>146686.87</v>
          </cell>
          <cell r="I27">
            <v>191423.25</v>
          </cell>
          <cell r="J27">
            <v>242268.93</v>
          </cell>
          <cell r="K27">
            <v>326293.32</v>
          </cell>
          <cell r="L27">
            <v>470677.41</v>
          </cell>
          <cell r="M27">
            <v>588085.17000000004</v>
          </cell>
          <cell r="N27">
            <v>645276.41</v>
          </cell>
          <cell r="O27">
            <v>705543.84</v>
          </cell>
          <cell r="P27">
            <v>881871.71</v>
          </cell>
        </row>
      </sheetData>
      <sheetData sheetId="3"/>
      <sheetData sheetId="4"/>
      <sheetData sheetId="5"/>
      <sheetData sheetId="6"/>
      <sheetData sheetId="7">
        <row r="5">
          <cell r="B5">
            <v>3.4839247014397376E-2</v>
          </cell>
          <cell r="C5">
            <v>3.4978828864548971E-2</v>
          </cell>
          <cell r="D5">
            <v>3.3932438583665528E-2</v>
          </cell>
          <cell r="E5">
            <v>3.8097614925163094E-2</v>
          </cell>
          <cell r="F5">
            <v>3.8573855203025836E-2</v>
          </cell>
          <cell r="H5">
            <v>4.1907401010159537E-2</v>
          </cell>
          <cell r="I5">
            <v>4.2672577479119844E-2</v>
          </cell>
          <cell r="J5">
            <v>4.1360189310468198E-2</v>
          </cell>
          <cell r="K5">
            <v>4.2775607985347339E-2</v>
          </cell>
          <cell r="L5">
            <v>3.6261464881763884E-2</v>
          </cell>
          <cell r="N5">
            <v>3.4939199751295828E-2</v>
          </cell>
          <cell r="O5">
            <v>3.8412646584576958E-2</v>
          </cell>
          <cell r="P5">
            <v>4.0594939783180718E-2</v>
          </cell>
          <cell r="Q5">
            <v>4.0920667026265983E-2</v>
          </cell>
          <cell r="R5">
            <v>4.0905303093127787E-2</v>
          </cell>
          <cell r="T5">
            <v>3.0180422704034003E-2</v>
          </cell>
          <cell r="U5">
            <v>2.9813056023339241E-2</v>
          </cell>
          <cell r="V5">
            <v>2.9269536184298714E-2</v>
          </cell>
          <cell r="W5">
            <v>3.1048727043004602E-2</v>
          </cell>
          <cell r="X5">
            <v>3.0442394818105532E-2</v>
          </cell>
        </row>
        <row r="6">
          <cell r="B6">
            <v>1.1847772664158384E-2</v>
          </cell>
          <cell r="C6">
            <v>8.0723854656032639E-3</v>
          </cell>
          <cell r="D6">
            <v>1.7404076815255114E-2</v>
          </cell>
          <cell r="E6">
            <v>1.7267152457068325E-2</v>
          </cell>
          <cell r="F6">
            <v>1.7703057507999886E-2</v>
          </cell>
          <cell r="H6">
            <v>1.797209365726261E-2</v>
          </cell>
          <cell r="I6">
            <v>1.8238548077406255E-2</v>
          </cell>
          <cell r="J6">
            <v>1.6239043564711553E-2</v>
          </cell>
          <cell r="K6">
            <v>8.1503899691041763E-3</v>
          </cell>
          <cell r="L6">
            <v>1.3160155833003616E-2</v>
          </cell>
          <cell r="N6">
            <v>1.6537610755695868E-2</v>
          </cell>
          <cell r="O6">
            <v>1.7596730653264288E-2</v>
          </cell>
          <cell r="P6">
            <v>1.9037879694638233E-2</v>
          </cell>
          <cell r="Q6">
            <v>4.3304004742145772E-3</v>
          </cell>
          <cell r="R6">
            <v>5.0106544021304919E-3</v>
          </cell>
          <cell r="T6">
            <v>6.7817500515936742E-3</v>
          </cell>
          <cell r="U6">
            <v>9.49856518904235E-3</v>
          </cell>
          <cell r="V6">
            <v>1.0118874332278593E-2</v>
          </cell>
          <cell r="W6">
            <v>9.49856518904235E-3</v>
          </cell>
          <cell r="X6">
            <v>1.0118874332278593E-2</v>
          </cell>
        </row>
        <row r="7">
          <cell r="B7">
            <v>2.1731233395065531E-2</v>
          </cell>
          <cell r="C7">
            <v>6.9890799089695269E-2</v>
          </cell>
          <cell r="D7">
            <v>0.11950818248863654</v>
          </cell>
          <cell r="E7">
            <v>8.3369707417163416E-2</v>
          </cell>
          <cell r="F7">
            <v>0.16774405458099576</v>
          </cell>
          <cell r="G7">
            <v>9.2448795394311306E-2</v>
          </cell>
          <cell r="H7">
            <v>0.15427255427166531</v>
          </cell>
          <cell r="I7">
            <v>0.15137960009492352</v>
          </cell>
          <cell r="J7">
            <v>0.1538053860690197</v>
          </cell>
          <cell r="K7">
            <v>0.15897022422770324</v>
          </cell>
          <cell r="L7">
            <v>0.13931348306271474</v>
          </cell>
          <cell r="M7">
            <v>0.15154824954520529</v>
          </cell>
          <cell r="N7">
            <v>8.651293054283922E-2</v>
          </cell>
          <cell r="O7">
            <v>0.10977407711167543</v>
          </cell>
          <cell r="P7">
            <v>0.13687890691069401</v>
          </cell>
          <cell r="Q7">
            <v>0.15581120686022695</v>
          </cell>
          <cell r="R7">
            <v>0.16667175754063712</v>
          </cell>
          <cell r="S7">
            <v>0.13112977579321455</v>
          </cell>
          <cell r="T7">
            <v>7.0179713482350886E-2</v>
          </cell>
          <cell r="U7">
            <v>8.513599931778186E-2</v>
          </cell>
          <cell r="V7">
            <v>0.11476228668176004</v>
          </cell>
          <cell r="W7">
            <v>0.15213370185356512</v>
          </cell>
          <cell r="X7">
            <v>0.15825602725473359</v>
          </cell>
          <cell r="Y7">
            <v>0.11609354571803829</v>
          </cell>
        </row>
        <row r="9">
          <cell r="G9">
            <v>0.71679224232207595</v>
          </cell>
          <cell r="M9">
            <v>0.73708767509115203</v>
          </cell>
          <cell r="S9">
            <v>0.63815836330158215</v>
          </cell>
          <cell r="Y9">
            <v>0.60507254845253988</v>
          </cell>
        </row>
        <row r="10">
          <cell r="G10">
            <v>0.11500605693846029</v>
          </cell>
          <cell r="M10">
            <v>0.20067144363883269</v>
          </cell>
          <cell r="S10">
            <v>0.16766427194136807</v>
          </cell>
          <cell r="Y10">
            <v>8.7162483680280081E-2</v>
          </cell>
        </row>
        <row r="13">
          <cell r="B13">
            <v>1.5599999999999999E-2</v>
          </cell>
          <cell r="C13">
            <v>1.0500000000000001E-2</v>
          </cell>
          <cell r="D13">
            <v>7.3000000000000001E-3</v>
          </cell>
          <cell r="E13">
            <v>3.8999999999999998E-3</v>
          </cell>
          <cell r="F13">
            <v>3.0999999999999999E-3</v>
          </cell>
          <cell r="H13">
            <v>4.0000000000000001E-3</v>
          </cell>
          <cell r="I13">
            <v>3.2000000000000002E-3</v>
          </cell>
          <cell r="J13">
            <v>2.7000000000000001E-3</v>
          </cell>
          <cell r="K13">
            <v>3.3E-3</v>
          </cell>
          <cell r="L13">
            <v>4.3E-3</v>
          </cell>
          <cell r="N13">
            <v>1.14E-2</v>
          </cell>
          <cell r="O13">
            <v>7.6E-3</v>
          </cell>
          <cell r="P13">
            <v>4.7999999999999996E-3</v>
          </cell>
          <cell r="Q13">
            <v>4.1999999999999997E-3</v>
          </cell>
          <cell r="R13">
            <v>3.8999999999999998E-3</v>
          </cell>
          <cell r="T13">
            <v>1.4999999999999999E-2</v>
          </cell>
          <cell r="U13">
            <v>1.0200000000000001E-2</v>
          </cell>
          <cell r="V13">
            <v>6.7000000000000002E-3</v>
          </cell>
          <cell r="W13">
            <v>5.7000000000000002E-3</v>
          </cell>
          <cell r="X13">
            <v>4.7000000000000002E-3</v>
          </cell>
        </row>
        <row r="16">
          <cell r="B16">
            <v>0.17526661392534645</v>
          </cell>
          <cell r="C16">
            <v>0.19119999119307146</v>
          </cell>
          <cell r="D16">
            <v>0.18539112449331538</v>
          </cell>
          <cell r="E16">
            <v>0.17638649885180335</v>
          </cell>
          <cell r="F16">
            <v>0.1663252552407215</v>
          </cell>
          <cell r="H16">
            <v>0.18523668882529196</v>
          </cell>
          <cell r="I16">
            <v>0.18790385887956182</v>
          </cell>
          <cell r="J16">
            <v>0.18894159585052456</v>
          </cell>
          <cell r="K16">
            <v>0.19258673715345337</v>
          </cell>
          <cell r="L16">
            <v>0.18800548807374581</v>
          </cell>
          <cell r="N16">
            <v>0</v>
          </cell>
          <cell r="O16">
            <v>0.19120000000000004</v>
          </cell>
          <cell r="P16">
            <v>0.19159999999999999</v>
          </cell>
          <cell r="Q16">
            <v>0</v>
          </cell>
          <cell r="R16">
            <v>0</v>
          </cell>
          <cell r="T16">
            <v>0</v>
          </cell>
          <cell r="U16">
            <v>0</v>
          </cell>
          <cell r="V16">
            <v>0</v>
          </cell>
          <cell r="W16">
            <v>0</v>
          </cell>
          <cell r="X16">
            <v>0</v>
          </cell>
        </row>
      </sheetData>
      <sheetData sheetId="8">
        <row r="5">
          <cell r="B5">
            <v>2.2538474180891058E-2</v>
          </cell>
          <cell r="C5">
            <v>2.4848330214889153E-2</v>
          </cell>
          <cell r="D5">
            <v>2.7790290201159265E-2</v>
          </cell>
          <cell r="E5">
            <v>3.2097425243469521E-2</v>
          </cell>
          <cell r="F5">
            <v>3.0893291573587764E-2</v>
          </cell>
          <cell r="G5">
            <v>8.4930683655513373E-2</v>
          </cell>
          <cell r="H5">
            <v>8.4135340249659907E-2</v>
          </cell>
          <cell r="I5">
            <v>8.6029479528994091E-2</v>
          </cell>
          <cell r="J5">
            <v>8.6742937166773754E-2</v>
          </cell>
          <cell r="K5">
            <v>8.2822132867073142E-2</v>
          </cell>
          <cell r="L5">
            <v>0.13088292112909936</v>
          </cell>
          <cell r="M5">
            <v>0.11923922011863398</v>
          </cell>
          <cell r="N5">
            <v>0.11787989625868241</v>
          </cell>
          <cell r="O5">
            <v>0.10332415022336962</v>
          </cell>
          <cell r="P5">
            <v>0.10253835327550193</v>
          </cell>
        </row>
        <row r="6">
          <cell r="B6">
            <v>1.3429948980665194E-2</v>
          </cell>
          <cell r="C6">
            <v>1.1970975291488582E-2</v>
          </cell>
          <cell r="D6">
            <v>1.4623175348691888E-2</v>
          </cell>
          <cell r="E6">
            <v>1.9454283979339921E-2</v>
          </cell>
          <cell r="F6">
            <v>2.1157052022746963E-2</v>
          </cell>
          <cell r="G6">
            <v>3.2019624874468793E-2</v>
          </cell>
          <cell r="H6">
            <v>2.577599399079961E-2</v>
          </cell>
          <cell r="I6">
            <v>3.3073189306848563E-2</v>
          </cell>
          <cell r="J6">
            <v>4.1811736675901344E-2</v>
          </cell>
          <cell r="K6">
            <v>3.8460392010871702E-2</v>
          </cell>
          <cell r="L6">
            <v>5.7736576343163752E-2</v>
          </cell>
          <cell r="M6">
            <v>5.5635054832405516E-2</v>
          </cell>
          <cell r="N6">
            <v>5.2823771706224286E-2</v>
          </cell>
          <cell r="O6">
            <v>4.5786842792142436E-2</v>
          </cell>
          <cell r="P6">
            <v>4.6310986424506345E-2</v>
          </cell>
        </row>
        <row r="7">
          <cell r="B7">
            <v>7.5437814339147036E-2</v>
          </cell>
          <cell r="C7">
            <v>7.5128228081867005E-2</v>
          </cell>
          <cell r="D7">
            <v>0.10526362633059193</v>
          </cell>
          <cell r="E7">
            <v>0.11975409375627789</v>
          </cell>
          <cell r="F7">
            <v>0.14151469326030963</v>
          </cell>
          <cell r="G7">
            <v>0.16282511275958067</v>
          </cell>
          <cell r="H7">
            <v>0.11971859026431543</v>
          </cell>
          <cell r="I7">
            <v>0.16078237234999729</v>
          </cell>
          <cell r="J7">
            <v>0.21164743310800888</v>
          </cell>
          <cell r="K7">
            <v>0.18842302695013438</v>
          </cell>
          <cell r="L7">
            <v>0.26402700295766679</v>
          </cell>
          <cell r="M7">
            <v>0.24232023655422719</v>
          </cell>
          <cell r="N7">
            <v>0.21064614417384231</v>
          </cell>
          <cell r="O7">
            <v>0.16565695250136281</v>
          </cell>
          <cell r="P7">
            <v>0.173471579604598</v>
          </cell>
        </row>
        <row r="9">
          <cell r="B9">
            <v>0.21445416134420764</v>
          </cell>
          <cell r="C9">
            <v>0.19437030462484542</v>
          </cell>
          <cell r="D9">
            <v>0.2548305395230786</v>
          </cell>
          <cell r="E9">
            <v>0.30011315631989527</v>
          </cell>
          <cell r="F9">
            <v>0.28373795998849966</v>
          </cell>
          <cell r="G9">
            <v>0.27762855561200894</v>
          </cell>
          <cell r="H9">
            <v>0.22469767250010331</v>
          </cell>
          <cell r="I9">
            <v>0.30044429101535713</v>
          </cell>
          <cell r="J9">
            <v>0.37497705877011817</v>
          </cell>
          <cell r="K9">
            <v>0.35127795437068804</v>
          </cell>
          <cell r="L9">
            <v>0.43994215188383284</v>
          </cell>
          <cell r="M9">
            <v>0.44487857927517488</v>
          </cell>
          <cell r="N9">
            <v>0.44400725520395762</v>
          </cell>
          <cell r="O9">
            <v>0.41376024854629018</v>
          </cell>
          <cell r="P9">
            <v>0.39813043146580757</v>
          </cell>
        </row>
        <row r="10">
          <cell r="B10">
            <v>0.15921896433794502</v>
          </cell>
          <cell r="C10">
            <v>0.14362909155447373</v>
          </cell>
          <cell r="D10">
            <v>0.18837151890165704</v>
          </cell>
          <cell r="E10">
            <v>0.22201276511621346</v>
          </cell>
          <cell r="F10">
            <v>0.22726252377683034</v>
          </cell>
          <cell r="G10">
            <v>0.1994930573952565</v>
          </cell>
          <cell r="H10">
            <v>0.16564148401325954</v>
          </cell>
          <cell r="I10">
            <v>0.22212828468404813</v>
          </cell>
          <cell r="J10">
            <v>0.2778409812483672</v>
          </cell>
          <cell r="K10">
            <v>0.26283212607063577</v>
          </cell>
          <cell r="L10">
            <v>0.3264235958483474</v>
          </cell>
          <cell r="M10">
            <v>0.33006096007362357</v>
          </cell>
          <cell r="N10">
            <v>0.32942481623846381</v>
          </cell>
          <cell r="O10">
            <v>0.30645214761914508</v>
          </cell>
          <cell r="P10">
            <v>0.29464288187453169</v>
          </cell>
        </row>
        <row r="13">
          <cell r="B13">
            <v>5.0000000000000001E-4</v>
          </cell>
          <cell r="C13">
            <v>1.8E-3</v>
          </cell>
          <cell r="D13">
            <v>1.4E-3</v>
          </cell>
          <cell r="E13">
            <v>8.0000000000000004E-4</v>
          </cell>
          <cell r="F13">
            <v>1E-3</v>
          </cell>
          <cell r="G13">
            <v>6.4999999999999997E-3</v>
          </cell>
          <cell r="H13">
            <v>7.4999999999999997E-3</v>
          </cell>
          <cell r="I13">
            <v>6.7999999999999996E-3</v>
          </cell>
          <cell r="J13">
            <v>3.3999999999999998E-3</v>
          </cell>
          <cell r="K13">
            <v>3.7000000000000002E-3</v>
          </cell>
          <cell r="L13">
            <v>1.9599999999999999E-2</v>
          </cell>
          <cell r="M13">
            <v>7.7999999999999996E-3</v>
          </cell>
          <cell r="N13">
            <v>2.7099999999999999E-2</v>
          </cell>
          <cell r="O13">
            <v>3.4500000000000003E-2</v>
          </cell>
          <cell r="P13">
            <v>2.93E-2</v>
          </cell>
        </row>
        <row r="16">
          <cell r="B16">
            <v>0.25151808450317781</v>
          </cell>
          <cell r="C16">
            <v>0.213339630230369</v>
          </cell>
          <cell r="D16">
            <v>0.19717899616569698</v>
          </cell>
          <cell r="E16">
            <v>0.22971673193287837</v>
          </cell>
          <cell r="F16">
            <v>0.21282128225027869</v>
          </cell>
        </row>
        <row r="18">
          <cell r="G18">
            <v>0.19600000000000001</v>
          </cell>
          <cell r="H18">
            <v>0.23599999999999999</v>
          </cell>
          <cell r="I18">
            <v>0.23799999999999999</v>
          </cell>
          <cell r="J18">
            <v>0.23200000000000001</v>
          </cell>
          <cell r="K18">
            <v>0.22700000000000001</v>
          </cell>
          <cell r="L18">
            <v>0.24299859727325043</v>
          </cell>
          <cell r="M18">
            <v>0.2631414317274679</v>
          </cell>
          <cell r="N18">
            <v>0.29098575493609385</v>
          </cell>
          <cell r="O18">
            <v>0.31011667366793672</v>
          </cell>
          <cell r="P18">
            <v>0.29607880971069916</v>
          </cell>
        </row>
      </sheetData>
      <sheetData sheetId="9"/>
      <sheetData sheetId="10"/>
      <sheetData sheetId="11">
        <row r="5">
          <cell r="D5">
            <v>1113076.3431270414</v>
          </cell>
          <cell r="E5">
            <v>1239765.2739794801</v>
          </cell>
          <cell r="F5">
            <v>1380873.7774871453</v>
          </cell>
          <cell r="G5">
            <v>1538043.0710331206</v>
          </cell>
          <cell r="H5">
            <v>1713101.1732714393</v>
          </cell>
          <cell r="I5">
            <v>1908084.1656096801</v>
          </cell>
          <cell r="M5">
            <v>3071660.5237216875</v>
          </cell>
          <cell r="N5">
            <v>3677123.0352890976</v>
          </cell>
          <cell r="O5">
            <v>4401929.741985647</v>
          </cell>
          <cell r="P5">
            <v>5269604.8697359934</v>
          </cell>
          <cell r="Q5">
            <v>6308309.5621192763</v>
          </cell>
          <cell r="R5">
            <v>7551755.8745385045</v>
          </cell>
          <cell r="V5">
            <v>1415710.2588467074</v>
          </cell>
          <cell r="W5">
            <v>1589683.8667277566</v>
          </cell>
          <cell r="X5">
            <v>1785036.7194436956</v>
          </cell>
          <cell r="Y5">
            <v>2004396.0666979549</v>
          </cell>
          <cell r="Z5">
            <v>2250712.0152947404</v>
          </cell>
          <cell r="AA5">
            <v>2527297.2043580995</v>
          </cell>
          <cell r="AE5">
            <v>4154046.7403928745</v>
          </cell>
          <cell r="AF5">
            <v>4559952.6876356276</v>
          </cell>
          <cell r="AG5">
            <v>5005521.0769026736</v>
          </cell>
          <cell r="AH5">
            <v>5494627.4594590692</v>
          </cell>
          <cell r="AI5">
            <v>6031526.0797829321</v>
          </cell>
          <cell r="AJ5">
            <v>6620886.8789592348</v>
          </cell>
          <cell r="AN5">
            <v>97673.659974016409</v>
          </cell>
          <cell r="AO5">
            <v>120303.32440386471</v>
          </cell>
          <cell r="AP5">
            <v>148175.97565681121</v>
          </cell>
          <cell r="AQ5">
            <v>182506.34278517554</v>
          </cell>
          <cell r="AR5">
            <v>224790.59111421416</v>
          </cell>
          <cell r="AS5">
            <v>276871.52721566829</v>
          </cell>
          <cell r="AW5">
            <v>385704.45108491846</v>
          </cell>
          <cell r="AX5">
            <v>455933.09598467493</v>
          </cell>
          <cell r="AY5">
            <v>538948.89579172654</v>
          </cell>
          <cell r="AZ5">
            <v>637080.12169593538</v>
          </cell>
          <cell r="BA5">
            <v>753078.97396074119</v>
          </cell>
          <cell r="BB5">
            <v>890198.77046554699</v>
          </cell>
          <cell r="BF5">
            <v>999866.04930453282</v>
          </cell>
          <cell r="BG5">
            <v>1133648.0184309967</v>
          </cell>
          <cell r="BH5">
            <v>1285330.0005400025</v>
          </cell>
          <cell r="BI5">
            <v>1457307.0154303117</v>
          </cell>
          <cell r="BJ5">
            <v>1652294.5362904153</v>
          </cell>
          <cell r="BK5">
            <v>1873371.3663273796</v>
          </cell>
        </row>
        <row r="8">
          <cell r="D8">
            <v>86510.209591432169</v>
          </cell>
          <cell r="E8">
            <v>97760.527157166594</v>
          </cell>
          <cell r="F8">
            <v>110536.23905754853</v>
          </cell>
          <cell r="G8">
            <v>125050.62262987698</v>
          </cell>
          <cell r="H8">
            <v>141547.41612594799</v>
          </cell>
          <cell r="I8">
            <v>160305.23095632804</v>
          </cell>
          <cell r="M8">
            <v>322579.03726990544</v>
          </cell>
          <cell r="N8">
            <v>412796.9389600954</v>
          </cell>
          <cell r="O8">
            <v>531906.6750605742</v>
          </cell>
          <cell r="P8">
            <v>689986.14179837157</v>
          </cell>
          <cell r="Q8">
            <v>900791.12977349851</v>
          </cell>
          <cell r="R8">
            <v>1183126.957374325</v>
          </cell>
          <cell r="V8">
            <v>178387.82998757449</v>
          </cell>
          <cell r="W8">
            <v>197195.76538546989</v>
          </cell>
          <cell r="X8">
            <v>218724.97078884928</v>
          </cell>
          <cell r="Y8">
            <v>243407.1892042929</v>
          </cell>
          <cell r="Z8">
            <v>271744.08776030689</v>
          </cell>
          <cell r="AA8">
            <v>304318.63124557206</v>
          </cell>
          <cell r="AE8">
            <v>368705.0113425405</v>
          </cell>
          <cell r="AF8">
            <v>406003.47632396268</v>
          </cell>
          <cell r="AG8">
            <v>447082.81850027276</v>
          </cell>
          <cell r="AH8">
            <v>492327.07420673873</v>
          </cell>
          <cell r="AI8">
            <v>542159.36524411011</v>
          </cell>
          <cell r="AJ8">
            <v>597045.88456818729</v>
          </cell>
          <cell r="AN8">
            <v>3130.5904985818297</v>
          </cell>
          <cell r="AO8">
            <v>3772.7275349826473</v>
          </cell>
          <cell r="AP8">
            <v>4560.4009415582823</v>
          </cell>
          <cell r="AQ8">
            <v>5527.203467794895</v>
          </cell>
          <cell r="AR8">
            <v>6714.5059410424001</v>
          </cell>
          <cell r="AS8">
            <v>8173.259150794589</v>
          </cell>
          <cell r="AW8">
            <v>40392.275745855201</v>
          </cell>
          <cell r="AX8">
            <v>47451.993742223669</v>
          </cell>
          <cell r="AY8">
            <v>55754.838796928147</v>
          </cell>
          <cell r="AZ8">
            <v>65521.090306009763</v>
          </cell>
          <cell r="BA8">
            <v>77010.265457692352</v>
          </cell>
          <cell r="BB8">
            <v>90528.138740616807</v>
          </cell>
          <cell r="BF8">
            <v>121936.10218944657</v>
          </cell>
          <cell r="BG8">
            <v>138463.52452090735</v>
          </cell>
          <cell r="BH8">
            <v>157237.01489204139</v>
          </cell>
          <cell r="BI8">
            <v>178562.76657142013</v>
          </cell>
          <cell r="BJ8">
            <v>202788.86778772809</v>
          </cell>
          <cell r="BK8">
            <v>230311.05862077858</v>
          </cell>
        </row>
        <row r="12">
          <cell r="D12">
            <v>35347.387521493321</v>
          </cell>
          <cell r="E12">
            <v>46389.64192265358</v>
          </cell>
          <cell r="F12">
            <v>51236.29870128796</v>
          </cell>
          <cell r="G12">
            <v>56595.018282077624</v>
          </cell>
          <cell r="H12">
            <v>62519.467514002288</v>
          </cell>
          <cell r="I12">
            <v>69068.697181874362</v>
          </cell>
          <cell r="M12">
            <v>110421.8285255833</v>
          </cell>
          <cell r="N12">
            <v>126838.96679656213</v>
          </cell>
          <cell r="O12">
            <v>144593.86136560238</v>
          </cell>
          <cell r="P12">
            <v>165258.73731825783</v>
          </cell>
          <cell r="Q12">
            <v>189733.19514242758</v>
          </cell>
          <cell r="R12">
            <v>219377.47684532392</v>
          </cell>
          <cell r="V12">
            <v>70122.988976804292</v>
          </cell>
          <cell r="W12">
            <v>85376.910204187516</v>
          </cell>
          <cell r="X12">
            <v>99628.746308715956</v>
          </cell>
          <cell r="Y12">
            <v>116556.58908710605</v>
          </cell>
          <cell r="Z12">
            <v>136630.42726032954</v>
          </cell>
          <cell r="AA12">
            <v>160399.3935164751</v>
          </cell>
          <cell r="AE12">
            <v>87669.629811321181</v>
          </cell>
          <cell r="AF12">
            <v>104953.5317004519</v>
          </cell>
          <cell r="AG12">
            <v>108938.65869362565</v>
          </cell>
          <cell r="AH12">
            <v>112515.92716696557</v>
          </cell>
          <cell r="AI12">
            <v>115544.54048412241</v>
          </cell>
          <cell r="AJ12">
            <v>117857.2094632036</v>
          </cell>
          <cell r="AN12">
            <v>2637.0542982339762</v>
          </cell>
          <cell r="AO12">
            <v>3176.5253408219496</v>
          </cell>
          <cell r="AP12">
            <v>3838.2011153650055</v>
          </cell>
          <cell r="AQ12">
            <v>4650.286447222471</v>
          </cell>
          <cell r="AR12">
            <v>5647.516619625213</v>
          </cell>
          <cell r="AS12">
            <v>6872.6702281225444</v>
          </cell>
          <cell r="AW12">
            <v>26075.693546115275</v>
          </cell>
          <cell r="AX12">
            <v>30632.118616872049</v>
          </cell>
          <cell r="AY12">
            <v>35990.714667301283</v>
          </cell>
          <cell r="AZ12">
            <v>42293.601225971099</v>
          </cell>
          <cell r="BA12">
            <v>49708.209749638198</v>
          </cell>
          <cell r="BB12">
            <v>58431.811335447877</v>
          </cell>
          <cell r="BF12">
            <v>93692.669437838878</v>
          </cell>
          <cell r="BG12">
            <v>106392.92858732669</v>
          </cell>
          <cell r="BH12">
            <v>120819.30738453762</v>
          </cell>
          <cell r="BI12">
            <v>137207.14349816163</v>
          </cell>
          <cell r="BJ12">
            <v>155823.97887944677</v>
          </cell>
          <cell r="BK12">
            <v>176973.98569691999</v>
          </cell>
        </row>
        <row r="14">
          <cell r="D14">
            <v>26450.450082333453</v>
          </cell>
          <cell r="E14">
            <v>34713.369050721674</v>
          </cell>
          <cell r="F14">
            <v>38340.122318173781</v>
          </cell>
          <cell r="G14">
            <v>42350.052180478684</v>
          </cell>
          <cell r="H14">
            <v>46783.317540727912</v>
          </cell>
          <cell r="I14">
            <v>51684.106101196587</v>
          </cell>
          <cell r="M14">
            <v>82628.654285693992</v>
          </cell>
          <cell r="N14">
            <v>94913.598853867443</v>
          </cell>
          <cell r="O14">
            <v>108199.58645988026</v>
          </cell>
          <cell r="P14">
            <v>123663.11313525234</v>
          </cell>
          <cell r="Q14">
            <v>141977.34992507857</v>
          </cell>
          <cell r="R14">
            <v>164160.1659233559</v>
          </cell>
          <cell r="V14">
            <v>52473.032651342655</v>
          </cell>
          <cell r="W14">
            <v>63887.541905793521</v>
          </cell>
          <cell r="X14">
            <v>74552.19086281216</v>
          </cell>
          <cell r="Y14">
            <v>87219.295613881462</v>
          </cell>
          <cell r="Z14">
            <v>102240.5487189046</v>
          </cell>
          <cell r="AA14">
            <v>120026.86616837833</v>
          </cell>
          <cell r="AE14">
            <v>65752.222358490893</v>
          </cell>
          <cell r="AF14">
            <v>78715.148775338923</v>
          </cell>
          <cell r="AG14">
            <v>81703.994020219237</v>
          </cell>
          <cell r="AH14">
            <v>84386.945375224182</v>
          </cell>
          <cell r="AI14">
            <v>86658.405363091806</v>
          </cell>
          <cell r="AJ14">
            <v>88392.907097402698</v>
          </cell>
          <cell r="AN14">
            <v>1973.3077313684844</v>
          </cell>
          <cell r="AO14">
            <v>2376.9939125370647</v>
          </cell>
          <cell r="AP14">
            <v>2872.1258946276339</v>
          </cell>
          <cell r="AQ14">
            <v>3479.8093484565752</v>
          </cell>
          <cell r="AR14">
            <v>4226.0366864655471</v>
          </cell>
          <cell r="AS14">
            <v>5142.8191317041001</v>
          </cell>
          <cell r="AW14">
            <v>19512.44148055806</v>
          </cell>
          <cell r="AX14">
            <v>22922.014361005356</v>
          </cell>
          <cell r="AY14">
            <v>26931.851785541548</v>
          </cell>
          <cell r="AZ14">
            <v>31648.301797394175</v>
          </cell>
          <cell r="BA14">
            <v>37196.653355654264</v>
          </cell>
          <cell r="BB14">
            <v>43724.524422315648</v>
          </cell>
          <cell r="BF14">
            <v>70110.224540334835</v>
          </cell>
          <cell r="BG14">
            <v>79613.82846189657</v>
          </cell>
          <cell r="BH14">
            <v>90409.087715849499</v>
          </cell>
          <cell r="BI14">
            <v>102672.10547967436</v>
          </cell>
          <cell r="BJ14">
            <v>116603.08339549002</v>
          </cell>
          <cell r="BK14">
            <v>132429.63349700524</v>
          </cell>
        </row>
      </sheetData>
      <sheetData sheetId="12">
        <row r="9">
          <cell r="D9">
            <v>1666.287314285714</v>
          </cell>
          <cell r="J9">
            <v>0.31179801833350745</v>
          </cell>
          <cell r="M9">
            <v>0.14954551308444244</v>
          </cell>
        </row>
        <row r="17">
          <cell r="D17">
            <v>1666.287314285714</v>
          </cell>
        </row>
        <row r="25">
          <cell r="D25">
            <v>0.13286506259654182</v>
          </cell>
        </row>
      </sheetData>
      <sheetData sheetId="13">
        <row r="4">
          <cell r="C4">
            <v>8.4530250000000001E-2</v>
          </cell>
          <cell r="D4">
            <v>7.3372500000000021E-2</v>
          </cell>
          <cell r="E4">
            <v>7.9838999999999993E-2</v>
          </cell>
          <cell r="F4">
            <v>9.927900000000002E-2</v>
          </cell>
          <cell r="G4">
            <v>0.10209375000000002</v>
          </cell>
          <cell r="H4">
            <v>0.11094975</v>
          </cell>
          <cell r="I4">
            <v>5.7199500000000007E-2</v>
          </cell>
        </row>
        <row r="9">
          <cell r="C9">
            <v>0.11503507983592964</v>
          </cell>
          <cell r="D9">
            <v>0.22638583203171381</v>
          </cell>
          <cell r="E9">
            <v>9.5221549634176839E-2</v>
          </cell>
          <cell r="F9">
            <v>0.10070069299176665</v>
          </cell>
          <cell r="G9">
            <v>0.23549038334807926</v>
          </cell>
          <cell r="H9">
            <v>0.15816761992243378</v>
          </cell>
          <cell r="I9">
            <v>9.3291959246396994E-2</v>
          </cell>
        </row>
        <row r="16">
          <cell r="C16">
            <v>62.232733257080184</v>
          </cell>
        </row>
        <row r="17">
          <cell r="C17">
            <v>0.136583290968567</v>
          </cell>
        </row>
      </sheetData>
      <sheetData sheetId="14"/>
      <sheetData sheetId="15">
        <row r="6">
          <cell r="B6">
            <v>944.29693403918031</v>
          </cell>
          <cell r="E6">
            <v>375.88780064560626</v>
          </cell>
          <cell r="H6">
            <v>1002.6580084203596</v>
          </cell>
          <cell r="K6">
            <v>230.95924853755409</v>
          </cell>
          <cell r="N6">
            <v>93.595541714906659</v>
          </cell>
          <cell r="Q6">
            <v>670.76316422115781</v>
          </cell>
          <cell r="T6">
            <v>26155.347883495317</v>
          </cell>
        </row>
        <row r="7">
          <cell r="C7">
            <v>1226</v>
          </cell>
          <cell r="F7">
            <v>1002.95</v>
          </cell>
          <cell r="I7">
            <v>1390.3</v>
          </cell>
          <cell r="L7">
            <v>907.5</v>
          </cell>
          <cell r="O7">
            <v>109.05</v>
          </cell>
          <cell r="Q7">
            <v>1081</v>
          </cell>
          <cell r="U7">
            <v>3322.2</v>
          </cell>
        </row>
      </sheetData>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Common Size Balance Sheet"/>
      <sheetName val="Income Statement"/>
      <sheetName val="Common Size Income Statement"/>
      <sheetName val="Cash Flow Statement"/>
      <sheetName val="Financial Ratio"/>
      <sheetName val="Dupont Analysis"/>
      <sheetName val="Balance Sheet Forecast"/>
      <sheetName val="Income Statement Forecast"/>
      <sheetName val="WACC &amp; Key Assumptions"/>
      <sheetName val="DCF Valuation"/>
      <sheetName val="Calc"/>
      <sheetName val="Relative Valuation"/>
      <sheetName val="Fundamental Analysis-FMCG &amp; Ret"/>
    </sheetNames>
    <sheetDataSet>
      <sheetData sheetId="0" refreshError="1"/>
      <sheetData sheetId="1" refreshError="1"/>
      <sheetData sheetId="2" refreshError="1"/>
      <sheetData sheetId="3">
        <row r="6">
          <cell r="B6">
            <v>24930.190000000002</v>
          </cell>
          <cell r="C6">
            <v>24339.27</v>
          </cell>
          <cell r="D6">
            <v>31093.760000000002</v>
          </cell>
          <cell r="E6">
            <v>42968.899999999994</v>
          </cell>
          <cell r="F6">
            <v>50935.28</v>
          </cell>
          <cell r="G6">
            <v>59482.36</v>
          </cell>
          <cell r="J6">
            <v>40415</v>
          </cell>
          <cell r="K6">
            <v>47438</v>
          </cell>
          <cell r="L6">
            <v>52704</v>
          </cell>
          <cell r="M6">
            <v>61092</v>
          </cell>
          <cell r="N6">
            <v>62707</v>
          </cell>
          <cell r="Q6">
            <v>53991.360000000001</v>
          </cell>
          <cell r="R6">
            <v>55787.68</v>
          </cell>
          <cell r="S6">
            <v>67041.31</v>
          </cell>
          <cell r="T6">
            <v>78498.700000000012</v>
          </cell>
          <cell r="U6">
            <v>76584.649999999994</v>
          </cell>
          <cell r="V6">
            <v>84142.47</v>
          </cell>
          <cell r="Y6">
            <v>21205</v>
          </cell>
          <cell r="Z6">
            <v>21830</v>
          </cell>
          <cell r="AA6">
            <v>29033</v>
          </cell>
          <cell r="AB6">
            <v>40883</v>
          </cell>
          <cell r="AC6">
            <v>51617</v>
          </cell>
          <cell r="AD6">
            <v>60942</v>
          </cell>
          <cell r="AG6">
            <v>3635.4</v>
          </cell>
          <cell r="AH6">
            <v>2794.56</v>
          </cell>
          <cell r="AI6">
            <v>4673.2300000000005</v>
          </cell>
          <cell r="AJ6">
            <v>8502.94</v>
          </cell>
          <cell r="AK6">
            <v>12664.380000000001</v>
          </cell>
          <cell r="AL6">
            <v>17353.170000000002</v>
          </cell>
          <cell r="AO6">
            <v>6592.76</v>
          </cell>
          <cell r="AP6">
            <v>9026.2159999999985</v>
          </cell>
          <cell r="AQ6">
            <v>13429.407000000001</v>
          </cell>
          <cell r="AR6">
            <v>16400.421999999999</v>
          </cell>
          <cell r="AS6">
            <v>20602.596000000001</v>
          </cell>
        </row>
        <row r="11">
          <cell r="B11">
            <v>69.12</v>
          </cell>
          <cell r="C11">
            <v>41.65</v>
          </cell>
          <cell r="D11">
            <v>53.79</v>
          </cell>
          <cell r="E11">
            <v>67.41</v>
          </cell>
          <cell r="F11">
            <v>58.13</v>
          </cell>
          <cell r="G11">
            <v>69.45</v>
          </cell>
          <cell r="AG11">
            <v>245.8</v>
          </cell>
        </row>
        <row r="12">
          <cell r="B12">
            <v>374.41</v>
          </cell>
          <cell r="C12">
            <v>414.16</v>
          </cell>
          <cell r="D12">
            <v>498.08</v>
          </cell>
          <cell r="E12">
            <v>638.87</v>
          </cell>
          <cell r="F12">
            <v>730.76</v>
          </cell>
          <cell r="G12">
            <v>869.52</v>
          </cell>
          <cell r="J12">
            <v>118</v>
          </cell>
          <cell r="K12">
            <v>117</v>
          </cell>
          <cell r="L12">
            <v>106</v>
          </cell>
          <cell r="M12">
            <v>114</v>
          </cell>
          <cell r="N12">
            <v>334</v>
          </cell>
          <cell r="Y12">
            <v>166</v>
          </cell>
          <cell r="Z12">
            <v>203</v>
          </cell>
          <cell r="AA12">
            <v>218</v>
          </cell>
          <cell r="AB12">
            <v>300</v>
          </cell>
          <cell r="AC12">
            <v>619</v>
          </cell>
          <cell r="AD12">
            <v>953</v>
          </cell>
          <cell r="AG12">
            <v>247.24</v>
          </cell>
        </row>
        <row r="13">
          <cell r="J13">
            <v>1002</v>
          </cell>
          <cell r="K13">
            <v>1074</v>
          </cell>
          <cell r="L13">
            <v>1091</v>
          </cell>
          <cell r="M13">
            <v>1137</v>
          </cell>
          <cell r="N13">
            <v>1216</v>
          </cell>
          <cell r="Q13">
            <v>54.68</v>
          </cell>
          <cell r="R13">
            <v>44.58</v>
          </cell>
          <cell r="S13">
            <v>39.36</v>
          </cell>
          <cell r="T13">
            <v>43.2</v>
          </cell>
          <cell r="U13">
            <v>39.11</v>
          </cell>
          <cell r="V13">
            <v>45.06</v>
          </cell>
          <cell r="Y13">
            <v>348</v>
          </cell>
          <cell r="Z13">
            <v>375</v>
          </cell>
          <cell r="AA13">
            <v>399</v>
          </cell>
          <cell r="AB13">
            <v>441</v>
          </cell>
          <cell r="AC13">
            <v>584</v>
          </cell>
          <cell r="AD13">
            <v>693</v>
          </cell>
        </row>
        <row r="14">
          <cell r="Q14">
            <v>1644.91</v>
          </cell>
          <cell r="R14">
            <v>1645.59</v>
          </cell>
          <cell r="S14">
            <v>1732.41</v>
          </cell>
          <cell r="T14">
            <v>1809.01</v>
          </cell>
          <cell r="U14">
            <v>1518.05</v>
          </cell>
          <cell r="V14">
            <v>1646.32</v>
          </cell>
          <cell r="AP14">
            <v>531.26199999999994</v>
          </cell>
        </row>
        <row r="15">
          <cell r="B15">
            <v>1744.7700000000041</v>
          </cell>
          <cell r="C15">
            <v>1483.4500000000007</v>
          </cell>
          <cell r="D15">
            <v>2064.1200000000026</v>
          </cell>
          <cell r="E15">
            <v>3060.0899999999892</v>
          </cell>
          <cell r="F15">
            <v>3461.3299999999945</v>
          </cell>
          <cell r="G15">
            <v>3672.6699999999983</v>
          </cell>
          <cell r="AG15">
            <v>195.41999999999962</v>
          </cell>
          <cell r="AH15">
            <v>-132.45000000000027</v>
          </cell>
          <cell r="AI15">
            <v>133.52000000000044</v>
          </cell>
          <cell r="AJ15">
            <v>471.66000000000167</v>
          </cell>
          <cell r="AK15">
            <v>1221.1899999999987</v>
          </cell>
          <cell r="AL15">
            <v>1943.2400000000016</v>
          </cell>
        </row>
        <row r="16">
          <cell r="J16">
            <v>9373</v>
          </cell>
          <cell r="K16">
            <v>10845</v>
          </cell>
          <cell r="L16">
            <v>11918</v>
          </cell>
          <cell r="M16">
            <v>13409</v>
          </cell>
          <cell r="N16">
            <v>13924</v>
          </cell>
          <cell r="Y16">
            <v>2106</v>
          </cell>
          <cell r="Z16">
            <v>1332</v>
          </cell>
          <cell r="AA16">
            <v>2958</v>
          </cell>
          <cell r="AB16">
            <v>4446</v>
          </cell>
          <cell r="AC16">
            <v>4622</v>
          </cell>
          <cell r="AD16">
            <v>4534</v>
          </cell>
        </row>
        <row r="18">
          <cell r="Q18">
            <v>20166.68</v>
          </cell>
          <cell r="R18">
            <v>17938.169999999998</v>
          </cell>
          <cell r="S18">
            <v>20740.469999999998</v>
          </cell>
          <cell r="T18">
            <v>25842.250000000015</v>
          </cell>
          <cell r="U18">
            <v>26400.279999999992</v>
          </cell>
          <cell r="V18">
            <v>26926.940000000002</v>
          </cell>
        </row>
        <row r="21">
          <cell r="B21">
            <v>1300.9800000000041</v>
          </cell>
        </row>
        <row r="25">
          <cell r="AG25">
            <v>105.97999999999961</v>
          </cell>
          <cell r="AH25">
            <v>-181.13000000000028</v>
          </cell>
          <cell r="AI25">
            <v>34.600000000000435</v>
          </cell>
          <cell r="AJ25">
            <v>393.6900000000017</v>
          </cell>
          <cell r="AK25">
            <v>1477.3899999999987</v>
          </cell>
          <cell r="AL25">
            <v>1534.4100000000017</v>
          </cell>
        </row>
        <row r="27">
          <cell r="J27">
            <v>6756</v>
          </cell>
          <cell r="AO27">
            <v>357.26800000000088</v>
          </cell>
          <cell r="AP27">
            <v>746.05199999999832</v>
          </cell>
          <cell r="AQ27">
            <v>1550.1140000000019</v>
          </cell>
          <cell r="AR27">
            <v>2101.8130000000001</v>
          </cell>
          <cell r="AS27">
            <v>2634.2839999999992</v>
          </cell>
        </row>
        <row r="28">
          <cell r="Y28">
            <v>1493</v>
          </cell>
          <cell r="Z28">
            <v>974</v>
          </cell>
          <cell r="AA28">
            <v>2198</v>
          </cell>
          <cell r="AB28">
            <v>3274</v>
          </cell>
          <cell r="AC28">
            <v>3496</v>
          </cell>
          <cell r="AD28">
            <v>3337</v>
          </cell>
        </row>
        <row r="30">
          <cell r="Q30">
            <v>15592.779999999999</v>
          </cell>
        </row>
      </sheetData>
      <sheetData sheetId="4" refreshError="1"/>
      <sheetData sheetId="5" refreshError="1"/>
      <sheetData sheetId="6">
        <row r="5">
          <cell r="B5">
            <v>0.1360556006787241</v>
          </cell>
          <cell r="C5">
            <v>0.13787730304277918</v>
          </cell>
          <cell r="D5">
            <v>0.13379596704186794</v>
          </cell>
          <cell r="E5">
            <v>0.13722526561897436</v>
          </cell>
          <cell r="F5">
            <v>0.13530238834011327</v>
          </cell>
          <cell r="G5">
            <v>0.13463531905108064</v>
          </cell>
          <cell r="J5">
            <v>0.2478696930849861</v>
          </cell>
          <cell r="K5">
            <v>0.2472144254486689</v>
          </cell>
          <cell r="L5">
            <v>0.24514738969606834</v>
          </cell>
          <cell r="M5">
            <v>0.23354242324199409</v>
          </cell>
          <cell r="N5">
            <v>0.23689737624402218</v>
          </cell>
          <cell r="Q5">
            <v>0.37475889446655386</v>
          </cell>
          <cell r="R5">
            <v>0.31986946883009582</v>
          </cell>
          <cell r="S5">
            <v>0.31682267729326108</v>
          </cell>
          <cell r="T5">
            <v>0.33540944044561422</v>
          </cell>
          <cell r="U5">
            <v>0.34171472929946001</v>
          </cell>
          <cell r="V5">
            <v>0.3183105636151593</v>
          </cell>
          <cell r="Y5">
            <v>0.11718601558046747</v>
          </cell>
          <cell r="Z5">
            <v>7.9652559600813147E-2</v>
          </cell>
          <cell r="AA5">
            <v>0.11601097260321537</v>
          </cell>
          <cell r="AB5">
            <v>0.12024645717806529</v>
          </cell>
          <cell r="AC5">
            <v>0.10359408033826638</v>
          </cell>
          <cell r="AD5">
            <v>9.4184200079396596E-2</v>
          </cell>
          <cell r="AG5">
            <v>0.15463083551827611</v>
          </cell>
          <cell r="AH5">
            <v>6.6294890781192162E-2</v>
          </cell>
          <cell r="AI5">
            <v>0.1275828031000307</v>
          </cell>
          <cell r="AJ5">
            <v>0.13026539610435309</v>
          </cell>
          <cell r="AK5">
            <v>0.15532225572136329</v>
          </cell>
          <cell r="AL5">
            <v>0.1609870315110761</v>
          </cell>
          <cell r="AO5">
            <v>0.18332908772245604</v>
          </cell>
          <cell r="AP5">
            <v>0.18470543098008307</v>
          </cell>
          <cell r="AQ5">
            <v>0.20821425066826937</v>
          </cell>
          <cell r="AR5">
            <v>0.22115501913080057</v>
          </cell>
          <cell r="AS5">
            <v>0.23001784845201451</v>
          </cell>
        </row>
        <row r="7">
          <cell r="B7">
            <v>0.11741484810743527</v>
          </cell>
          <cell r="C7">
            <v>9.0234740165674857E-2</v>
          </cell>
          <cell r="D7">
            <v>0.10911039641348208</v>
          </cell>
          <cell r="E7">
            <v>0.14791793904761363</v>
          </cell>
          <cell r="F7">
            <v>0.13561340811045819</v>
          </cell>
          <cell r="G7">
            <v>0.12635870199330732</v>
          </cell>
          <cell r="J7">
            <v>0.85681674064679769</v>
          </cell>
          <cell r="K7">
            <v>0.97004608294930872</v>
          </cell>
          <cell r="L7">
            <v>0.18643854572902252</v>
          </cell>
          <cell r="M7">
            <v>0.20663312078554402</v>
          </cell>
          <cell r="N7">
            <v>0.19994943896699921</v>
          </cell>
          <cell r="Q7">
            <v>0.23751114420205227</v>
          </cell>
          <cell r="R7">
            <v>0.2204970330748515</v>
          </cell>
          <cell r="S7">
            <v>0.24677918692964723</v>
          </cell>
          <cell r="T7">
            <v>0.28008425225690603</v>
          </cell>
          <cell r="U7">
            <v>0.27709131142661686</v>
          </cell>
          <cell r="V7">
            <v>0.49791911524683824</v>
          </cell>
          <cell r="Y7">
            <v>0.2237374494230481</v>
          </cell>
          <cell r="Z7">
            <v>0.12983204478805652</v>
          </cell>
          <cell r="AA7">
            <v>0.23550841101467909</v>
          </cell>
          <cell r="AB7">
            <v>0.27503360215053763</v>
          </cell>
          <cell r="AC7">
            <v>0.37219205791546894</v>
          </cell>
          <cell r="AD7">
            <v>0.28707845836200963</v>
          </cell>
          <cell r="AG7">
            <v>4.2952791647752904E-2</v>
          </cell>
          <cell r="AH7">
            <v>-7.6830737385048808E-2</v>
          </cell>
          <cell r="AI7">
            <v>1.4357203913790565E-2</v>
          </cell>
          <cell r="AJ7">
            <v>0.14783869138593439</v>
          </cell>
          <cell r="AK7">
            <v>0.36011153929590789</v>
          </cell>
          <cell r="AL7">
            <v>0.27481838892709798</v>
          </cell>
          <cell r="AO7">
            <v>9.9556456186080777E-2</v>
          </cell>
          <cell r="AP7">
            <v>0.17777123294819672</v>
          </cell>
          <cell r="AQ7">
            <v>0.29721366384385617</v>
          </cell>
          <cell r="AR7">
            <v>0.29667126957382389</v>
          </cell>
          <cell r="AS7">
            <v>0.15736805746552665</v>
          </cell>
        </row>
        <row r="24">
          <cell r="B24">
            <v>109.41587543620929</v>
          </cell>
          <cell r="C24">
            <v>169.22209413559744</v>
          </cell>
          <cell r="D24">
            <v>174.55858723432027</v>
          </cell>
          <cell r="E24">
            <v>93.055484487289888</v>
          </cell>
          <cell r="F24">
            <v>115.05837677048153</v>
          </cell>
          <cell r="G24">
            <v>98.13933383515861</v>
          </cell>
          <cell r="J24">
            <v>79.924697404529311</v>
          </cell>
          <cell r="K24">
            <v>71.401247690961384</v>
          </cell>
          <cell r="L24">
            <v>54.138096270242912</v>
          </cell>
          <cell r="M24">
            <v>59.272562074829928</v>
          </cell>
          <cell r="N24">
            <v>52.253377359949425</v>
          </cell>
          <cell r="Q24">
            <v>13.795039293827015</v>
          </cell>
          <cell r="R24">
            <v>20.45399077029758</v>
          </cell>
          <cell r="S24">
            <v>20.254639521180568</v>
          </cell>
          <cell r="T24">
            <v>24.66753457461008</v>
          </cell>
          <cell r="U24">
            <v>25.760380659388119</v>
          </cell>
          <cell r="V24">
            <v>14.644562781292509</v>
          </cell>
          <cell r="Y24">
            <v>55.462611356329539</v>
          </cell>
          <cell r="Z24">
            <v>141.83617558726903</v>
          </cell>
          <cell r="AA24">
            <v>102.35122555027299</v>
          </cell>
          <cell r="AB24">
            <v>68.14317758185706</v>
          </cell>
          <cell r="AC24">
            <v>94.843563476401599</v>
          </cell>
          <cell r="AD24">
            <v>79.38749740635302</v>
          </cell>
          <cell r="AG24">
            <v>162.46496567748693</v>
          </cell>
          <cell r="AH24">
            <v>-147.40180360790566</v>
          </cell>
          <cell r="AI24">
            <v>1310.4748735548969</v>
          </cell>
          <cell r="AJ24">
            <v>124.15289647311282</v>
          </cell>
          <cell r="AK24">
            <v>93.523633908446726</v>
          </cell>
          <cell r="AL24">
            <v>129.20046895060628</v>
          </cell>
          <cell r="AO24">
            <v>44.642845494138733</v>
          </cell>
          <cell r="AP24">
            <v>40.531174300182911</v>
          </cell>
          <cell r="AQ24">
            <v>27.374642112128495</v>
          </cell>
          <cell r="AR24">
            <v>44.643973942972082</v>
          </cell>
          <cell r="AS24">
            <v>71.756169489698152</v>
          </cell>
        </row>
      </sheetData>
      <sheetData sheetId="7" refreshError="1"/>
      <sheetData sheetId="8" refreshError="1"/>
      <sheetData sheetId="9">
        <row r="4">
          <cell r="C4">
            <v>0.1560236648749922</v>
          </cell>
          <cell r="L4">
            <v>7.6450777256811708E-2</v>
          </cell>
          <cell r="V4">
            <v>8.0127537340523691E-2</v>
          </cell>
          <cell r="AE4">
            <v>0.19222349082454993</v>
          </cell>
          <cell r="AN4">
            <v>0.30394184371452782</v>
          </cell>
          <cell r="AW4">
            <v>0.20908132478639496</v>
          </cell>
        </row>
        <row r="5">
          <cell r="C5">
            <v>0.12911419530616608</v>
          </cell>
          <cell r="L5">
            <v>4.2438948092117901E-2</v>
          </cell>
          <cell r="V5">
            <v>-4.4239871283316967E-3</v>
          </cell>
          <cell r="AE5">
            <v>0.21243223113250087</v>
          </cell>
          <cell r="AN5">
            <v>6.5435079019903419E-2</v>
          </cell>
          <cell r="AW5">
            <v>0.21894130584476335</v>
          </cell>
        </row>
        <row r="6">
          <cell r="D6">
            <v>68759.670686451544</v>
          </cell>
          <cell r="E6">
            <v>79484.029484405692</v>
          </cell>
          <cell r="F6">
            <v>91881.154378792766</v>
          </cell>
          <cell r="G6">
            <v>106211.97350176869</v>
          </cell>
          <cell r="H6">
            <v>122778.11781930229</v>
          </cell>
          <cell r="M6">
            <v>67473.415295990329</v>
          </cell>
          <cell r="N6">
            <v>72603.056127397125</v>
          </cell>
          <cell r="O6">
            <v>78123.641688896692</v>
          </cell>
          <cell r="P6">
            <v>84065.008220783653</v>
          </cell>
          <cell r="Q6">
            <v>90459.270769277486</v>
          </cell>
          <cell r="R6">
            <v>97340.997309732804</v>
          </cell>
          <cell r="W6">
            <v>90670.70976091527</v>
          </cell>
          <cell r="X6">
            <v>97722.987539869675</v>
          </cell>
          <cell r="Y6">
            <v>105341.28902655539</v>
          </cell>
          <cell r="Z6">
            <v>113570.96413910274</v>
          </cell>
          <cell r="AA6">
            <v>122460.99659133804</v>
          </cell>
          <cell r="AF6">
            <v>72666.305425619386</v>
          </cell>
          <cell r="AG6">
            <v>86646.384159711452</v>
          </cell>
          <cell r="AH6">
            <v>103316.29203906145</v>
          </cell>
          <cell r="AI6">
            <v>123193.61478217383</v>
          </cell>
          <cell r="AJ6">
            <v>146895.54439597522</v>
          </cell>
          <cell r="AO6">
            <v>22575.396445599974</v>
          </cell>
          <cell r="AP6">
            <v>29381.465023052519</v>
          </cell>
          <cell r="AQ6">
            <v>38252.548430859439</v>
          </cell>
          <cell r="AR6">
            <v>49816.053279592597</v>
          </cell>
          <cell r="AS6">
            <v>64890.065741058927</v>
          </cell>
          <cell r="AX6">
            <v>24911.40976590187</v>
          </cell>
          <cell r="AY6">
            <v>30121.377810395818</v>
          </cell>
          <cell r="AZ6">
            <v>36420.971980128292</v>
          </cell>
          <cell r="BA6">
            <v>44038.082614020277</v>
          </cell>
          <cell r="BB6">
            <v>53248.262961324101</v>
          </cell>
          <cell r="BC6">
            <v>64384.697955064534</v>
          </cell>
        </row>
        <row r="12">
          <cell r="D12">
            <v>4698.0779946607363</v>
          </cell>
          <cell r="E12">
            <v>5412.4404044864787</v>
          </cell>
          <cell r="F12">
            <v>6235.1235695057985</v>
          </cell>
          <cell r="G12">
            <v>7182.4996921241109</v>
          </cell>
          <cell r="H12">
            <v>8273.4063064677757</v>
          </cell>
          <cell r="M12">
            <v>16382.397675965993</v>
          </cell>
          <cell r="N12">
            <v>17741.327596635922</v>
          </cell>
          <cell r="O12">
            <v>19210.801248865064</v>
          </cell>
          <cell r="P12">
            <v>20799.659361527716</v>
          </cell>
          <cell r="Q12">
            <v>22517.439202539186</v>
          </cell>
          <cell r="R12">
            <v>24374.428719344287</v>
          </cell>
          <cell r="W12">
            <v>32462.980124804235</v>
          </cell>
          <cell r="X12">
            <v>34987.918486668495</v>
          </cell>
          <cell r="Y12">
            <v>37715.511227468363</v>
          </cell>
          <cell r="Z12">
            <v>40661.995051370046</v>
          </cell>
          <cell r="AA12">
            <v>43844.907676260322</v>
          </cell>
          <cell r="AF12">
            <v>8178.8148603041191</v>
          </cell>
          <cell r="AG12">
            <v>9752.3154673447716</v>
          </cell>
          <cell r="AH12">
            <v>11628.564569111535</v>
          </cell>
          <cell r="AI12">
            <v>13865.818020793318</v>
          </cell>
          <cell r="AJ12">
            <v>16533.542669897244</v>
          </cell>
          <cell r="AO12">
            <v>3711.563892849008</v>
          </cell>
          <cell r="AP12">
            <v>4830.5324321257831</v>
          </cell>
          <cell r="AQ12">
            <v>6289.0048423981352</v>
          </cell>
          <cell r="AR12">
            <v>8190.131459366472</v>
          </cell>
          <cell r="AS12">
            <v>10668.411763641656</v>
          </cell>
          <cell r="AX12">
            <v>5659.2597321086614</v>
          </cell>
          <cell r="AY12">
            <v>6842.8363597202879</v>
          </cell>
          <cell r="AZ12">
            <v>8273.9492492923491</v>
          </cell>
          <cell r="BA12">
            <v>10004.369482048736</v>
          </cell>
          <cell r="BB12">
            <v>12096.695980418946</v>
          </cell>
          <cell r="BC12">
            <v>14626.620168233756</v>
          </cell>
        </row>
        <row r="18">
          <cell r="D18">
            <v>2632.8514078304079</v>
          </cell>
          <cell r="E18">
            <v>2965.0561592331183</v>
          </cell>
          <cell r="F18">
            <v>3350.9216849407585</v>
          </cell>
          <cell r="G18">
            <v>3798.1351010950484</v>
          </cell>
          <cell r="H18">
            <v>4315.5328542022826</v>
          </cell>
          <cell r="M18">
            <v>14602.832648797412</v>
          </cell>
          <cell r="N18">
            <v>11942.974649995596</v>
          </cell>
          <cell r="O18">
            <v>13021.884239470137</v>
          </cell>
          <cell r="P18">
            <v>14169.150201183322</v>
          </cell>
          <cell r="Q18">
            <v>15393.52767704432</v>
          </cell>
          <cell r="R18">
            <v>16703.753341066884</v>
          </cell>
          <cell r="W18">
            <v>30948.524159080207</v>
          </cell>
          <cell r="X18">
            <v>25159.06259820464</v>
          </cell>
          <cell r="Y18">
            <v>27092.186879449051</v>
          </cell>
          <cell r="Z18">
            <v>29183.086379645669</v>
          </cell>
          <cell r="AA18">
            <v>31444.18058496009</v>
          </cell>
          <cell r="AF18">
            <v>5173.7367941589082</v>
          </cell>
          <cell r="AG18">
            <v>6215.2794681760861</v>
          </cell>
          <cell r="AH18">
            <v>7442.2486463629821</v>
          </cell>
          <cell r="AI18">
            <v>8895.1785998287032</v>
          </cell>
          <cell r="AJ18">
            <v>10620.830567815176</v>
          </cell>
          <cell r="AO18">
            <v>1477.9383905970849</v>
          </cell>
          <cell r="AP18">
            <v>2039.1123445042776</v>
          </cell>
          <cell r="AQ18">
            <v>2716.9239302327505</v>
          </cell>
          <cell r="AR18">
            <v>3571.8102398798401</v>
          </cell>
          <cell r="AS18">
            <v>4670.9384411365327</v>
          </cell>
          <cell r="AX18">
            <v>4306.8034684782306</v>
          </cell>
          <cell r="AY18">
            <v>4009.370830859727</v>
          </cell>
          <cell r="AZ18">
            <v>4835.386770190169</v>
          </cell>
          <cell r="BA18">
            <v>5835.4005346973318</v>
          </cell>
          <cell r="BB18">
            <v>7045.6798407418637</v>
          </cell>
          <cell r="BC18">
            <v>8510.0900256920431</v>
          </cell>
        </row>
        <row r="27">
          <cell r="C27">
            <v>0.13427134752712042</v>
          </cell>
        </row>
        <row r="28">
          <cell r="G28">
            <v>68.198838217276105</v>
          </cell>
        </row>
        <row r="34">
          <cell r="C34">
            <v>5.4512789960205109E-2</v>
          </cell>
        </row>
      </sheetData>
      <sheetData sheetId="10">
        <row r="7">
          <cell r="B7">
            <v>0.1677033</v>
          </cell>
          <cell r="C7">
            <v>0.12869532</v>
          </cell>
          <cell r="D7">
            <v>0.13535274</v>
          </cell>
          <cell r="E7">
            <v>0.16898831999999997</v>
          </cell>
          <cell r="F7">
            <v>0.17284337999999999</v>
          </cell>
          <cell r="G7">
            <v>0.15692945999999999</v>
          </cell>
        </row>
        <row r="18">
          <cell r="B18">
            <v>4.7500000000000001E-2</v>
          </cell>
          <cell r="C18">
            <v>4.2500000000000003E-2</v>
          </cell>
          <cell r="D18">
            <v>4.2500000000000003E-2</v>
          </cell>
          <cell r="E18">
            <v>4.7500000000000001E-2</v>
          </cell>
          <cell r="F18">
            <v>4.7500000000000001E-2</v>
          </cell>
          <cell r="G18">
            <v>4.2500000000000003E-2</v>
          </cell>
        </row>
      </sheetData>
      <sheetData sheetId="11">
        <row r="23">
          <cell r="I23">
            <v>642.52006665727242</v>
          </cell>
          <cell r="Q23">
            <v>274.42466465011211</v>
          </cell>
          <cell r="X23">
            <v>486.77944323992875</v>
          </cell>
          <cell r="AE23">
            <v>573.45426947415046</v>
          </cell>
          <cell r="AL23">
            <v>125.33610927628679</v>
          </cell>
        </row>
        <row r="25">
          <cell r="I25">
            <v>2594.4</v>
          </cell>
          <cell r="Q25">
            <v>413.05</v>
          </cell>
          <cell r="X25">
            <v>3737.2</v>
          </cell>
          <cell r="AE25">
            <v>4802.3</v>
          </cell>
          <cell r="AL25">
            <v>456.35</v>
          </cell>
        </row>
      </sheetData>
      <sheetData sheetId="12">
        <row r="8">
          <cell r="D8">
            <v>1493.012777777778</v>
          </cell>
          <cell r="J8">
            <v>0.46912962008385062</v>
          </cell>
          <cell r="M8">
            <v>0.29165116823801068</v>
          </cell>
        </row>
        <row r="15">
          <cell r="D15">
            <v>3485.5255554137875</v>
          </cell>
        </row>
        <row r="22">
          <cell r="D22">
            <v>0.13427134752712036</v>
          </cell>
        </row>
        <row r="29">
          <cell r="D29">
            <v>0.12342315219805859</v>
          </cell>
        </row>
      </sheetData>
      <sheetData sheetId="13">
        <row r="24">
          <cell r="F24">
            <v>2995.0326473313235</v>
          </cell>
          <cell r="G24">
            <v>4275.3</v>
          </cell>
        </row>
      </sheetData>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Balance Sheet Forecast"/>
      <sheetName val="Income Statement"/>
      <sheetName val="Cash Flow Statement"/>
      <sheetName val="Cash Flow Statement Forecast"/>
      <sheetName val="Ratio Analysis"/>
      <sheetName val="WACC"/>
      <sheetName val="Income Statement Forecast"/>
      <sheetName val="Calc"/>
      <sheetName val="DCF"/>
      <sheetName val="Relative Valuation"/>
      <sheetName val="Senstivity Analysis"/>
      <sheetName val="Fundamental Analysis-Pharma"/>
    </sheetNames>
    <sheetDataSet>
      <sheetData sheetId="0">
        <row r="13">
          <cell r="B13">
            <v>60.384500000000003</v>
          </cell>
          <cell r="C13">
            <v>24.959499999999998</v>
          </cell>
          <cell r="D13">
            <v>18.9801</v>
          </cell>
          <cell r="E13">
            <v>75.536699999999996</v>
          </cell>
          <cell r="F13">
            <v>52.502600000000001</v>
          </cell>
          <cell r="G13">
            <v>39.457099999999997</v>
          </cell>
        </row>
      </sheetData>
      <sheetData sheetId="1" refreshError="1"/>
      <sheetData sheetId="2" refreshError="1"/>
      <sheetData sheetId="3">
        <row r="7">
          <cell r="B7">
            <v>5584.05</v>
          </cell>
          <cell r="C7">
            <v>7031.96</v>
          </cell>
          <cell r="D7">
            <v>9073.7000000000007</v>
          </cell>
          <cell r="E7">
            <v>8112.17</v>
          </cell>
          <cell r="F7">
            <v>8184</v>
          </cell>
          <cell r="G7">
            <v>9712</v>
          </cell>
          <cell r="J7">
            <v>33473.480000000003</v>
          </cell>
          <cell r="K7">
            <v>34333.659999999996</v>
          </cell>
          <cell r="L7">
            <v>39576</v>
          </cell>
          <cell r="M7">
            <v>44520.2</v>
          </cell>
          <cell r="N7">
            <v>49851.040000000001</v>
          </cell>
          <cell r="O7">
            <v>54543.48</v>
          </cell>
          <cell r="R7">
            <v>5975.6528999999991</v>
          </cell>
          <cell r="S7">
            <v>6385.3802999999998</v>
          </cell>
          <cell r="T7">
            <v>7977.5846999999994</v>
          </cell>
          <cell r="U7">
            <v>8877.9998000000014</v>
          </cell>
          <cell r="V7">
            <v>10540.66</v>
          </cell>
          <cell r="W7">
            <v>12744.23</v>
          </cell>
          <cell r="AH7">
            <v>8060.6100000000006</v>
          </cell>
          <cell r="AI7">
            <v>8061.48</v>
          </cell>
          <cell r="AJ7">
            <v>8704.6</v>
          </cell>
          <cell r="AK7">
            <v>9665.2899999999991</v>
          </cell>
          <cell r="AL7">
            <v>10785.75</v>
          </cell>
          <cell r="AM7">
            <v>11539.36</v>
          </cell>
        </row>
        <row r="8">
          <cell r="AP8">
            <v>17476.189999999999</v>
          </cell>
          <cell r="AQ8">
            <v>19425.580000000002</v>
          </cell>
          <cell r="AR8">
            <v>22044.25</v>
          </cell>
          <cell r="AS8">
            <v>23228.57</v>
          </cell>
          <cell r="AT8">
            <v>26520.66</v>
          </cell>
          <cell r="AU8">
            <v>28409.49</v>
          </cell>
        </row>
        <row r="9">
          <cell r="Z9">
            <v>18137.599999999999</v>
          </cell>
          <cell r="AA9">
            <v>19338.900000000001</v>
          </cell>
          <cell r="AB9">
            <v>22029.600000000002</v>
          </cell>
          <cell r="AC9">
            <v>25725.200000000001</v>
          </cell>
          <cell r="AD9">
            <v>28905.399999999998</v>
          </cell>
          <cell r="AE9">
            <v>33741.200000000004</v>
          </cell>
        </row>
        <row r="13">
          <cell r="B13">
            <v>6.1</v>
          </cell>
          <cell r="C13">
            <v>0.87</v>
          </cell>
          <cell r="D13">
            <v>0.8</v>
          </cell>
          <cell r="E13">
            <v>0.67</v>
          </cell>
          <cell r="F13">
            <v>3</v>
          </cell>
          <cell r="G13">
            <v>2</v>
          </cell>
          <cell r="J13">
            <v>302.73</v>
          </cell>
          <cell r="K13">
            <v>141.43</v>
          </cell>
          <cell r="L13">
            <v>127.35</v>
          </cell>
          <cell r="M13">
            <v>172</v>
          </cell>
          <cell r="N13">
            <v>238.47</v>
          </cell>
          <cell r="O13">
            <v>231.36</v>
          </cell>
          <cell r="R13">
            <v>21.971800000000002</v>
          </cell>
          <cell r="S13">
            <v>20.147400000000001</v>
          </cell>
          <cell r="T13">
            <v>58.610399999999998</v>
          </cell>
          <cell r="U13">
            <v>44.469000000000001</v>
          </cell>
          <cell r="V13">
            <v>32.75</v>
          </cell>
          <cell r="W13">
            <v>429.41</v>
          </cell>
          <cell r="AH13">
            <v>450.71</v>
          </cell>
          <cell r="AI13">
            <v>358.28</v>
          </cell>
          <cell r="AJ13">
            <v>255.06</v>
          </cell>
          <cell r="AK13">
            <v>333.44</v>
          </cell>
          <cell r="AL13">
            <v>353.56</v>
          </cell>
          <cell r="AM13">
            <v>252.31</v>
          </cell>
        </row>
        <row r="14">
          <cell r="B14">
            <v>186.24</v>
          </cell>
          <cell r="C14">
            <v>255.59</v>
          </cell>
          <cell r="D14">
            <v>311.51</v>
          </cell>
          <cell r="E14">
            <v>343.18</v>
          </cell>
          <cell r="F14">
            <v>378</v>
          </cell>
          <cell r="G14">
            <v>402</v>
          </cell>
          <cell r="J14">
            <v>2052.7800000000002</v>
          </cell>
          <cell r="K14">
            <v>2079.9499999999998</v>
          </cell>
          <cell r="L14">
            <v>2143.7399999999998</v>
          </cell>
          <cell r="M14">
            <v>2529.4299999999998</v>
          </cell>
          <cell r="N14">
            <v>2556.64</v>
          </cell>
          <cell r="O14">
            <v>2575.39</v>
          </cell>
          <cell r="R14">
            <v>99.058400000000006</v>
          </cell>
          <cell r="S14">
            <v>118.97029999999999</v>
          </cell>
          <cell r="T14">
            <v>166.61920000000001</v>
          </cell>
          <cell r="U14">
            <v>325.91950000000003</v>
          </cell>
          <cell r="V14">
            <v>378.42</v>
          </cell>
          <cell r="W14">
            <v>621.22</v>
          </cell>
          <cell r="AH14">
            <v>654.38</v>
          </cell>
          <cell r="AI14">
            <v>657.79</v>
          </cell>
          <cell r="AJ14">
            <v>662.16</v>
          </cell>
          <cell r="AK14">
            <v>706.59</v>
          </cell>
          <cell r="AL14">
            <v>808.27</v>
          </cell>
          <cell r="AM14">
            <v>794.93</v>
          </cell>
          <cell r="AP14">
            <v>197.36</v>
          </cell>
          <cell r="AQ14">
            <v>160.69999999999999</v>
          </cell>
          <cell r="AR14">
            <v>106.35</v>
          </cell>
          <cell r="AS14">
            <v>109.54</v>
          </cell>
          <cell r="AT14">
            <v>89.88</v>
          </cell>
          <cell r="AU14">
            <v>62.01</v>
          </cell>
        </row>
        <row r="15">
          <cell r="Z15">
            <v>1163.0999999999999</v>
          </cell>
          <cell r="AA15">
            <v>1228.8</v>
          </cell>
          <cell r="AB15">
            <v>1165.2</v>
          </cell>
          <cell r="AC15">
            <v>1250.2</v>
          </cell>
          <cell r="AD15">
            <v>1470</v>
          </cell>
          <cell r="AE15">
            <v>1703.7</v>
          </cell>
          <cell r="AP15">
            <v>1174.6500000000001</v>
          </cell>
          <cell r="AQ15">
            <v>1067.6600000000001</v>
          </cell>
          <cell r="AR15">
            <v>1051.95</v>
          </cell>
          <cell r="AS15">
            <v>1172.1099999999999</v>
          </cell>
          <cell r="AT15">
            <v>1051.02</v>
          </cell>
          <cell r="AU15">
            <v>1106.95</v>
          </cell>
        </row>
        <row r="17">
          <cell r="B17">
            <v>1819.46</v>
          </cell>
          <cell r="C17">
            <v>2666.04</v>
          </cell>
          <cell r="D17">
            <v>3683.5000000000009</v>
          </cell>
          <cell r="E17">
            <v>2368.63</v>
          </cell>
          <cell r="F17">
            <v>2163</v>
          </cell>
          <cell r="G17">
            <v>2916</v>
          </cell>
          <cell r="Z17">
            <v>98.3</v>
          </cell>
          <cell r="AA17">
            <v>97</v>
          </cell>
          <cell r="AB17">
            <v>95.8</v>
          </cell>
          <cell r="AC17">
            <v>142.80000000000001</v>
          </cell>
          <cell r="AD17">
            <v>171.1</v>
          </cell>
          <cell r="AE17">
            <v>282.89999999999998</v>
          </cell>
          <cell r="AH17">
            <v>1186.5700000000006</v>
          </cell>
          <cell r="AI17">
            <v>1526.2600000000002</v>
          </cell>
          <cell r="AJ17">
            <v>1710.6100000000006</v>
          </cell>
          <cell r="AK17">
            <v>1847.1599999999999</v>
          </cell>
          <cell r="AL17">
            <v>2263.7299999999996</v>
          </cell>
          <cell r="AM17">
            <v>2697.0200000000004</v>
          </cell>
        </row>
        <row r="18">
          <cell r="J18">
            <v>5270.2300000000068</v>
          </cell>
          <cell r="K18">
            <v>7105.5099999999984</v>
          </cell>
          <cell r="L18">
            <v>9048.14</v>
          </cell>
          <cell r="M18">
            <v>9579.8799999999974</v>
          </cell>
          <cell r="N18">
            <v>11582.21</v>
          </cell>
          <cell r="O18">
            <v>14429.980000000003</v>
          </cell>
          <cell r="AP18">
            <v>2178.1799999999985</v>
          </cell>
          <cell r="AQ18">
            <v>3290.0600000000013</v>
          </cell>
          <cell r="AR18">
            <v>3675.3899999999994</v>
          </cell>
          <cell r="AS18">
            <v>4220.7700000000004</v>
          </cell>
          <cell r="AT18">
            <v>5896.7199999999975</v>
          </cell>
          <cell r="AU18">
            <v>6820.8100000000013</v>
          </cell>
        </row>
        <row r="20">
          <cell r="R20">
            <v>1437.7350999999987</v>
          </cell>
          <cell r="S20">
            <v>1691.6117999999999</v>
          </cell>
          <cell r="T20">
            <v>1974.6005999999991</v>
          </cell>
          <cell r="U20">
            <v>1671.2391000000021</v>
          </cell>
          <cell r="V20">
            <v>2397.9399999999996</v>
          </cell>
          <cell r="W20">
            <v>2516.33</v>
          </cell>
          <cell r="Z20">
            <v>1829.5999999999985</v>
          </cell>
          <cell r="AA20">
            <v>2835.5000000000036</v>
          </cell>
          <cell r="AB20">
            <v>2991.1000000000022</v>
          </cell>
          <cell r="AC20">
            <v>6011.5000000000036</v>
          </cell>
          <cell r="AD20">
            <v>7186.2999999999993</v>
          </cell>
          <cell r="AE20">
            <v>7657.8000000000029</v>
          </cell>
        </row>
        <row r="21">
          <cell r="B21">
            <v>1376.54</v>
          </cell>
          <cell r="C21">
            <v>1984.29</v>
          </cell>
          <cell r="D21">
            <v>2960.4500000000007</v>
          </cell>
          <cell r="E21">
            <v>1823.38</v>
          </cell>
          <cell r="F21">
            <v>1600</v>
          </cell>
          <cell r="G21">
            <v>2191</v>
          </cell>
        </row>
        <row r="25">
          <cell r="R25">
            <v>1056.1401999999987</v>
          </cell>
          <cell r="S25">
            <v>1293.0278999999998</v>
          </cell>
          <cell r="T25">
            <v>1452.9570999999992</v>
          </cell>
          <cell r="U25">
            <v>1309.675800000002</v>
          </cell>
          <cell r="V25">
            <v>1940.7899999999995</v>
          </cell>
          <cell r="W25">
            <v>2006.59</v>
          </cell>
          <cell r="AH25">
            <v>1024.7200000000007</v>
          </cell>
          <cell r="AI25">
            <v>1251.8800000000003</v>
          </cell>
          <cell r="AJ25">
            <v>777.18000000000052</v>
          </cell>
          <cell r="AK25">
            <v>1245.23</v>
          </cell>
          <cell r="AL25">
            <v>1656.3799999999997</v>
          </cell>
          <cell r="AM25">
            <v>1911.2500000000005</v>
          </cell>
        </row>
        <row r="26">
          <cell r="Z26">
            <v>2025.9999999999984</v>
          </cell>
          <cell r="AA26">
            <v>1951.6000000000035</v>
          </cell>
          <cell r="AB26">
            <v>2182.5000000000023</v>
          </cell>
          <cell r="AC26">
            <v>4507.3000000000038</v>
          </cell>
          <cell r="AD26">
            <v>5577.8999999999987</v>
          </cell>
          <cell r="AE26">
            <v>5725.2000000000025</v>
          </cell>
          <cell r="AP26">
            <v>1499.5199999999984</v>
          </cell>
          <cell r="AQ26">
            <v>2388.5100000000011</v>
          </cell>
          <cell r="AR26">
            <v>2728.7699999999991</v>
          </cell>
          <cell r="AS26">
            <v>3015.3100000000009</v>
          </cell>
          <cell r="AT26">
            <v>4348.5399999999972</v>
          </cell>
          <cell r="AU26">
            <v>5269.2000000000007</v>
          </cell>
        </row>
        <row r="30">
          <cell r="J30">
            <v>3764.9300000000067</v>
          </cell>
          <cell r="K30">
            <v>2903.8199999999979</v>
          </cell>
          <cell r="L30">
            <v>3272.7299999999996</v>
          </cell>
          <cell r="M30">
            <v>8473.5799999999963</v>
          </cell>
          <cell r="N30">
            <v>9576.3799999999992</v>
          </cell>
          <cell r="O30">
            <v>10929.040000000005</v>
          </cell>
        </row>
      </sheetData>
      <sheetData sheetId="4">
        <row r="22">
          <cell r="AH22">
            <v>-406.78</v>
          </cell>
          <cell r="AI22">
            <v>-335.15</v>
          </cell>
          <cell r="AJ22">
            <v>0</v>
          </cell>
          <cell r="AK22">
            <v>-2000</v>
          </cell>
          <cell r="AL22">
            <v>-432.78</v>
          </cell>
          <cell r="AM22">
            <v>-611.87</v>
          </cell>
        </row>
        <row r="28">
          <cell r="Z28">
            <v>13.1</v>
          </cell>
          <cell r="AA28">
            <v>-974.1</v>
          </cell>
          <cell r="AB28">
            <v>-1466</v>
          </cell>
          <cell r="AC28">
            <v>-1132.3</v>
          </cell>
          <cell r="AD28">
            <v>-1640.3</v>
          </cell>
          <cell r="AE28">
            <v>-2750.4</v>
          </cell>
        </row>
        <row r="29">
          <cell r="AP29">
            <v>-572.77</v>
          </cell>
          <cell r="AQ29">
            <v>-629.66</v>
          </cell>
          <cell r="AR29">
            <v>-544.11</v>
          </cell>
          <cell r="AS29">
            <v>-840.53</v>
          </cell>
          <cell r="AT29">
            <v>-1098.25</v>
          </cell>
          <cell r="AU29">
            <v>-1162.1600000000001</v>
          </cell>
        </row>
        <row r="30">
          <cell r="J30">
            <v>-1542</v>
          </cell>
          <cell r="K30">
            <v>-1170.1300000000001</v>
          </cell>
          <cell r="L30">
            <v>-1495.04</v>
          </cell>
          <cell r="M30">
            <v>-2085.58</v>
          </cell>
          <cell r="N30">
            <v>-2201.81</v>
          </cell>
          <cell r="O30">
            <v>-2128.58</v>
          </cell>
        </row>
        <row r="33">
          <cell r="B33">
            <v>-1183.21</v>
          </cell>
          <cell r="C33">
            <v>-910.19</v>
          </cell>
          <cell r="D33">
            <v>-713.2</v>
          </cell>
          <cell r="E33">
            <v>-473.02</v>
          </cell>
          <cell r="F33">
            <v>-1003</v>
          </cell>
          <cell r="G33">
            <v>-1438</v>
          </cell>
        </row>
        <row r="44">
          <cell r="R44">
            <v>-227.96979999999999</v>
          </cell>
          <cell r="S44">
            <v>-308.42840000000001</v>
          </cell>
          <cell r="T44">
            <v>-464.86439999999999</v>
          </cell>
          <cell r="U44">
            <v>-789.02049999999997</v>
          </cell>
          <cell r="V44">
            <v>-315.33</v>
          </cell>
          <cell r="W44">
            <v>-460.79</v>
          </cell>
        </row>
      </sheetData>
      <sheetData sheetId="5">
        <row r="13">
          <cell r="B13">
            <v>-1329.8072678979124</v>
          </cell>
          <cell r="C13">
            <v>-1458.8885144180697</v>
          </cell>
          <cell r="D13">
            <v>-1600.5060891523974</v>
          </cell>
          <cell r="E13">
            <v>-1755.8782422969041</v>
          </cell>
          <cell r="F13">
            <v>-1926.341689123487</v>
          </cell>
          <cell r="I13">
            <v>-2445.2223736940282</v>
          </cell>
          <cell r="J13">
            <v>-2652.5201432780277</v>
          </cell>
          <cell r="K13">
            <v>-2877.3919240181503</v>
          </cell>
          <cell r="L13">
            <v>-3121.3275817664767</v>
          </cell>
          <cell r="M13">
            <v>-3385.9432882159931</v>
          </cell>
          <cell r="P13">
            <v>-724.05236197712259</v>
          </cell>
          <cell r="Q13">
            <v>-824.51786104288738</v>
          </cell>
          <cell r="R13">
            <v>-940.07538942789131</v>
          </cell>
          <cell r="S13">
            <v>-1073.3314279317303</v>
          </cell>
          <cell r="T13">
            <v>-1227.4349408148539</v>
          </cell>
          <cell r="W13">
            <v>-2166.9138858547767</v>
          </cell>
          <cell r="X13">
            <v>-2403.8020658236032</v>
          </cell>
          <cell r="Y13">
            <v>-2666.5869877789282</v>
          </cell>
          <cell r="Z13">
            <v>-2958.0996973457532</v>
          </cell>
          <cell r="AA13">
            <v>-3281.4807315644489</v>
          </cell>
          <cell r="AD13">
            <v>-570.56152322901994</v>
          </cell>
          <cell r="AE13">
            <v>-605.71935308957097</v>
          </cell>
          <cell r="AF13">
            <v>-643.04359787678595</v>
          </cell>
          <cell r="AG13">
            <v>-682.66775142839845</v>
          </cell>
          <cell r="AH13">
            <v>-724.73353343236772</v>
          </cell>
          <cell r="AK13">
            <v>-1069.8209387543588</v>
          </cell>
          <cell r="AL13">
            <v>-1160.0191059022723</v>
          </cell>
          <cell r="AM13">
            <v>-1257.8220463521109</v>
          </cell>
          <cell r="AN13">
            <v>-1363.8709353607621</v>
          </cell>
          <cell r="AO13">
            <v>-1478.8610073262066</v>
          </cell>
        </row>
      </sheetData>
      <sheetData sheetId="6">
        <row r="6">
          <cell r="B6">
            <v>0.3602761436591721</v>
          </cell>
          <cell r="C6">
            <v>0.41560247782979426</v>
          </cell>
          <cell r="D6">
            <v>0.44037272556950319</v>
          </cell>
          <cell r="E6">
            <v>0.33437169092856783</v>
          </cell>
          <cell r="F6">
            <v>0.31085043988269795</v>
          </cell>
          <cell r="G6">
            <v>0.34184514003294891</v>
          </cell>
          <cell r="J6">
            <v>0.22781437723236445</v>
          </cell>
          <cell r="K6">
            <v>0.27165440561827664</v>
          </cell>
          <cell r="L6">
            <v>0.28601248231251264</v>
          </cell>
          <cell r="M6">
            <v>0.2758592728693941</v>
          </cell>
          <cell r="N6">
            <v>0.28840561801719677</v>
          </cell>
          <cell r="O6">
            <v>0.31601815652393289</v>
          </cell>
          <cell r="R6">
            <v>0.26085271786786662</v>
          </cell>
          <cell r="S6">
            <v>0.28670641590446855</v>
          </cell>
          <cell r="T6">
            <v>0.27575140631223871</v>
          </cell>
          <cell r="U6">
            <v>0.22996481707512562</v>
          </cell>
          <cell r="V6">
            <v>0.2665022873330512</v>
          </cell>
          <cell r="W6">
            <v>0.27988823177233935</v>
          </cell>
          <cell r="Z6">
            <v>0.17041946012702888</v>
          </cell>
          <cell r="AA6">
            <v>0.2151776988349908</v>
          </cell>
          <cell r="AB6">
            <v>0.19301757635181763</v>
          </cell>
          <cell r="AC6">
            <v>0.28783060967456048</v>
          </cell>
          <cell r="AD6">
            <v>0.30538930442062728</v>
          </cell>
          <cell r="AE6">
            <v>0.28583452870674436</v>
          </cell>
          <cell r="AH6">
            <v>0.2843035452651847</v>
          </cell>
          <cell r="AI6">
            <v>0.31536764961272623</v>
          </cell>
          <cell r="AJ6">
            <v>0.30188980539025345</v>
          </cell>
          <cell r="AK6">
            <v>0.29871736905980062</v>
          </cell>
          <cell r="AL6">
            <v>0.31760053774656372</v>
          </cell>
          <cell r="AM6">
            <v>0.32447726737011412</v>
          </cell>
          <cell r="AP6">
            <v>0.20314439245625041</v>
          </cell>
          <cell r="AQ6">
            <v>0.23260154909145572</v>
          </cell>
          <cell r="AR6">
            <v>0.21927214579765697</v>
          </cell>
          <cell r="AS6">
            <v>0.23688156438386004</v>
          </cell>
          <cell r="AT6">
            <v>0.26536368250262238</v>
          </cell>
          <cell r="AU6">
            <v>0.28123595319732952</v>
          </cell>
        </row>
        <row r="8">
          <cell r="B8">
            <v>0.24651283566586973</v>
          </cell>
          <cell r="C8">
            <v>0.28218163925847134</v>
          </cell>
          <cell r="D8">
            <v>0.32626712366509808</v>
          </cell>
          <cell r="E8">
            <v>0.22477093058947237</v>
          </cell>
          <cell r="F8">
            <v>0.19550342130987292</v>
          </cell>
          <cell r="G8">
            <v>0.2255971993410214</v>
          </cell>
          <cell r="J8">
            <v>0.11247501006767167</v>
          </cell>
          <cell r="K8">
            <v>8.4576476845171708E-2</v>
          </cell>
          <cell r="L8">
            <v>8.2694815039417821E-2</v>
          </cell>
          <cell r="M8">
            <v>0.19033113058791284</v>
          </cell>
          <cell r="N8">
            <v>0.19209990403409838</v>
          </cell>
          <cell r="O8">
            <v>0.20037298683545685</v>
          </cell>
          <cell r="R8">
            <v>0.17674055332095992</v>
          </cell>
          <cell r="S8">
            <v>0.20249818166664244</v>
          </cell>
          <cell r="T8">
            <v>0.18212994968264007</v>
          </cell>
          <cell r="U8">
            <v>0.147519241890499</v>
          </cell>
          <cell r="V8">
            <v>0.18412414402893174</v>
          </cell>
          <cell r="W8">
            <v>0.15745086207640635</v>
          </cell>
          <cell r="Z8">
            <v>0.11170165843330973</v>
          </cell>
          <cell r="AA8">
            <v>0.10091577080392387</v>
          </cell>
          <cell r="AB8">
            <v>9.9071249591458854E-2</v>
          </cell>
          <cell r="AC8">
            <v>0.17520952218058572</v>
          </cell>
          <cell r="AD8">
            <v>0.19297086357566404</v>
          </cell>
          <cell r="AE8">
            <v>0.16967979799177271</v>
          </cell>
          <cell r="AH8">
            <v>0.12712685516356712</v>
          </cell>
          <cell r="AI8">
            <v>0.15529158417561048</v>
          </cell>
          <cell r="AJ8">
            <v>8.9283826942076663E-2</v>
          </cell>
          <cell r="AK8">
            <v>0.12883524446757419</v>
          </cell>
          <cell r="AL8">
            <v>0.15357114711540687</v>
          </cell>
          <cell r="AM8">
            <v>0.16562876970646556</v>
          </cell>
          <cell r="AP8">
            <v>8.580359906821787E-2</v>
          </cell>
          <cell r="AQ8">
            <v>0.12295694645925635</v>
          </cell>
          <cell r="AR8">
            <v>0.12378602129807088</v>
          </cell>
          <cell r="AS8">
            <v>0.1298104015873556</v>
          </cell>
          <cell r="AT8">
            <v>0.16396801587894108</v>
          </cell>
          <cell r="AU8">
            <v>0.18547323447200215</v>
          </cell>
        </row>
        <row r="10">
          <cell r="B10">
            <v>0.18831122638825049</v>
          </cell>
          <cell r="C10">
            <v>0.2134882474896741</v>
          </cell>
          <cell r="D10">
            <v>0.25242194441081228</v>
          </cell>
          <cell r="E10">
            <v>0.14281876292874884</v>
          </cell>
          <cell r="F10">
            <v>0.11789845995136689</v>
          </cell>
          <cell r="G10">
            <v>0.14636916293673591</v>
          </cell>
          <cell r="J10">
            <v>7.6640280070978714E-2</v>
          </cell>
          <cell r="K10">
            <v>5.8686943750615103E-2</v>
          </cell>
          <cell r="L10">
            <v>0.1331030037071004</v>
          </cell>
          <cell r="M10">
            <v>0.35680695424863007</v>
          </cell>
          <cell r="N10">
            <v>0.14266288114550052</v>
          </cell>
          <cell r="O10">
            <v>0.15077459838768764</v>
          </cell>
          <cell r="R10">
            <v>0.28765346324610358</v>
          </cell>
          <cell r="S10">
            <v>0.26589694213187415</v>
          </cell>
          <cell r="T10">
            <v>0.23003250947704915</v>
          </cell>
          <cell r="U10">
            <v>0.17179922340383932</v>
          </cell>
          <cell r="V10">
            <v>0.20267675042999056</v>
          </cell>
          <cell r="W10">
            <v>0.13773786430425763</v>
          </cell>
          <cell r="Z10">
            <v>1.2933626173022619</v>
          </cell>
          <cell r="AA10">
            <v>1.2397684437264405</v>
          </cell>
          <cell r="AB10">
            <v>1.2487231956104003</v>
          </cell>
          <cell r="AC10">
            <v>1.3389894026774374</v>
          </cell>
          <cell r="AD10">
            <v>1.0230261760833557</v>
          </cell>
          <cell r="AE10">
            <v>0.99451181051303672</v>
          </cell>
          <cell r="AH10">
            <v>0.21245557946765867</v>
          </cell>
          <cell r="AI10">
            <v>0.21446694202841451</v>
          </cell>
          <cell r="AJ10">
            <v>0.13055375906063391</v>
          </cell>
          <cell r="AK10">
            <v>0.20090608850819691</v>
          </cell>
          <cell r="AL10">
            <v>0.24159039694289064</v>
          </cell>
          <cell r="AM10">
            <v>0.25178870432068767</v>
          </cell>
          <cell r="AP10">
            <v>9.6112295095101413E-2</v>
          </cell>
          <cell r="AQ10">
            <v>0.13148794070433426</v>
          </cell>
          <cell r="AR10">
            <v>0.13195002207411577</v>
          </cell>
          <cell r="AS10">
            <v>0.12971111593863127</v>
          </cell>
          <cell r="AT10">
            <v>0.16381791496389511</v>
          </cell>
          <cell r="AU10">
            <v>0.16979930026910994</v>
          </cell>
        </row>
        <row r="16">
          <cell r="B16">
            <v>5.3146956464639834E-3</v>
          </cell>
          <cell r="C16">
            <v>5.1965601569081428E-4</v>
          </cell>
          <cell r="D16">
            <v>3.1462682189393407E-4</v>
          </cell>
          <cell r="E16">
            <v>2.5534401339694481E-4</v>
          </cell>
          <cell r="F16">
            <v>2.2105961240881291E-4</v>
          </cell>
          <cell r="G16">
            <v>2.6721891909947226E-4</v>
          </cell>
          <cell r="J16">
            <v>0.15426662234407995</v>
          </cell>
          <cell r="K16">
            <v>6.7563490011990746E-2</v>
          </cell>
          <cell r="L16">
            <v>0.20636287287065411</v>
          </cell>
          <cell r="M16">
            <v>0.3280571795273442</v>
          </cell>
          <cell r="N16">
            <v>5.0431621516212659E-2</v>
          </cell>
          <cell r="O16">
            <v>3.4096124835226699E-2</v>
          </cell>
          <cell r="R16">
            <v>2.8952481462092266E-2</v>
          </cell>
          <cell r="S16">
            <v>4.5556088114823555E-2</v>
          </cell>
          <cell r="T16">
            <v>0.13822534415652679</v>
          </cell>
          <cell r="U16">
            <v>2.234872806736837E-2</v>
          </cell>
          <cell r="V16">
            <v>2.1634768515182555E-2</v>
          </cell>
          <cell r="W16">
            <v>0.58424937088915696</v>
          </cell>
          <cell r="Z16">
            <v>0.24406714395732906</v>
          </cell>
          <cell r="AA16">
            <v>0.11434212888170885</v>
          </cell>
          <cell r="AB16">
            <v>0.16690001530464751</v>
          </cell>
          <cell r="AC16">
            <v>0.17086881389102868</v>
          </cell>
          <cell r="AD16">
            <v>7.0855217520562869E-2</v>
          </cell>
          <cell r="AE16">
            <v>0.13784139073433271</v>
          </cell>
          <cell r="AH16">
            <v>0.90521892014048699</v>
          </cell>
          <cell r="AI16">
            <v>0.6245269539862639</v>
          </cell>
          <cell r="AJ16">
            <v>0.68363584441327407</v>
          </cell>
          <cell r="AK16">
            <v>0.86616640341267515</v>
          </cell>
          <cell r="AL16">
            <v>0.58661785404345013</v>
          </cell>
          <cell r="AM16">
            <v>0.42187469123360327</v>
          </cell>
          <cell r="AP16">
            <v>0.17539894677056139</v>
          </cell>
          <cell r="AQ16">
            <v>8.2724304151764877E-2</v>
          </cell>
          <cell r="AR16">
            <v>4.9995785462022276E-2</v>
          </cell>
          <cell r="AS16">
            <v>3.3867571016389798E-2</v>
          </cell>
          <cell r="AT16">
            <v>2.0871692871477963E-2</v>
          </cell>
          <cell r="AU16">
            <v>1.4004490360107707E-2</v>
          </cell>
        </row>
        <row r="25">
          <cell r="B25">
            <v>9.1797172303256583E-3</v>
          </cell>
          <cell r="C25">
            <v>7.2895750260240394E-2</v>
          </cell>
          <cell r="D25">
            <v>2.2813185359886263E-2</v>
          </cell>
          <cell r="E25">
            <v>2.847573460615347E-2</v>
          </cell>
          <cell r="F25">
            <v>3.4934017595307912E-2</v>
          </cell>
          <cell r="G25">
            <v>2.4299835255354202E-2</v>
          </cell>
          <cell r="J25">
            <v>6.8785796995113738E-2</v>
          </cell>
          <cell r="K25">
            <v>6.2617850820448517E-2</v>
          </cell>
          <cell r="L25">
            <v>5.6094602789569438E-2</v>
          </cell>
          <cell r="M25">
            <v>5.318035408645963E-2</v>
          </cell>
          <cell r="N25">
            <v>6.5013688781618201E-2</v>
          </cell>
          <cell r="O25">
            <v>5.9556155932844766E-2</v>
          </cell>
          <cell r="R25">
            <v>2.4047581478502542E-2</v>
          </cell>
          <cell r="S25">
            <v>1.8636321473287972E-2</v>
          </cell>
          <cell r="T25">
            <v>2.0933654267562964E-2</v>
          </cell>
          <cell r="U25">
            <v>0.11263798406483405</v>
          </cell>
          <cell r="V25">
            <v>2.1156170486478075E-2</v>
          </cell>
          <cell r="W25">
            <v>2.0111062025716737E-2</v>
          </cell>
          <cell r="Z25">
            <v>8.4961626676076221E-2</v>
          </cell>
          <cell r="AA25">
            <v>8.55322691569841E-2</v>
          </cell>
          <cell r="AB25">
            <v>7.9356865308494021E-2</v>
          </cell>
          <cell r="AC25">
            <v>7.5338578514452748E-2</v>
          </cell>
          <cell r="AD25">
            <v>7.91305430819155E-2</v>
          </cell>
          <cell r="AE25">
            <v>8.1147084276789197E-2</v>
          </cell>
          <cell r="AH25">
            <v>4.7254488183896749E-2</v>
          </cell>
          <cell r="AI25">
            <v>6.0410743436689049E-2</v>
          </cell>
          <cell r="AJ25">
            <v>5.9279001907037658E-2</v>
          </cell>
          <cell r="AK25">
            <v>5.338691337766379E-2</v>
          </cell>
          <cell r="AL25">
            <v>4.7E-2</v>
          </cell>
          <cell r="AM25">
            <v>5.0349412792390566E-2</v>
          </cell>
          <cell r="AP25">
            <v>7.7934607028190939E-2</v>
          </cell>
          <cell r="AQ25">
            <v>4.82E-2</v>
          </cell>
          <cell r="AR25">
            <v>0.05</v>
          </cell>
          <cell r="AS25">
            <v>0.16626077283276586</v>
          </cell>
          <cell r="AT25">
            <v>5.9236836488986325E-2</v>
          </cell>
          <cell r="AU25">
            <v>0.1519562653183848</v>
          </cell>
        </row>
        <row r="26">
          <cell r="B26">
            <v>0.81063206812259914</v>
          </cell>
          <cell r="C26">
            <v>0.88000000000000012</v>
          </cell>
          <cell r="D26">
            <v>0.9</v>
          </cell>
          <cell r="E26">
            <v>0.88</v>
          </cell>
          <cell r="F26">
            <v>0.87</v>
          </cell>
          <cell r="G26">
            <v>0.86</v>
          </cell>
          <cell r="J26">
            <v>0.12561451632755244</v>
          </cell>
          <cell r="K26">
            <v>0.68</v>
          </cell>
          <cell r="L26">
            <v>0.48</v>
          </cell>
          <cell r="M26">
            <v>0.68899999999999995</v>
          </cell>
          <cell r="N26">
            <v>0.72699999999999987</v>
          </cell>
          <cell r="O26">
            <v>0.7</v>
          </cell>
          <cell r="R26">
            <v>9.9999999999999992E-2</v>
          </cell>
          <cell r="S26">
            <v>9.1999999999999998E-2</v>
          </cell>
          <cell r="T26">
            <v>2.4E-2</v>
          </cell>
          <cell r="U26">
            <v>3.4000000000000002E-2</v>
          </cell>
          <cell r="V26">
            <v>7.9000000000000001E-2</v>
          </cell>
          <cell r="W26">
            <v>0.09</v>
          </cell>
          <cell r="Z26">
            <v>0.83399999999999996</v>
          </cell>
          <cell r="AA26">
            <v>0.8</v>
          </cell>
          <cell r="AB26">
            <v>0.69</v>
          </cell>
          <cell r="AC26">
            <v>0.79000000000000015</v>
          </cell>
          <cell r="AD26">
            <v>0.83399999999999996</v>
          </cell>
          <cell r="AE26">
            <v>0.83499999999999996</v>
          </cell>
          <cell r="AH26">
            <v>0.54859371685269476</v>
          </cell>
          <cell r="AI26">
            <v>0.53426914164644712</v>
          </cell>
          <cell r="AJ26">
            <v>0.45</v>
          </cell>
          <cell r="AK26">
            <v>0.41</v>
          </cell>
          <cell r="AL26">
            <v>0.42499999999999993</v>
          </cell>
          <cell r="AM26">
            <v>0.23999999999999996</v>
          </cell>
          <cell r="AP26">
            <v>0.51500000000000001</v>
          </cell>
          <cell r="AQ26">
            <v>0.5</v>
          </cell>
          <cell r="AR26">
            <v>0.58699999999999997</v>
          </cell>
          <cell r="AS26">
            <v>0.56999999999999995</v>
          </cell>
          <cell r="AT26">
            <v>0.57299999999999995</v>
          </cell>
          <cell r="AU26">
            <v>0.56999999999999995</v>
          </cell>
        </row>
      </sheetData>
      <sheetData sheetId="7">
        <row r="6">
          <cell r="B6">
            <v>0.12981335999999999</v>
          </cell>
          <cell r="C6">
            <v>0.13561409999999999</v>
          </cell>
          <cell r="D6">
            <v>0.11829899999999999</v>
          </cell>
          <cell r="E6">
            <v>0.10370639999999999</v>
          </cell>
          <cell r="F6">
            <v>0.11800133999999998</v>
          </cell>
          <cell r="G6">
            <v>0.10347408</v>
          </cell>
        </row>
        <row r="17">
          <cell r="B17">
            <v>0.04</v>
          </cell>
        </row>
        <row r="20">
          <cell r="B20">
            <v>9.6629427804906021E-2</v>
          </cell>
          <cell r="C20">
            <v>8.4776653368680011E-2</v>
          </cell>
          <cell r="D20">
            <v>0.12973013341313844</v>
          </cell>
          <cell r="E20">
            <v>0.10932053253947438</v>
          </cell>
          <cell r="F20">
            <v>6.161969994327654E-2</v>
          </cell>
          <cell r="G20">
            <v>8.4349907180104822E-2</v>
          </cell>
        </row>
      </sheetData>
      <sheetData sheetId="8">
        <row r="5">
          <cell r="B5">
            <v>10264.45144425392</v>
          </cell>
          <cell r="C5">
            <v>11256.299514043418</v>
          </cell>
          <cell r="D5">
            <v>12343.989295286076</v>
          </cell>
          <cell r="E5">
            <v>13536.781917719454</v>
          </cell>
          <cell r="F5">
            <v>14844.833408748484</v>
          </cell>
        </row>
        <row r="7">
          <cell r="B7">
            <v>10654.676603528676</v>
          </cell>
          <cell r="I7">
            <v>61539.009655398768</v>
          </cell>
          <cell r="J7">
            <v>67045.588806830026</v>
          </cell>
          <cell r="K7">
            <v>73078.88310655691</v>
          </cell>
          <cell r="L7">
            <v>79695.933305654049</v>
          </cell>
          <cell r="M7">
            <v>86961.17830182999</v>
          </cell>
          <cell r="P7">
            <v>14497.023587145901</v>
          </cell>
          <cell r="Q7">
            <v>16508.550358046476</v>
          </cell>
          <cell r="R7">
            <v>18822.250723715078</v>
          </cell>
          <cell r="S7">
            <v>21490.3118126185</v>
          </cell>
          <cell r="T7">
            <v>24575.782392437246</v>
          </cell>
          <cell r="W7">
            <v>37419.18833532276</v>
          </cell>
          <cell r="X7">
            <v>41498.198328012462</v>
          </cell>
          <cell r="Y7">
            <v>46021.964456816786</v>
          </cell>
          <cell r="Z7">
            <v>51038.991772238827</v>
          </cell>
          <cell r="AA7">
            <v>56603.076371242205</v>
          </cell>
          <cell r="AD7">
            <v>12268.083898465249</v>
          </cell>
          <cell r="AE7">
            <v>13018.699298279022</v>
          </cell>
          <cell r="AF7">
            <v>13816.852083334245</v>
          </cell>
          <cell r="AG7">
            <v>14665.162438687184</v>
          </cell>
          <cell r="AH7">
            <v>15566.486352799584</v>
          </cell>
          <cell r="AK7">
            <v>30804.734796352906</v>
          </cell>
          <cell r="AL7">
            <v>33401.92701558891</v>
          </cell>
          <cell r="AM7">
            <v>36218.093285776806</v>
          </cell>
          <cell r="AN7">
            <v>39271.695793466606</v>
          </cell>
          <cell r="AO7">
            <v>42582.753319816242</v>
          </cell>
        </row>
        <row r="11">
          <cell r="B11">
            <v>342.01199414710675</v>
          </cell>
          <cell r="I11">
            <v>3601.8058880412691</v>
          </cell>
          <cell r="J11">
            <v>3907.1549373130147</v>
          </cell>
          <cell r="K11">
            <v>4238.3904570913264</v>
          </cell>
          <cell r="L11">
            <v>4597.7070157132794</v>
          </cell>
          <cell r="M11">
            <v>4987.4852296751524</v>
          </cell>
          <cell r="P11">
            <v>499.98018571814953</v>
          </cell>
          <cell r="Q11">
            <v>564.84268191529077</v>
          </cell>
          <cell r="R11">
            <v>638.11979839759636</v>
          </cell>
          <cell r="S11">
            <v>720.90316497728168</v>
          </cell>
          <cell r="T11">
            <v>814.4260287477382</v>
          </cell>
          <cell r="W11">
            <v>2929.9993506305609</v>
          </cell>
          <cell r="X11">
            <v>3250.3084399818081</v>
          </cell>
          <cell r="Y11">
            <v>3605.6338895581675</v>
          </cell>
          <cell r="Z11">
            <v>3999.8037065070425</v>
          </cell>
          <cell r="AA11">
            <v>4437.0643777557552</v>
          </cell>
          <cell r="AD11">
            <v>648.61961819222768</v>
          </cell>
          <cell r="AE11">
            <v>688.58736444255544</v>
          </cell>
          <cell r="AF11">
            <v>731.01791122423731</v>
          </cell>
          <cell r="AG11">
            <v>776.06301556703556</v>
          </cell>
          <cell r="AH11">
            <v>823.88378572335068</v>
          </cell>
          <cell r="AK11">
            <v>2842.1910606847518</v>
          </cell>
          <cell r="AL11">
            <v>3081.8203435593609</v>
          </cell>
          <cell r="AM11">
            <v>3341.6532118325067</v>
          </cell>
          <cell r="AN11">
            <v>3623.3930744742729</v>
          </cell>
          <cell r="AO11">
            <v>3928.8869592623369</v>
          </cell>
        </row>
        <row r="14">
          <cell r="I14">
            <v>15133.713747162237</v>
          </cell>
          <cell r="J14">
            <v>16706.207212909911</v>
          </cell>
          <cell r="K14">
            <v>18471.89720845531</v>
          </cell>
          <cell r="L14">
            <v>20459.549892560695</v>
          </cell>
          <cell r="M14">
            <v>22702.932545310599</v>
          </cell>
          <cell r="P14">
            <v>3902.4652258829065</v>
          </cell>
          <cell r="Q14">
            <v>4539.5585271235504</v>
          </cell>
          <cell r="R14">
            <v>5300.5199857457592</v>
          </cell>
          <cell r="S14">
            <v>6214.4051420358828</v>
          </cell>
          <cell r="T14">
            <v>7318.1303114732946</v>
          </cell>
          <cell r="AD14">
            <v>3130.6560470045342</v>
          </cell>
          <cell r="AE14">
            <v>3318.2258843579593</v>
          </cell>
          <cell r="AF14">
            <v>3518.6384083396342</v>
          </cell>
          <cell r="AG14">
            <v>3732.3759270876599</v>
          </cell>
          <cell r="AH14">
            <v>3960.024816811394</v>
          </cell>
          <cell r="AK14">
            <v>4543.2404483149767</v>
          </cell>
          <cell r="AL14">
            <v>4926.2876915549678</v>
          </cell>
          <cell r="AM14">
            <v>5341.6303521063855</v>
          </cell>
          <cell r="AN14">
            <v>5791.9913280319051</v>
          </cell>
          <cell r="AO14">
            <v>6280.3230919589951</v>
          </cell>
        </row>
        <row r="20">
          <cell r="B20">
            <v>2380.5325205574004</v>
          </cell>
          <cell r="C20">
            <v>2589.5901884065979</v>
          </cell>
          <cell r="D20">
            <v>2820.5625563533449</v>
          </cell>
          <cell r="E20">
            <v>3075.4625926976692</v>
          </cell>
          <cell r="F20">
            <v>3356.5074990222856</v>
          </cell>
          <cell r="I20">
            <v>9131.1205384316781</v>
          </cell>
          <cell r="J20">
            <v>9814.8393408524425</v>
          </cell>
          <cell r="K20">
            <v>10664.489381266923</v>
          </cell>
          <cell r="L20">
            <v>11691.789342540103</v>
          </cell>
          <cell r="M20">
            <v>12913.521362758362</v>
          </cell>
          <cell r="P20">
            <v>2053.9000961583042</v>
          </cell>
          <cell r="Q20">
            <v>2506.5020461469585</v>
          </cell>
          <cell r="R20">
            <v>3045.8547764802802</v>
          </cell>
          <cell r="S20">
            <v>3693.009129117786</v>
          </cell>
          <cell r="T20">
            <v>4474.780558450866</v>
          </cell>
          <cell r="W20">
            <v>4063.0566262620941</v>
          </cell>
          <cell r="X20">
            <v>4411.8728677576009</v>
          </cell>
          <cell r="Y20">
            <v>4810.439769918783</v>
          </cell>
          <cell r="Z20">
            <v>5262.3446964308059</v>
          </cell>
          <cell r="AA20">
            <v>5771.8084759160301</v>
          </cell>
          <cell r="AD20">
            <v>1195.7328531602029</v>
          </cell>
          <cell r="AE20">
            <v>1263.8407296311657</v>
          </cell>
          <cell r="AF20">
            <v>1337.2696030456777</v>
          </cell>
          <cell r="AG20">
            <v>1416.0990910189407</v>
          </cell>
          <cell r="AH20">
            <v>1500.4711662899635</v>
          </cell>
          <cell r="AK20">
            <v>2460.1620370983055</v>
          </cell>
          <cell r="AL20">
            <v>2422.2435065802692</v>
          </cell>
          <cell r="AM20">
            <v>2335.7129463805268</v>
          </cell>
          <cell r="AN20">
            <v>2188.4009813789921</v>
          </cell>
          <cell r="AO20">
            <v>2070.1791991362388</v>
          </cell>
        </row>
        <row r="28">
          <cell r="C28">
            <v>7.697489244137605E-2</v>
          </cell>
        </row>
        <row r="35">
          <cell r="C35">
            <v>6.0397061943283974E-2</v>
          </cell>
        </row>
        <row r="46">
          <cell r="C46">
            <v>24.499671989513079</v>
          </cell>
        </row>
        <row r="53">
          <cell r="C53">
            <v>7.6328885485147713E-2</v>
          </cell>
        </row>
      </sheetData>
      <sheetData sheetId="9">
        <row r="8">
          <cell r="D8">
            <v>0.34535474693319451</v>
          </cell>
          <cell r="G8">
            <v>0.15031580928325544</v>
          </cell>
        </row>
        <row r="17">
          <cell r="C17">
            <v>6.6114713311466164E-2</v>
          </cell>
        </row>
      </sheetData>
      <sheetData sheetId="10">
        <row r="21">
          <cell r="B21">
            <v>985.47907551936703</v>
          </cell>
          <cell r="I21">
            <v>404.27448023093103</v>
          </cell>
          <cell r="W21">
            <v>968.7045768536334</v>
          </cell>
          <cell r="AD21">
            <v>724.62117424775033</v>
          </cell>
          <cell r="AK21">
            <v>382.19488267854575</v>
          </cell>
        </row>
      </sheetData>
      <sheetData sheetId="11">
        <row r="3">
          <cell r="B3">
            <v>6564</v>
          </cell>
          <cell r="C3">
            <v>1690.1</v>
          </cell>
          <cell r="D3">
            <v>2440</v>
          </cell>
          <cell r="E3">
            <v>1288.5</v>
          </cell>
          <cell r="F3">
            <v>3571.8</v>
          </cell>
          <cell r="G3">
            <v>1666.8</v>
          </cell>
        </row>
      </sheetData>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WACC"/>
      <sheetName val="Valuation"/>
      <sheetName val="Calc"/>
      <sheetName val="FCFF"/>
      <sheetName val="DDM"/>
      <sheetName val="RIM"/>
      <sheetName val="Summary"/>
    </sheetNames>
    <sheetDataSet>
      <sheetData sheetId="0" refreshError="1"/>
      <sheetData sheetId="1" refreshError="1"/>
      <sheetData sheetId="2">
        <row r="5">
          <cell r="B5">
            <v>161541</v>
          </cell>
          <cell r="C5">
            <v>167311</v>
          </cell>
          <cell r="D5">
            <v>195772</v>
          </cell>
          <cell r="E5">
            <v>228907</v>
          </cell>
          <cell r="F5">
            <v>245315</v>
          </cell>
          <cell r="I5">
            <v>93594</v>
          </cell>
          <cell r="J5">
            <v>102673</v>
          </cell>
          <cell r="K5">
            <v>123936</v>
          </cell>
          <cell r="L5">
            <v>149468</v>
          </cell>
          <cell r="M5">
            <v>166590</v>
          </cell>
          <cell r="P5">
            <v>71265</v>
          </cell>
          <cell r="Q5">
            <v>76306</v>
          </cell>
          <cell r="R5">
            <v>86718</v>
          </cell>
          <cell r="S5">
            <v>102814</v>
          </cell>
          <cell r="T5">
            <v>111408</v>
          </cell>
          <cell r="AD5">
            <v>11207.800000000001</v>
          </cell>
          <cell r="AE5">
            <v>12644.199999999999</v>
          </cell>
          <cell r="AF5">
            <v>26874.5</v>
          </cell>
          <cell r="AG5">
            <v>33739.9</v>
          </cell>
          <cell r="AH5">
            <v>36218.9</v>
          </cell>
        </row>
        <row r="6">
          <cell r="W6">
            <v>63862.6</v>
          </cell>
        </row>
        <row r="9">
          <cell r="B9">
            <v>924</v>
          </cell>
          <cell r="C9">
            <v>637</v>
          </cell>
          <cell r="D9">
            <v>784</v>
          </cell>
          <cell r="E9">
            <v>779</v>
          </cell>
          <cell r="F9">
            <v>778</v>
          </cell>
          <cell r="AD9">
            <v>82.6</v>
          </cell>
          <cell r="AE9">
            <v>78.8</v>
          </cell>
          <cell r="AF9">
            <v>123.4</v>
          </cell>
          <cell r="AG9">
            <v>150.4</v>
          </cell>
          <cell r="AH9">
            <v>221.7</v>
          </cell>
        </row>
        <row r="10">
          <cell r="B10">
            <v>3529</v>
          </cell>
          <cell r="C10">
            <v>4065</v>
          </cell>
          <cell r="D10">
            <v>4604</v>
          </cell>
          <cell r="E10">
            <v>5022</v>
          </cell>
          <cell r="F10">
            <v>4985</v>
          </cell>
          <cell r="P10">
            <v>505</v>
          </cell>
          <cell r="Q10">
            <v>511</v>
          </cell>
          <cell r="R10">
            <v>12515</v>
          </cell>
          <cell r="S10">
            <v>14950</v>
          </cell>
          <cell r="T10">
            <v>14578</v>
          </cell>
          <cell r="AD10">
            <v>273</v>
          </cell>
          <cell r="AE10">
            <v>332.5</v>
          </cell>
          <cell r="AF10">
            <v>597.1</v>
          </cell>
          <cell r="AG10">
            <v>722.7</v>
          </cell>
          <cell r="AH10">
            <v>818.9</v>
          </cell>
        </row>
        <row r="11">
          <cell r="P11">
            <v>3420</v>
          </cell>
          <cell r="Q11">
            <v>4611</v>
          </cell>
          <cell r="R11">
            <v>319</v>
          </cell>
          <cell r="S11">
            <v>353</v>
          </cell>
          <cell r="T11">
            <v>553</v>
          </cell>
          <cell r="W11">
            <v>732.8</v>
          </cell>
        </row>
        <row r="12">
          <cell r="W12">
            <v>2085.5</v>
          </cell>
        </row>
        <row r="13">
          <cell r="B13">
            <v>42248</v>
          </cell>
          <cell r="C13">
            <v>44978</v>
          </cell>
          <cell r="D13">
            <v>51687</v>
          </cell>
          <cell r="E13">
            <v>56907</v>
          </cell>
          <cell r="F13">
            <v>62955</v>
          </cell>
          <cell r="I13">
            <v>2893</v>
          </cell>
          <cell r="J13">
            <v>3267</v>
          </cell>
          <cell r="K13">
            <v>3476</v>
          </cell>
          <cell r="L13">
            <v>4225</v>
          </cell>
          <cell r="M13">
            <v>4812</v>
          </cell>
          <cell r="AD13">
            <v>2002.8999999999996</v>
          </cell>
          <cell r="AE13">
            <v>2588.2000000000007</v>
          </cell>
          <cell r="AF13">
            <v>5293.9000000000015</v>
          </cell>
          <cell r="AG13">
            <v>5791.5</v>
          </cell>
          <cell r="AH13">
            <v>6048.6999999999971</v>
          </cell>
        </row>
        <row r="14">
          <cell r="I14">
            <v>170</v>
          </cell>
          <cell r="J14">
            <v>195</v>
          </cell>
          <cell r="K14">
            <v>200</v>
          </cell>
          <cell r="L14">
            <v>284</v>
          </cell>
          <cell r="M14">
            <v>416</v>
          </cell>
        </row>
        <row r="15">
          <cell r="P15">
            <v>13980</v>
          </cell>
          <cell r="Q15">
            <v>15853</v>
          </cell>
          <cell r="R15">
            <v>16951</v>
          </cell>
          <cell r="S15">
            <v>19488</v>
          </cell>
          <cell r="T15">
            <v>20967</v>
          </cell>
        </row>
        <row r="17">
          <cell r="I17">
            <v>22007</v>
          </cell>
          <cell r="J17">
            <v>26628</v>
          </cell>
          <cell r="K17">
            <v>30110</v>
          </cell>
          <cell r="L17">
            <v>33322</v>
          </cell>
          <cell r="M17">
            <v>37608</v>
          </cell>
        </row>
        <row r="18">
          <cell r="AD18">
            <v>1520.4999999999995</v>
          </cell>
          <cell r="AE18">
            <v>1938.2000000000007</v>
          </cell>
          <cell r="AF18">
            <v>3950.0000000000018</v>
          </cell>
          <cell r="AG18">
            <v>4410.3</v>
          </cell>
          <cell r="AH18">
            <v>4584.5999999999967</v>
          </cell>
        </row>
        <row r="20">
          <cell r="P20">
            <v>11057</v>
          </cell>
          <cell r="Q20">
            <v>11169</v>
          </cell>
          <cell r="R20">
            <v>13523</v>
          </cell>
          <cell r="S20">
            <v>14845</v>
          </cell>
          <cell r="T20">
            <v>15710</v>
          </cell>
        </row>
        <row r="21">
          <cell r="B21">
            <v>32447</v>
          </cell>
          <cell r="C21">
            <v>32562</v>
          </cell>
          <cell r="D21">
            <v>38449</v>
          </cell>
          <cell r="E21">
            <v>42303</v>
          </cell>
          <cell r="F21">
            <v>46099</v>
          </cell>
        </row>
        <row r="22">
          <cell r="I22">
            <v>16639</v>
          </cell>
          <cell r="J22">
            <v>19423</v>
          </cell>
          <cell r="K22">
            <v>22146</v>
          </cell>
          <cell r="L22">
            <v>24108</v>
          </cell>
          <cell r="M22">
            <v>26750</v>
          </cell>
        </row>
        <row r="23">
          <cell r="W23">
            <v>12251.9</v>
          </cell>
        </row>
        <row r="28">
          <cell r="W28">
            <v>9771.7999999999993</v>
          </cell>
        </row>
      </sheetData>
      <sheetData sheetId="3" refreshError="1"/>
      <sheetData sheetId="4">
        <row r="4">
          <cell r="C4">
            <v>0.29755525680316536</v>
          </cell>
          <cell r="D4">
            <v>0.30260024242128924</v>
          </cell>
          <cell r="E4">
            <v>0.29764698519978722</v>
          </cell>
          <cell r="F4">
            <v>0.27813606081842296</v>
          </cell>
          <cell r="G4">
            <v>0.28526358175621541</v>
          </cell>
          <cell r="K4">
            <v>0.27612869116982963</v>
          </cell>
          <cell r="L4">
            <v>0.29948642407835019</v>
          </cell>
          <cell r="M4">
            <v>0.27775174488864773</v>
          </cell>
          <cell r="N4">
            <v>0.25776230351509538</v>
          </cell>
          <cell r="O4">
            <v>0.26281366955027918</v>
          </cell>
          <cell r="S4">
            <v>0.25333918161752222</v>
          </cell>
          <cell r="T4">
            <v>0.27826052348797409</v>
          </cell>
          <cell r="U4">
            <v>0.34774842091744407</v>
          </cell>
          <cell r="V4">
            <v>0.34291712663617724</v>
          </cell>
          <cell r="W4">
            <v>0.32842338940798632</v>
          </cell>
          <cell r="AA4">
            <v>0.24695853380353702</v>
          </cell>
          <cell r="AB4">
            <v>0.27727265389148081</v>
          </cell>
          <cell r="AC4">
            <v>0.23707540705039856</v>
          </cell>
          <cell r="AD4">
            <v>0.21122894186606778</v>
          </cell>
          <cell r="AE4">
            <v>0.21594513387321584</v>
          </cell>
          <cell r="AI4">
            <v>0.21680179434853744</v>
          </cell>
          <cell r="AJ4">
            <v>0.2424857313780337</v>
          </cell>
          <cell r="AK4">
            <v>0.23035999494421405</v>
          </cell>
          <cell r="AL4">
            <v>0.20084380556308951</v>
          </cell>
          <cell r="AM4">
            <v>0.19960300701072717</v>
          </cell>
        </row>
        <row r="6">
          <cell r="C6">
            <v>0.20673594607165385</v>
          </cell>
          <cell r="D6">
            <v>0.19833472410873632</v>
          </cell>
          <cell r="E6">
            <v>0.20051211448001086</v>
          </cell>
          <cell r="F6">
            <v>0.18763139919630265</v>
          </cell>
          <cell r="G6">
            <v>0.19136712150207769</v>
          </cell>
          <cell r="K6">
            <v>0.18326706391602693</v>
          </cell>
          <cell r="L6">
            <v>0.19331754120550998</v>
          </cell>
          <cell r="M6">
            <v>0.1820603250548746</v>
          </cell>
          <cell r="N6">
            <v>0.16426035825492105</v>
          </cell>
          <cell r="O6">
            <v>0.16412049819007302</v>
          </cell>
          <cell r="S6">
            <v>0.15644631841077594</v>
          </cell>
          <cell r="T6">
            <v>0.14817124132716009</v>
          </cell>
          <cell r="U6">
            <v>0.1578849050215409</v>
          </cell>
          <cell r="V6">
            <v>0.14631958681595963</v>
          </cell>
          <cell r="W6">
            <v>0.1429312274253273</v>
          </cell>
          <cell r="AA6">
            <v>0.16013253975537173</v>
          </cell>
          <cell r="AB6">
            <v>0.17545162488093885</v>
          </cell>
          <cell r="AC6">
            <v>0.15479673398791799</v>
          </cell>
          <cell r="AD6">
            <v>0.12561389626865993</v>
          </cell>
          <cell r="AE6">
            <v>0.12379749176417656</v>
          </cell>
          <cell r="AI6">
            <v>0.13976982332285401</v>
          </cell>
          <cell r="AJ6">
            <v>0.15668806286277878</v>
          </cell>
          <cell r="AK6">
            <v>0.15129056597992246</v>
          </cell>
          <cell r="AL6">
            <v>0.13290841696049183</v>
          </cell>
          <cell r="AM6">
            <v>0.12908184812906487</v>
          </cell>
        </row>
        <row r="8">
          <cell r="C8">
            <v>0.3828599747489646</v>
          </cell>
          <cell r="D8">
            <v>0.37894295838982411</v>
          </cell>
          <cell r="E8">
            <v>0.4345649151756954</v>
          </cell>
          <cell r="F8">
            <v>0.46730221151934254</v>
          </cell>
          <cell r="G8">
            <v>0.50512532529790444</v>
          </cell>
          <cell r="K8">
            <v>0.25270335945568312</v>
          </cell>
          <cell r="L8">
            <v>0.27236268282080406</v>
          </cell>
          <cell r="M8">
            <v>0.29040506694291823</v>
          </cell>
          <cell r="N8">
            <v>0.31819231708363305</v>
          </cell>
          <cell r="O8">
            <v>0.32571108513539843</v>
          </cell>
          <cell r="S8">
            <v>0.21502887925166761</v>
          </cell>
          <cell r="T8">
            <v>0.20033541698429638</v>
          </cell>
          <cell r="U8">
            <v>0.22152873337264925</v>
          </cell>
          <cell r="V8">
            <v>0.2330382091614078</v>
          </cell>
          <cell r="W8">
            <v>0.23505824087858815</v>
          </cell>
          <cell r="AA8">
            <v>0.176039287181224</v>
          </cell>
          <cell r="AB8">
            <v>0.19659913169319818</v>
          </cell>
          <cell r="AC8">
            <v>0.20320102103392951</v>
          </cell>
          <cell r="AD8">
            <v>0.15877073332900307</v>
          </cell>
          <cell r="AE8">
            <v>0.14583401686945294</v>
          </cell>
          <cell r="AI8">
            <v>0.28130839392425661</v>
          </cell>
          <cell r="AJ8">
            <v>0.30493541637167454</v>
          </cell>
          <cell r="AK8">
            <v>0.36574074074074092</v>
          </cell>
          <cell r="AL8">
            <v>0.28552931008251303</v>
          </cell>
          <cell r="AM8">
            <v>0.25034948232929954</v>
          </cell>
        </row>
        <row r="18">
          <cell r="C18">
            <v>9.6449515628502985E-2</v>
          </cell>
          <cell r="D18">
            <v>8.9486614317858287E-2</v>
          </cell>
          <cell r="E18">
            <v>8.7015559958150607E-2</v>
          </cell>
          <cell r="F18">
            <v>8.429270004166392E-2</v>
          </cell>
          <cell r="G18">
            <v>8.7834952200527824E-2</v>
          </cell>
          <cell r="K18">
            <v>7.0363282911123259E-2</v>
          </cell>
          <cell r="L18">
            <v>6.9352191919981251E-2</v>
          </cell>
          <cell r="M18">
            <v>0.11534805112496038</v>
          </cell>
          <cell r="N18">
            <v>0.14409921498779601</v>
          </cell>
          <cell r="O18">
            <v>0.11706853867806152</v>
          </cell>
          <cell r="S18">
            <v>9.1266214192645023E-2</v>
          </cell>
          <cell r="T18">
            <v>6.3712925668253387E-2</v>
          </cell>
          <cell r="U18">
            <v>6.4267974067025765E-2</v>
          </cell>
          <cell r="V18">
            <v>3.4420012844429491E-2</v>
          </cell>
          <cell r="W18">
            <v>3.4084750479705876E-2</v>
          </cell>
          <cell r="AA18">
            <v>0.10603647683627219</v>
          </cell>
          <cell r="AB18">
            <v>0.15137291374512266</v>
          </cell>
          <cell r="AC18">
            <v>0.23175793872079076</v>
          </cell>
          <cell r="AD18">
            <v>0.19310327969246127</v>
          </cell>
          <cell r="AE18">
            <v>0.1894625470422007</v>
          </cell>
          <cell r="AI18">
            <v>5.9203344988991878E-3</v>
          </cell>
          <cell r="AJ18">
            <v>5.6657223796033997E-3</v>
          </cell>
          <cell r="AK18">
            <v>3.6311735197195809E-3</v>
          </cell>
          <cell r="AL18">
            <v>7.5485565569425048E-3</v>
          </cell>
          <cell r="AM18">
            <v>2.0323173411097351E-3</v>
          </cell>
        </row>
        <row r="21">
          <cell r="C21">
            <v>33.450169137362472</v>
          </cell>
          <cell r="D21">
            <v>33.332032369019103</v>
          </cell>
          <cell r="E21">
            <v>28.228501079351872</v>
          </cell>
          <cell r="F21">
            <v>25.656753374465168</v>
          </cell>
          <cell r="G21">
            <v>23.544060348380661</v>
          </cell>
          <cell r="K21">
            <v>31.984273634232832</v>
          </cell>
          <cell r="L21">
            <v>27.399800700200796</v>
          </cell>
          <cell r="M21">
            <v>24.030810484963428</v>
          </cell>
          <cell r="N21">
            <v>22.075092458934794</v>
          </cell>
          <cell r="O21">
            <v>19.894816037383176</v>
          </cell>
          <cell r="S21">
            <v>36.308128787193631</v>
          </cell>
          <cell r="T21">
            <v>35.944039752887456</v>
          </cell>
          <cell r="U21">
            <v>29.687124158840493</v>
          </cell>
          <cell r="V21">
            <v>27.04338026271472</v>
          </cell>
          <cell r="W21">
            <v>25.55435900700191</v>
          </cell>
          <cell r="AA21">
            <v>25.849819672936409</v>
          </cell>
          <cell r="AB21">
            <v>23.242479562016943</v>
          </cell>
          <cell r="AC21">
            <v>20.631464125978091</v>
          </cell>
          <cell r="AD21">
            <v>22.223135343333492</v>
          </cell>
          <cell r="AE21">
            <v>22.73191096912371</v>
          </cell>
          <cell r="AI21">
            <v>108.10539362051959</v>
          </cell>
          <cell r="AJ21">
            <v>84.807682901661295</v>
          </cell>
          <cell r="AK21">
            <v>41.613734430379729</v>
          </cell>
          <cell r="AL21">
            <v>37.270537378409628</v>
          </cell>
          <cell r="AM21">
            <v>35.853564324041379</v>
          </cell>
        </row>
      </sheetData>
      <sheetData sheetId="5">
        <row r="3">
          <cell r="I3">
            <v>0.04</v>
          </cell>
        </row>
        <row r="6">
          <cell r="B6">
            <v>0.12756993999999999</v>
          </cell>
          <cell r="C6">
            <v>0.12767158000000001</v>
          </cell>
          <cell r="D6">
            <v>0.13031422000000001</v>
          </cell>
          <cell r="E6">
            <v>0.12543550000000001</v>
          </cell>
          <cell r="F6">
            <v>0.16096594</v>
          </cell>
        </row>
      </sheetData>
      <sheetData sheetId="6">
        <row r="3">
          <cell r="C3">
            <v>8.7146989272859354E-2</v>
          </cell>
          <cell r="D3">
            <v>266693.46367347147</v>
          </cell>
          <cell r="E3">
            <v>289934.99609136517</v>
          </cell>
          <cell r="F3">
            <v>315201.95808556589</v>
          </cell>
          <cell r="G3">
            <v>342670.85974563297</v>
          </cell>
          <cell r="H3">
            <v>372533.59348400717</v>
          </cell>
          <cell r="I3">
            <v>404998.7745591377</v>
          </cell>
          <cell r="M3">
            <v>0.12222563210004389</v>
          </cell>
          <cell r="N3">
            <v>186951.56805154632</v>
          </cell>
          <cell r="O3">
            <v>209801.84162874095</v>
          </cell>
          <cell r="P3">
            <v>235445.00433756711</v>
          </cell>
          <cell r="Q3">
            <v>264222.41881752381</v>
          </cell>
          <cell r="R3">
            <v>296517.17097249819</v>
          </cell>
          <cell r="S3">
            <v>332759.16962312855</v>
          </cell>
          <cell r="W3">
            <v>9.3472883552583985E-2</v>
          </cell>
          <cell r="X3">
            <v>121821.62701082628</v>
          </cell>
          <cell r="Y3">
            <v>133208.64576659558</v>
          </cell>
          <cell r="Z3">
            <v>145660.04200053398</v>
          </cell>
          <cell r="AA3">
            <v>159275.30614471438</v>
          </cell>
          <cell r="AB3">
            <v>174163.22828878145</v>
          </cell>
          <cell r="AC3">
            <v>190442.76744576081</v>
          </cell>
          <cell r="AG3">
            <v>7.6655363946099619E-2</v>
          </cell>
          <cell r="AH3">
            <v>99473.373395880495</v>
          </cell>
          <cell r="AI3">
            <v>107098.54103648798</v>
          </cell>
          <cell r="AJ3">
            <v>115308.21867773625</v>
          </cell>
          <cell r="AK3">
            <v>124147.21214645456</v>
          </cell>
          <cell r="AL3">
            <v>133663.76187643467</v>
          </cell>
          <cell r="AM3">
            <v>143909.80618947756</v>
          </cell>
          <cell r="AQ3">
            <v>0.26439560261599881</v>
          </cell>
          <cell r="AR3">
            <v>45795.017891588599</v>
          </cell>
          <cell r="AS3">
            <v>57903.019243845614</v>
          </cell>
          <cell r="AT3">
            <v>73212.322910107949</v>
          </cell>
          <cell r="AU3">
            <v>92569.339144843034</v>
          </cell>
          <cell r="AV3">
            <v>117044.26535180857</v>
          </cell>
          <cell r="AW3">
            <v>147990.25442224686</v>
          </cell>
        </row>
        <row r="4">
          <cell r="D4">
            <v>67860.828891682439</v>
          </cell>
          <cell r="E4">
            <v>73358.695306510592</v>
          </cell>
          <cell r="F4">
            <v>79301.981201309172</v>
          </cell>
          <cell r="G4">
            <v>85726.77303183527</v>
          </cell>
          <cell r="H4">
            <v>92672.080862596093</v>
          </cell>
          <cell r="I4">
            <v>100180.07522824041</v>
          </cell>
          <cell r="N4">
            <v>42353.450942206044</v>
          </cell>
          <cell r="O4">
            <v>47175.857529819426</v>
          </cell>
          <cell r="P4">
            <v>52547.348189188633</v>
          </cell>
          <cell r="Q4">
            <v>58530.442185825275</v>
          </cell>
          <cell r="R4">
            <v>65194.777291788814</v>
          </cell>
          <cell r="S4">
            <v>72617.920306012675</v>
          </cell>
          <cell r="X4">
            <v>42535.400111001407</v>
          </cell>
          <cell r="Y4">
            <v>50900.555988267792</v>
          </cell>
          <cell r="Z4">
            <v>60910.831757867476</v>
          </cell>
          <cell r="AA4">
            <v>72889.762270777443</v>
          </cell>
          <cell r="AB4">
            <v>87224.509837763209</v>
          </cell>
          <cell r="AC4">
            <v>104378.37742116295</v>
          </cell>
          <cell r="AH4">
            <v>16652.590493551761</v>
          </cell>
          <cell r="AI4">
            <v>17357.617590286183</v>
          </cell>
          <cell r="AJ4">
            <v>18092.493689031569</v>
          </cell>
          <cell r="AK4">
            <v>18858.482518409382</v>
          </cell>
          <cell r="AL4">
            <v>19656.901310003366</v>
          </cell>
          <cell r="AM4">
            <v>20489.123063534935</v>
          </cell>
          <cell r="AR4">
            <v>7814.6990294473062</v>
          </cell>
          <cell r="AS4">
            <v>9739.3341606348404</v>
          </cell>
          <cell r="AT4">
            <v>12137.976080086777</v>
          </cell>
          <cell r="AU4">
            <v>15127.365063235009</v>
          </cell>
          <cell r="AV4">
            <v>18852.992644449761</v>
          </cell>
          <cell r="AW4">
            <v>23496.182591343269</v>
          </cell>
        </row>
        <row r="7">
          <cell r="D7">
            <v>50895.621668761829</v>
          </cell>
          <cell r="E7">
            <v>55019.02147988294</v>
          </cell>
          <cell r="F7">
            <v>59476.485900981876</v>
          </cell>
          <cell r="G7">
            <v>64295.079773876452</v>
          </cell>
          <cell r="H7">
            <v>69504.060646947066</v>
          </cell>
          <cell r="I7">
            <v>75135.056421180314</v>
          </cell>
          <cell r="N7">
            <v>31765.088206654531</v>
          </cell>
          <cell r="O7">
            <v>35381.893147364572</v>
          </cell>
          <cell r="P7">
            <v>39410.511141891475</v>
          </cell>
          <cell r="Q7">
            <v>43897.83163936896</v>
          </cell>
          <cell r="R7">
            <v>48896.082968841612</v>
          </cell>
          <cell r="S7">
            <v>54463.440229509506</v>
          </cell>
          <cell r="X7">
            <v>31901.550083251055</v>
          </cell>
          <cell r="Y7">
            <v>38175.416991200844</v>
          </cell>
          <cell r="Z7">
            <v>45683.123818400607</v>
          </cell>
          <cell r="AA7">
            <v>54667.321703083086</v>
          </cell>
          <cell r="AB7">
            <v>65418.382378322407</v>
          </cell>
          <cell r="AC7">
            <v>78283.783065872209</v>
          </cell>
          <cell r="AH7">
            <v>12489.442870163821</v>
          </cell>
          <cell r="AI7">
            <v>13018.213192714637</v>
          </cell>
          <cell r="AJ7">
            <v>13569.370266773676</v>
          </cell>
          <cell r="AK7">
            <v>14143.861888807038</v>
          </cell>
          <cell r="AL7">
            <v>14742.675982502526</v>
          </cell>
          <cell r="AM7">
            <v>15366.842297651201</v>
          </cell>
          <cell r="AR7">
            <v>5861.0242720854794</v>
          </cell>
          <cell r="AS7">
            <v>7304.5006204761303</v>
          </cell>
          <cell r="AT7">
            <v>9103.4820600650819</v>
          </cell>
          <cell r="AU7">
            <v>11345.523797426256</v>
          </cell>
          <cell r="AV7">
            <v>14139.744483337321</v>
          </cell>
          <cell r="AW7">
            <v>17622.136943507452</v>
          </cell>
        </row>
        <row r="8">
          <cell r="D8">
            <v>5341.556955404837</v>
          </cell>
          <cell r="E8">
            <v>5723.6169925443919</v>
          </cell>
          <cell r="F8">
            <v>6133.0042440519182</v>
          </cell>
          <cell r="G8">
            <v>6571.6733154148269</v>
          </cell>
          <cell r="H8">
            <v>7041.7186171720032</v>
          </cell>
          <cell r="I8">
            <v>7545.3843646055866</v>
          </cell>
          <cell r="N8">
            <v>5327.470525930099</v>
          </cell>
          <cell r="O8">
            <v>5898.1592278998178</v>
          </cell>
          <cell r="P8">
            <v>6529.9811811884683</v>
          </cell>
          <cell r="Q8">
            <v>7229.485095108017</v>
          </cell>
          <cell r="R8">
            <v>8003.9211890770821</v>
          </cell>
          <cell r="S8">
            <v>8861.3163397081353</v>
          </cell>
          <cell r="X8">
            <v>4342.4301409547897</v>
          </cell>
          <cell r="Y8">
            <v>4518.7394030847436</v>
          </cell>
          <cell r="Z8">
            <v>4702.2070891625317</v>
          </cell>
          <cell r="AA8">
            <v>4893.1238420778018</v>
          </cell>
          <cell r="AB8">
            <v>5091.7921052631564</v>
          </cell>
          <cell r="AC8">
            <v>5298.5266018141328</v>
          </cell>
          <cell r="AH8">
            <v>3758.5455492891751</v>
          </cell>
          <cell r="AI8">
            <v>4146.2430354499329</v>
          </cell>
          <cell r="AJ8">
            <v>4573.9318796517819</v>
          </cell>
          <cell r="AK8">
            <v>5045.7372278527419</v>
          </cell>
          <cell r="AL8">
            <v>5566.2097386717805</v>
          </cell>
          <cell r="AM8">
            <v>6140.3694754174758</v>
          </cell>
          <cell r="AR8">
            <v>1020.1041536576611</v>
          </cell>
          <cell r="AS8">
            <v>1270.744271961916</v>
          </cell>
          <cell r="AT8">
            <v>1582.9667970021139</v>
          </cell>
          <cell r="AU8">
            <v>1971.902557972915</v>
          </cell>
          <cell r="AV8">
            <v>2456.4000366300374</v>
          </cell>
          <cell r="AW8">
            <v>3059.9387964478351</v>
          </cell>
        </row>
        <row r="19">
          <cell r="C19">
            <v>0.10593601098318235</v>
          </cell>
        </row>
        <row r="22">
          <cell r="G22">
            <v>12.313121925749821</v>
          </cell>
        </row>
        <row r="25">
          <cell r="C25">
            <v>9.4506520871989134E-3</v>
          </cell>
        </row>
      </sheetData>
      <sheetData sheetId="7">
        <row r="7">
          <cell r="D7">
            <v>1806.732</v>
          </cell>
          <cell r="I7">
            <v>1.0630660442512296</v>
          </cell>
          <cell r="O7">
            <v>0.7</v>
          </cell>
        </row>
        <row r="13">
          <cell r="D13">
            <v>1466.8436218019262</v>
          </cell>
        </row>
        <row r="19">
          <cell r="D19">
            <v>-1.2119107166643795E-2</v>
          </cell>
        </row>
        <row r="25">
          <cell r="D25">
            <v>0.11180390243982168</v>
          </cell>
        </row>
      </sheetData>
      <sheetData sheetId="8">
        <row r="14">
          <cell r="B14">
            <v>1962.1126835508521</v>
          </cell>
          <cell r="J14">
            <v>654.27158100969655</v>
          </cell>
          <cell r="R14">
            <v>1742.5890797037789</v>
          </cell>
          <cell r="Z14">
            <v>185.59494011179564</v>
          </cell>
          <cell r="AH14">
            <v>2302.8971084996374</v>
          </cell>
        </row>
        <row r="15">
          <cell r="B15">
            <v>2999.8</v>
          </cell>
          <cell r="J15">
            <v>1470.9</v>
          </cell>
          <cell r="R15">
            <v>1482</v>
          </cell>
          <cell r="Z15">
            <v>241.24</v>
          </cell>
          <cell r="AH15">
            <v>5547</v>
          </cell>
        </row>
      </sheetData>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Key Assumptions-WACC"/>
      <sheetName val="Valuation-FCFF"/>
      <sheetName val="NAV"/>
      <sheetName val="Valuation-Summary"/>
      <sheetName val="5b"/>
      <sheetName val="5c"/>
    </sheetNames>
    <sheetDataSet>
      <sheetData sheetId="0"/>
      <sheetData sheetId="1"/>
      <sheetData sheetId="2">
        <row r="6">
          <cell r="B6">
            <v>78994.399999999994</v>
          </cell>
          <cell r="C6">
            <v>73308.3</v>
          </cell>
          <cell r="D6">
            <v>90074.5</v>
          </cell>
          <cell r="E6">
            <v>119712</v>
          </cell>
          <cell r="F6">
            <v>144787.29999999999</v>
          </cell>
          <cell r="G6">
            <v>156650.5</v>
          </cell>
          <cell r="J6">
            <v>76410.62</v>
          </cell>
          <cell r="K6">
            <v>75310.89</v>
          </cell>
          <cell r="L6">
            <v>91105.08</v>
          </cell>
          <cell r="M6">
            <v>122475.04000000001</v>
          </cell>
          <cell r="N6">
            <v>141254.69</v>
          </cell>
          <cell r="O6">
            <v>161391.87</v>
          </cell>
          <cell r="Z6">
            <v>18901.140000000003</v>
          </cell>
          <cell r="AA6">
            <v>19468.04</v>
          </cell>
          <cell r="AB6">
            <v>24388.18</v>
          </cell>
          <cell r="AC6">
            <v>32111.99</v>
          </cell>
          <cell r="AD6">
            <v>39250.559999999998</v>
          </cell>
          <cell r="AH6">
            <v>14532.89</v>
          </cell>
          <cell r="AI6">
            <v>15367.34</v>
          </cell>
          <cell r="AJ6">
            <v>12851.289999999999</v>
          </cell>
          <cell r="AK6">
            <v>15202.9</v>
          </cell>
          <cell r="AL6">
            <v>16859.68</v>
          </cell>
          <cell r="AM6">
            <v>17350.649999999998</v>
          </cell>
        </row>
        <row r="8">
          <cell r="R8">
            <v>264041.12</v>
          </cell>
          <cell r="S8">
            <v>252437.94</v>
          </cell>
          <cell r="T8">
            <v>281507.25</v>
          </cell>
          <cell r="U8">
            <v>350600.15</v>
          </cell>
          <cell r="V8">
            <v>439708</v>
          </cell>
          <cell r="W8">
            <v>445939</v>
          </cell>
          <cell r="AP8">
            <v>60953.5</v>
          </cell>
          <cell r="AQ8">
            <v>57599.200000000004</v>
          </cell>
          <cell r="AR8">
            <v>64031.7</v>
          </cell>
          <cell r="AS8">
            <v>78957.7</v>
          </cell>
          <cell r="AT8">
            <v>98879.3</v>
          </cell>
        </row>
      </sheetData>
      <sheetData sheetId="3"/>
      <sheetData sheetId="4">
        <row r="5">
          <cell r="C5">
            <v>2.2596607069885625E-3</v>
          </cell>
          <cell r="D5">
            <v>9.363702510066553E-3</v>
          </cell>
          <cell r="E5">
            <v>6.9017864404022876E-3</v>
          </cell>
          <cell r="F5">
            <v>1.9675909068105055E-2</v>
          </cell>
          <cell r="G5">
            <v>3.9413207592103069E-4</v>
          </cell>
          <cell r="H5">
            <v>0</v>
          </cell>
          <cell r="L5">
            <v>1.3116702212813189</v>
          </cell>
          <cell r="M5">
            <v>1.1757261230157092</v>
          </cell>
          <cell r="N5">
            <v>1.3139786777922351</v>
          </cell>
          <cell r="O5">
            <v>1.3232590626621614</v>
          </cell>
          <cell r="P5">
            <v>1.3314941141286976</v>
          </cell>
          <cell r="Q5">
            <v>1.3599962962131587</v>
          </cell>
          <cell r="U5">
            <v>1.5601015712586643</v>
          </cell>
          <cell r="V5">
            <v>2.0199777508742049</v>
          </cell>
          <cell r="W5">
            <v>2.8603412085853015</v>
          </cell>
          <cell r="X5">
            <v>2.3890045743772141</v>
          </cell>
          <cell r="Y5">
            <v>1.0580810793391626</v>
          </cell>
          <cell r="Z5">
            <v>0.50914023168287792</v>
          </cell>
          <cell r="AD5">
            <v>2.4984263288778363</v>
          </cell>
          <cell r="AE5">
            <v>2.218409732092224</v>
          </cell>
          <cell r="AF5">
            <v>3.0273599300219076</v>
          </cell>
          <cell r="AG5">
            <v>3.6593534522872826</v>
          </cell>
          <cell r="AH5">
            <v>3.3665623323317058</v>
          </cell>
          <cell r="AM5">
            <v>1.0343461882086378E-2</v>
          </cell>
          <cell r="AN5">
            <v>1.8070667583066996E-2</v>
          </cell>
          <cell r="AO5">
            <v>1.9694181542646572E-2</v>
          </cell>
          <cell r="AP5">
            <v>2.5076068322368122E-2</v>
          </cell>
          <cell r="AQ5">
            <v>5.4021625392396237E-2</v>
          </cell>
          <cell r="AR5">
            <v>0.112039368112231</v>
          </cell>
          <cell r="AV5">
            <v>0.78707532089114329</v>
          </cell>
          <cell r="AW5">
            <v>0.53221497958863728</v>
          </cell>
          <cell r="AX5">
            <v>0.57058476342076325</v>
          </cell>
          <cell r="AY5">
            <v>0.49906673941313301</v>
          </cell>
          <cell r="AZ5">
            <v>0.61495631833566666</v>
          </cell>
        </row>
        <row r="8">
          <cell r="C8">
            <v>7.5040972772931452E-2</v>
          </cell>
          <cell r="D8">
            <v>6.2369976695276538E-2</v>
          </cell>
          <cell r="E8">
            <v>4.3920624749518314E-2</v>
          </cell>
          <cell r="F8">
            <v>6.9838472484356262E-2</v>
          </cell>
          <cell r="G8">
            <v>9.7891769393009143E-2</v>
          </cell>
          <cell r="H8">
            <v>9.6166356108801712E-2</v>
          </cell>
          <cell r="L8">
            <v>-4.2583149569135051E-3</v>
          </cell>
          <cell r="M8">
            <v>2.0361270894202827E-2</v>
          </cell>
          <cell r="N8">
            <v>8.0436554853761943E-2</v>
          </cell>
          <cell r="O8">
            <v>9.3795794540299349E-2</v>
          </cell>
          <cell r="P8">
            <v>8.8732152968665615E-2</v>
          </cell>
          <cell r="Q8">
            <v>8.8650029370124867E-2</v>
          </cell>
          <cell r="U8">
            <v>-4.0913421313597008E-2</v>
          </cell>
          <cell r="V8">
            <v>-4.2410770411905142E-2</v>
          </cell>
          <cell r="W8">
            <v>-4.1087618034943992E-2</v>
          </cell>
          <cell r="X8">
            <v>7.8450549514328793E-3</v>
          </cell>
          <cell r="Y8">
            <v>7.3761861914789006E-2</v>
          </cell>
          <cell r="Z8">
            <v>6.4440583213719121E-2</v>
          </cell>
          <cell r="AD8">
            <v>3.3137552515185104E-2</v>
          </cell>
          <cell r="AE8">
            <v>3.0599119913577555E-2</v>
          </cell>
          <cell r="AF8">
            <v>3.1074127161592208E-2</v>
          </cell>
          <cell r="AG8">
            <v>4.1554713690721772E-2</v>
          </cell>
          <cell r="AH8">
            <v>4.3080372995196785E-2</v>
          </cell>
          <cell r="AM8">
            <v>5.269017159134011E-2</v>
          </cell>
          <cell r="AN8">
            <v>5.2500867823459474E-2</v>
          </cell>
          <cell r="AO8">
            <v>5.428869000611438E-2</v>
          </cell>
          <cell r="AP8">
            <v>5.4567002870376663E-2</v>
          </cell>
          <cell r="AQ8">
            <v>5.2643662122168866E-2</v>
          </cell>
          <cell r="AR8">
            <v>4.6438505962170355E-2</v>
          </cell>
          <cell r="AV8">
            <v>2.1475389982796394E-2</v>
          </cell>
          <cell r="AW8">
            <v>2.755687754274273E-2</v>
          </cell>
          <cell r="AX8">
            <v>1.8772830478878032E-2</v>
          </cell>
          <cell r="AY8">
            <v>2.144067023925559E-2</v>
          </cell>
          <cell r="AZ8">
            <v>3.0881760370793997E-2</v>
          </cell>
        </row>
        <row r="9">
          <cell r="C9">
            <v>0.14228654507005015</v>
          </cell>
          <cell r="D9">
            <v>0.1201742170181322</v>
          </cell>
          <cell r="E9">
            <v>8.618608895299211E-2</v>
          </cell>
          <cell r="F9">
            <v>0.11342734153658245</v>
          </cell>
          <cell r="G9">
            <v>0.15011212573496818</v>
          </cell>
          <cell r="H9">
            <v>0.15529455219025973</v>
          </cell>
          <cell r="L9">
            <v>0.18864282196011689</v>
          </cell>
          <cell r="M9">
            <v>0.19803580559354364</v>
          </cell>
          <cell r="N9">
            <v>0.17319797357386096</v>
          </cell>
          <cell r="O9">
            <v>0.17722468026541111</v>
          </cell>
          <cell r="P9">
            <v>0.19575128019884394</v>
          </cell>
          <cell r="Q9">
            <v>0.20597978894454941</v>
          </cell>
          <cell r="U9">
            <v>8.1054435990019366E-2</v>
          </cell>
          <cell r="V9">
            <v>0.141435449994224</v>
          </cell>
          <cell r="W9">
            <v>0.10090902970524537</v>
          </cell>
          <cell r="X9">
            <v>0.10660708336537861</v>
          </cell>
          <cell r="Y9">
            <v>0.1472616717531052</v>
          </cell>
          <cell r="Z9">
            <v>0.14280906824534534</v>
          </cell>
          <cell r="AD9">
            <v>0.12334032386331402</v>
          </cell>
          <cell r="AE9">
            <v>0.11765981045084632</v>
          </cell>
          <cell r="AF9">
            <v>0.11445142763528766</v>
          </cell>
          <cell r="AG9">
            <v>0.13152503018860021</v>
          </cell>
          <cell r="AH9">
            <v>0.14431645222321057</v>
          </cell>
          <cell r="AM9">
            <v>0.10420419860120328</v>
          </cell>
          <cell r="AN9">
            <v>0.10792193707348351</v>
          </cell>
          <cell r="AO9">
            <v>0.11431502468485163</v>
          </cell>
          <cell r="AP9">
            <v>0.11362593313773024</v>
          </cell>
          <cell r="AQ9">
            <v>0.11371918331422147</v>
          </cell>
          <cell r="AR9">
            <v>0.1108508311651394</v>
          </cell>
          <cell r="AV9">
            <v>8.0934598354631695E-2</v>
          </cell>
          <cell r="AW9">
            <v>8.0563569224934364E-2</v>
          </cell>
          <cell r="AX9">
            <v>7.8763265312607786E-2</v>
          </cell>
          <cell r="AY9">
            <v>8.3018388174242702E-2</v>
          </cell>
          <cell r="AZ9">
            <v>9.6893619719491175E-2</v>
          </cell>
        </row>
        <row r="11">
          <cell r="C11">
            <v>0.11485630823633167</v>
          </cell>
          <cell r="D11">
            <v>8.3600949322483936E-2</v>
          </cell>
          <cell r="E11">
            <v>7.0111234604715092E-2</v>
          </cell>
          <cell r="F11">
            <v>0.13288278446965829</v>
          </cell>
          <cell r="G11">
            <v>0.15728727584482374</v>
          </cell>
          <cell r="H11">
            <v>0.14838585511240673</v>
          </cell>
          <cell r="L11">
            <v>-6.7350593409084957E-3</v>
          </cell>
          <cell r="M11">
            <v>3.0766748907166984E-2</v>
          </cell>
          <cell r="N11">
            <v>0.1349679825980302</v>
          </cell>
          <cell r="O11">
            <v>0.18359650438872233</v>
          </cell>
          <cell r="P11">
            <v>0.16971708908099339</v>
          </cell>
          <cell r="Q11">
            <v>0.16893817523285565</v>
          </cell>
          <cell r="U11">
            <v>-0.16559139010791443</v>
          </cell>
          <cell r="V11">
            <v>-0.18434074777266765</v>
          </cell>
          <cell r="W11">
            <v>-0.23158360347556756</v>
          </cell>
          <cell r="X11">
            <v>5.1138689314786753E-2</v>
          </cell>
          <cell r="Y11">
            <v>0.34166541345306894</v>
          </cell>
          <cell r="Z11">
            <v>0.22931228310279095</v>
          </cell>
          <cell r="AD11">
            <v>0.17335916337315257</v>
          </cell>
          <cell r="AE11">
            <v>0.14100334321190486</v>
          </cell>
          <cell r="AF11">
            <v>0.14977607406278601</v>
          </cell>
          <cell r="AG11">
            <v>0.22482296504987451</v>
          </cell>
          <cell r="AH11">
            <v>0.22451674918886813</v>
          </cell>
          <cell r="AM11">
            <v>0.11704783045196211</v>
          </cell>
          <cell r="AN11">
            <v>0.10973575150065094</v>
          </cell>
          <cell r="AO11">
            <v>6.5353281971394644E-2</v>
          </cell>
          <cell r="AP11">
            <v>7.3848653209230383E-2</v>
          </cell>
          <cell r="AQ11">
            <v>6.842770220516986E-2</v>
          </cell>
          <cell r="AR11">
            <v>5.7448909583095183E-2</v>
          </cell>
          <cell r="AV11">
            <v>8.7313417735179394E-2</v>
          </cell>
          <cell r="AW11">
            <v>9.4633952206658531E-2</v>
          </cell>
          <cell r="AX11">
            <v>5.2829024440410426E-2</v>
          </cell>
          <cell r="AY11">
            <v>6.8491071465198616E-2</v>
          </cell>
          <cell r="AZ11">
            <v>0.10701919157909712</v>
          </cell>
        </row>
        <row r="19">
          <cell r="C19">
            <v>88.668001113146488</v>
          </cell>
          <cell r="D19">
            <v>114.69810282745891</v>
          </cell>
          <cell r="E19">
            <v>129.76451685010946</v>
          </cell>
          <cell r="F19">
            <v>61.310612972841341</v>
          </cell>
          <cell r="G19">
            <v>38.111137086749515</v>
          </cell>
          <cell r="H19">
            <v>36.074111665902358</v>
          </cell>
          <cell r="L19">
            <v>-1280.6218179127452</v>
          </cell>
          <cell r="M19">
            <v>271.80793548621705</v>
          </cell>
          <cell r="N19">
            <v>56.677104202255478</v>
          </cell>
          <cell r="O19">
            <v>36.140518384137053</v>
          </cell>
          <cell r="P19">
            <v>33.503311666348807</v>
          </cell>
          <cell r="Q19">
            <v>29.210163989349986</v>
          </cell>
          <cell r="U19">
            <v>-23.712446623717675</v>
          </cell>
          <cell r="V19">
            <v>-23.951738069824348</v>
          </cell>
          <cell r="W19">
            <v>-22.18432533982514</v>
          </cell>
          <cell r="X19">
            <v>93.267411075627535</v>
          </cell>
          <cell r="Y19">
            <v>7.8874842339736526</v>
          </cell>
          <cell r="Z19">
            <v>8.9124733038473813</v>
          </cell>
          <cell r="AD19">
            <v>264.65106709679327</v>
          </cell>
          <cell r="AE19">
            <v>278.17175904486004</v>
          </cell>
          <cell r="AF19">
            <v>218.42227944557536</v>
          </cell>
          <cell r="AG19">
            <v>124.41490327169265</v>
          </cell>
          <cell r="AH19">
            <v>98.024958656759821</v>
          </cell>
          <cell r="AM19">
            <v>44.229028958136688</v>
          </cell>
          <cell r="AN19">
            <v>41.991968621591383</v>
          </cell>
          <cell r="AO19">
            <v>48.571603462430453</v>
          </cell>
          <cell r="AP19">
            <v>40.988064708241744</v>
          </cell>
          <cell r="AQ19">
            <v>38.200029451077278</v>
          </cell>
          <cell r="AR19">
            <v>42.128357276702154</v>
          </cell>
          <cell r="AV19">
            <v>82.870087415990994</v>
          </cell>
          <cell r="AW19">
            <v>68.354357181088133</v>
          </cell>
          <cell r="AX19">
            <v>90.795876563689987</v>
          </cell>
          <cell r="AY19">
            <v>64.25211317680882</v>
          </cell>
          <cell r="AZ19">
            <v>35.526337316200653</v>
          </cell>
        </row>
        <row r="21">
          <cell r="C21">
            <v>47.051721255132215</v>
          </cell>
          <cell r="D21">
            <v>59.938097884567632</v>
          </cell>
          <cell r="E21">
            <v>66.570315783942817</v>
          </cell>
          <cell r="F21">
            <v>38.064323100226474</v>
          </cell>
          <cell r="G21">
            <v>24.981343615162089</v>
          </cell>
          <cell r="H21">
            <v>22.469412840128527</v>
          </cell>
          <cell r="L21">
            <v>33.872928604615161</v>
          </cell>
          <cell r="M21">
            <v>32.048168135278651</v>
          </cell>
          <cell r="N21">
            <v>27.405625325649702</v>
          </cell>
          <cell r="O21">
            <v>20.798969263496847</v>
          </cell>
          <cell r="P21">
            <v>18.365050383507782</v>
          </cell>
          <cell r="Q21">
            <v>15.634780378693492</v>
          </cell>
          <cell r="U21">
            <v>16.1379770823016</v>
          </cell>
          <cell r="V21">
            <v>9.7370373042333664</v>
          </cell>
          <cell r="W21">
            <v>12.910162196493644</v>
          </cell>
          <cell r="X21">
            <v>9.5975723924201795</v>
          </cell>
          <cell r="Y21">
            <v>4.9689170249287411</v>
          </cell>
          <cell r="Z21">
            <v>4.5717546728222889</v>
          </cell>
          <cell r="AD21">
            <v>75.133400433570642</v>
          </cell>
          <cell r="AE21">
            <v>76.378919498479064</v>
          </cell>
          <cell r="AF21">
            <v>64.791210762331886</v>
          </cell>
          <cell r="AG21">
            <v>44.354835948237721</v>
          </cell>
          <cell r="AH21">
            <v>33.577092807338346</v>
          </cell>
          <cell r="AM21">
            <v>22.532832871334421</v>
          </cell>
          <cell r="AN21">
            <v>20.614627438865579</v>
          </cell>
          <cell r="AO21">
            <v>23.43527359781125</v>
          </cell>
          <cell r="AP21">
            <v>20.072638871864928</v>
          </cell>
          <cell r="AQ21">
            <v>18.151805940095656</v>
          </cell>
          <cell r="AR21">
            <v>18.642474736109456</v>
          </cell>
          <cell r="AV21">
            <v>23.919403107448879</v>
          </cell>
          <cell r="AW21">
            <v>24.589098121267575</v>
          </cell>
          <cell r="AX21">
            <v>23.759113191180315</v>
          </cell>
          <cell r="AY21">
            <v>18.178801800547586</v>
          </cell>
          <cell r="AZ21">
            <v>12.718857528867852</v>
          </cell>
        </row>
      </sheetData>
      <sheetData sheetId="5">
        <row r="3">
          <cell r="K3">
            <v>0.04</v>
          </cell>
        </row>
        <row r="6">
          <cell r="B6">
            <v>8.916454E-2</v>
          </cell>
          <cell r="C6">
            <v>0.13348684</v>
          </cell>
          <cell r="D6">
            <v>0.16261396</v>
          </cell>
          <cell r="E6">
            <v>8.3008059999999995E-2</v>
          </cell>
          <cell r="F6">
            <v>0.14492859999999999</v>
          </cell>
          <cell r="G6">
            <v>0.20342968</v>
          </cell>
        </row>
      </sheetData>
      <sheetData sheetId="6">
        <row r="3">
          <cell r="C3">
            <v>0.11465660707090342</v>
          </cell>
          <cell r="D3">
            <v>161753.61646641558</v>
          </cell>
          <cell r="E3">
            <v>180299.73731190301</v>
          </cell>
          <cell r="F3">
            <v>200972.29344786098</v>
          </cell>
          <cell r="G3">
            <v>224015.09472985068</v>
          </cell>
          <cell r="H3">
            <v>249699.90542424237</v>
          </cell>
          <cell r="L3">
            <v>0.13215954648574657</v>
          </cell>
          <cell r="M3">
            <v>179730.04496472565</v>
          </cell>
          <cell r="N3">
            <v>203483.08619712663</v>
          </cell>
          <cell r="O3">
            <v>230375.31858645895</v>
          </cell>
          <cell r="P3">
            <v>260821.61621235474</v>
          </cell>
          <cell r="Q3">
            <v>295291.68272465898</v>
          </cell>
          <cell r="U3">
            <v>9.1308178782413929E-2</v>
          </cell>
          <cell r="V3">
            <v>476706.32996391284</v>
          </cell>
          <cell r="W3">
            <v>520233.5167669662</v>
          </cell>
          <cell r="X3">
            <v>567735.09172452823</v>
          </cell>
          <cell r="Y3">
            <v>619573.94898076158</v>
          </cell>
          <cell r="Z3">
            <v>676146.11788322311</v>
          </cell>
          <cell r="AD3">
            <v>0.15737898160503239</v>
          </cell>
          <cell r="AE3">
            <v>45305.299316393772</v>
          </cell>
          <cell r="AF3">
            <v>52435.401184118993</v>
          </cell>
          <cell r="AG3">
            <v>60687.63122252695</v>
          </cell>
          <cell r="AH3">
            <v>70238.588820350007</v>
          </cell>
          <cell r="AI3">
            <v>81292.666398271307</v>
          </cell>
          <cell r="AJ3">
            <v>94086.423447988884</v>
          </cell>
          <cell r="AN3">
            <v>2.9589351569835332E-2</v>
          </cell>
          <cell r="AO3">
            <v>17747.906803958085</v>
          </cell>
          <cell r="AP3">
            <v>18273.055858009073</v>
          </cell>
          <cell r="AQ3">
            <v>18813.743732046943</v>
          </cell>
          <cell r="AR3">
            <v>19370.430209679267</v>
          </cell>
          <cell r="AS3">
            <v>19943.588679212426</v>
          </cell>
          <cell r="AW3">
            <v>0.10158312518386103</v>
          </cell>
          <cell r="AX3">
            <v>107712.13703060281</v>
          </cell>
          <cell r="AY3">
            <v>118653.87253040374</v>
          </cell>
          <cell r="AZ3">
            <v>130707.10371720963</v>
          </cell>
          <cell r="BA3">
            <v>143984.73979653485</v>
          </cell>
          <cell r="BB3">
            <v>158611.15964385192</v>
          </cell>
          <cell r="BC3">
            <v>174723.3769295107</v>
          </cell>
        </row>
        <row r="4">
          <cell r="D4">
            <v>22832.645272063917</v>
          </cell>
          <cell r="E4">
            <v>26905.533570387706</v>
          </cell>
          <cell r="F4">
            <v>31704.943867935082</v>
          </cell>
          <cell r="G4">
            <v>37360.473191850899</v>
          </cell>
          <cell r="H4">
            <v>44024.836092854981</v>
          </cell>
          <cell r="M4">
            <v>30921.005751523382</v>
          </cell>
          <cell r="N4">
            <v>35909.386296632023</v>
          </cell>
          <cell r="O4">
            <v>41702.525285330179</v>
          </cell>
          <cell r="P4">
            <v>48430.251656423185</v>
          </cell>
          <cell r="Q4">
            <v>56243.339209233942</v>
          </cell>
          <cell r="V4">
            <v>40839.28830757011</v>
          </cell>
          <cell r="W4">
            <v>42627.59979217995</v>
          </cell>
          <cell r="X4">
            <v>44494.219643524833</v>
          </cell>
          <cell r="Y4">
            <v>46442.576906462709</v>
          </cell>
          <cell r="Z4">
            <v>48476.250780287482</v>
          </cell>
          <cell r="AE4">
            <v>5676.7404794120557</v>
          </cell>
          <cell r="AF4">
            <v>6894.4424651100244</v>
          </cell>
          <cell r="AG4">
            <v>8373.3503543278857</v>
          </cell>
          <cell r="AH4">
            <v>10169.49470695221</v>
          </cell>
          <cell r="AI4">
            <v>12350.925044152202</v>
          </cell>
          <cell r="AJ4">
            <v>15000.288002704887</v>
          </cell>
          <cell r="AO4">
            <v>1372.9551573313295</v>
          </cell>
          <cell r="AP4">
            <v>1418.9085834614477</v>
          </cell>
          <cell r="AQ4">
            <v>1466.4000914158848</v>
          </cell>
          <cell r="AR4">
            <v>1515.4811614845239</v>
          </cell>
          <cell r="AS4">
            <v>1566.204997025686</v>
          </cell>
          <cell r="AX4">
            <v>6869.5154200789293</v>
          </cell>
          <cell r="AY4">
            <v>8332.0518577435359</v>
          </cell>
          <cell r="AZ4">
            <v>10105.965838174048</v>
          </cell>
          <cell r="BA4">
            <v>12257.55039287521</v>
          </cell>
          <cell r="BB4">
            <v>14867.212500000101</v>
          </cell>
          <cell r="BC4">
            <v>18032.477977707265</v>
          </cell>
        </row>
        <row r="6">
          <cell r="D6">
            <v>17124.483954047937</v>
          </cell>
          <cell r="E6">
            <v>20179.15017779078</v>
          </cell>
          <cell r="F6">
            <v>23778.707900951311</v>
          </cell>
          <cell r="G6">
            <v>28020.354893888172</v>
          </cell>
          <cell r="H6">
            <v>33018.627069641239</v>
          </cell>
          <cell r="M6">
            <v>23190.754313642537</v>
          </cell>
          <cell r="N6">
            <v>26932.039722474015</v>
          </cell>
          <cell r="O6">
            <v>31276.893963997634</v>
          </cell>
          <cell r="P6">
            <v>36322.68874231739</v>
          </cell>
          <cell r="Q6">
            <v>42182.504406925458</v>
          </cell>
          <cell r="V6">
            <v>30629.466230677583</v>
          </cell>
          <cell r="W6">
            <v>31970.699844134964</v>
          </cell>
          <cell r="X6">
            <v>33370.664732643621</v>
          </cell>
          <cell r="Y6">
            <v>34831.932679847028</v>
          </cell>
          <cell r="Z6">
            <v>36357.18808521561</v>
          </cell>
          <cell r="AE6">
            <v>4257.5553595590418</v>
          </cell>
          <cell r="AF6">
            <v>5170.8318488325185</v>
          </cell>
          <cell r="AG6">
            <v>6280.0127657459143</v>
          </cell>
          <cell r="AH6">
            <v>7627.1210302141571</v>
          </cell>
          <cell r="AI6">
            <v>9263.1937831141513</v>
          </cell>
          <cell r="AJ6">
            <v>11250.216002028665</v>
          </cell>
          <cell r="AO6">
            <v>1029.7163679984972</v>
          </cell>
          <cell r="AP6">
            <v>1064.1814375960857</v>
          </cell>
          <cell r="AQ6">
            <v>1099.8000685619136</v>
          </cell>
          <cell r="AR6">
            <v>1136.6108711133929</v>
          </cell>
          <cell r="AS6">
            <v>1174.6537477692646</v>
          </cell>
          <cell r="AX6">
            <v>5152.136565059197</v>
          </cell>
          <cell r="AY6">
            <v>6249.038893307652</v>
          </cell>
          <cell r="AZ6">
            <v>7579.4743786305362</v>
          </cell>
          <cell r="BA6">
            <v>9193.1627946564076</v>
          </cell>
          <cell r="BB6">
            <v>11150.409375000076</v>
          </cell>
          <cell r="BC6">
            <v>13524.358483280448</v>
          </cell>
        </row>
        <row r="7">
          <cell r="D7">
            <v>3101.6518146549711</v>
          </cell>
          <cell r="E7">
            <v>3045.0555437446505</v>
          </cell>
          <cell r="F7">
            <v>2989.4919928404315</v>
          </cell>
          <cell r="G7">
            <v>2934.9423177571075</v>
          </cell>
          <cell r="H7">
            <v>2881.3880181619343</v>
          </cell>
          <cell r="M7">
            <v>6701.2797576822204</v>
          </cell>
          <cell r="N7">
            <v>7393.7665803464943</v>
          </cell>
          <cell r="O7">
            <v>8157.8125703495034</v>
          </cell>
          <cell r="P7">
            <v>9000.8124018750987</v>
          </cell>
          <cell r="Q7">
            <v>9930.9248888857092</v>
          </cell>
          <cell r="V7">
            <v>23640.470358203282</v>
          </cell>
          <cell r="W7">
            <v>24031.296816180256</v>
          </cell>
          <cell r="X7">
            <v>24428.584453564425</v>
          </cell>
          <cell r="Y7">
            <v>24832.440087175582</v>
          </cell>
          <cell r="Z7">
            <v>25242.972299739136</v>
          </cell>
          <cell r="AE7">
            <v>1091.075285671162</v>
          </cell>
          <cell r="AF7">
            <v>1220.8192622471158</v>
          </cell>
          <cell r="AG7">
            <v>1365.9915962231614</v>
          </cell>
          <cell r="AH7">
            <v>1528.426933170884</v>
          </cell>
          <cell r="AI7">
            <v>1710.1780834532367</v>
          </cell>
          <cell r="AJ7">
            <v>1913.5419650425595</v>
          </cell>
          <cell r="AO7">
            <v>615.5303111190251</v>
          </cell>
          <cell r="AP7">
            <v>650.61229506179177</v>
          </cell>
          <cell r="AQ7">
            <v>687.69376721030255</v>
          </cell>
          <cell r="AR7">
            <v>726.8886878551566</v>
          </cell>
          <cell r="AS7">
            <v>768.31751242295638</v>
          </cell>
          <cell r="AX7">
            <v>4075.9856917494199</v>
          </cell>
          <cell r="AY7">
            <v>4359.9683399412143</v>
          </cell>
          <cell r="AZ7">
            <v>4663.7366671252748</v>
          </cell>
          <cell r="BA7">
            <v>4988.6691839101813</v>
          </cell>
          <cell r="BB7">
            <v>5336.2404446894507</v>
          </cell>
          <cell r="BC7">
            <v>5708.0277392176249</v>
          </cell>
        </row>
        <row r="22">
          <cell r="B22">
            <v>7688.4347828197406</v>
          </cell>
          <cell r="K22">
            <v>817.08589210080697</v>
          </cell>
          <cell r="T22">
            <v>691.28731874278731</v>
          </cell>
          <cell r="AC22">
            <v>5018.6171944595453</v>
          </cell>
          <cell r="AV22">
            <v>200.50159278025291</v>
          </cell>
        </row>
        <row r="23">
          <cell r="B23">
            <v>16012</v>
          </cell>
          <cell r="K23">
            <v>3426.5</v>
          </cell>
          <cell r="T23">
            <v>681.3</v>
          </cell>
          <cell r="AC23">
            <v>3483</v>
          </cell>
          <cell r="AM23">
            <v>396.75</v>
          </cell>
          <cell r="AV23">
            <v>101.64</v>
          </cell>
        </row>
      </sheetData>
      <sheetData sheetId="7"/>
      <sheetData sheetId="8">
        <row r="8">
          <cell r="F8">
            <v>154.65494117647057</v>
          </cell>
        </row>
      </sheetData>
      <sheetData sheetId="9">
        <row r="8">
          <cell r="C8">
            <v>9.1680897524922852E-2</v>
          </cell>
        </row>
        <row r="9">
          <cell r="H9">
            <v>63.562236795303598</v>
          </cell>
        </row>
        <row r="15">
          <cell r="C15">
            <v>7.5826979644863388E-2</v>
          </cell>
        </row>
      </sheetData>
      <sheetData sheetId="10">
        <row r="8">
          <cell r="D8">
            <v>4886.1617777777783</v>
          </cell>
          <cell r="J8">
            <v>0.36798832590336278</v>
          </cell>
        </row>
        <row r="15">
          <cell r="D15">
            <v>13506.664255412521</v>
          </cell>
        </row>
        <row r="22">
          <cell r="D22">
            <v>8.6338679478722313E-2</v>
          </cell>
        </row>
        <row r="29">
          <cell r="D29">
            <v>0.12298559710009734</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
      <sheetName val="Key Assumptions"/>
      <sheetName val="FCFF Projections (5y )"/>
      <sheetName val="Weighted Avg Cost of Capital"/>
      <sheetName val="Intrinsic Value calculation"/>
      <sheetName val="Calc"/>
    </sheetNames>
    <sheetDataSet>
      <sheetData sheetId="0"/>
      <sheetData sheetId="1"/>
      <sheetData sheetId="2">
        <row r="5">
          <cell r="P5">
            <v>29698.98</v>
          </cell>
          <cell r="Q5">
            <v>32907.339999999997</v>
          </cell>
          <cell r="R5">
            <v>43735.63</v>
          </cell>
          <cell r="S5">
            <v>56547.1</v>
          </cell>
          <cell r="T5">
            <v>63272.32</v>
          </cell>
        </row>
        <row r="6">
          <cell r="B6">
            <v>27841.81</v>
          </cell>
          <cell r="C6">
            <v>28149.68</v>
          </cell>
          <cell r="D6">
            <v>31686.47</v>
          </cell>
          <cell r="E6">
            <v>43040.520000000004</v>
          </cell>
          <cell r="F6">
            <v>60281.479999999996</v>
          </cell>
          <cell r="I6">
            <v>8202.41</v>
          </cell>
          <cell r="J6">
            <v>8388.6</v>
          </cell>
          <cell r="K6">
            <v>7686.73</v>
          </cell>
          <cell r="L6">
            <v>7882.74</v>
          </cell>
          <cell r="M6">
            <v>8260.23</v>
          </cell>
          <cell r="W6">
            <v>8559.6899999999987</v>
          </cell>
          <cell r="X6">
            <v>7159.65</v>
          </cell>
          <cell r="Y6">
            <v>8735.84</v>
          </cell>
          <cell r="Z6">
            <v>10867.05</v>
          </cell>
          <cell r="AA6">
            <v>11942.34</v>
          </cell>
          <cell r="AD6">
            <v>112372.57999999999</v>
          </cell>
          <cell r="AE6">
            <v>115546.82999999999</v>
          </cell>
          <cell r="AF6">
            <v>134994.31</v>
          </cell>
          <cell r="AG6">
            <v>177977.16999999998</v>
          </cell>
          <cell r="AH6">
            <v>181165.86000000002</v>
          </cell>
        </row>
        <row r="10">
          <cell r="I10">
            <v>3053.97</v>
          </cell>
          <cell r="J10">
            <v>2538.59</v>
          </cell>
          <cell r="K10">
            <v>2349.08</v>
          </cell>
          <cell r="L10">
            <v>2526.61</v>
          </cell>
          <cell r="M10">
            <v>2451.29</v>
          </cell>
        </row>
        <row r="11">
          <cell r="I11">
            <v>836.3</v>
          </cell>
          <cell r="J11">
            <v>1083.21</v>
          </cell>
          <cell r="K11">
            <v>1077.28</v>
          </cell>
          <cell r="L11">
            <v>1032.73</v>
          </cell>
          <cell r="M11">
            <v>1061.75</v>
          </cell>
          <cell r="AD11">
            <v>8116.85</v>
          </cell>
          <cell r="AE11">
            <v>9224.14</v>
          </cell>
          <cell r="AF11">
            <v>9315.98</v>
          </cell>
          <cell r="AG11">
            <v>11156.06</v>
          </cell>
          <cell r="AH11">
            <v>12048.21</v>
          </cell>
        </row>
        <row r="12">
          <cell r="B12">
            <v>5314.82</v>
          </cell>
          <cell r="C12">
            <v>5106.33</v>
          </cell>
          <cell r="D12">
            <v>4094.78</v>
          </cell>
          <cell r="E12">
            <v>3333.5</v>
          </cell>
          <cell r="F12">
            <v>3388.09</v>
          </cell>
          <cell r="W12">
            <v>1051.07</v>
          </cell>
          <cell r="X12">
            <v>895.65</v>
          </cell>
          <cell r="Y12">
            <v>776.91</v>
          </cell>
          <cell r="Z12">
            <v>844.3</v>
          </cell>
          <cell r="AA12">
            <v>2053.4</v>
          </cell>
          <cell r="AD12">
            <v>10356.16</v>
          </cell>
          <cell r="AE12">
            <v>12450.31</v>
          </cell>
          <cell r="AF12">
            <v>13787.83</v>
          </cell>
          <cell r="AG12">
            <v>14792.27</v>
          </cell>
          <cell r="AH12">
            <v>16203.63</v>
          </cell>
        </row>
        <row r="13">
          <cell r="B13">
            <v>3006.5</v>
          </cell>
          <cell r="C13">
            <v>3201.65</v>
          </cell>
          <cell r="D13">
            <v>3117.54</v>
          </cell>
          <cell r="E13">
            <v>3303.68</v>
          </cell>
          <cell r="F13">
            <v>3931.33</v>
          </cell>
          <cell r="P13">
            <v>4493.7299999999996</v>
          </cell>
          <cell r="Q13">
            <v>4010.39</v>
          </cell>
          <cell r="R13">
            <v>3859.02</v>
          </cell>
          <cell r="S13">
            <v>4371.6499999999996</v>
          </cell>
          <cell r="T13">
            <v>4633.22</v>
          </cell>
          <cell r="W13">
            <v>1168.05</v>
          </cell>
          <cell r="X13">
            <v>1166.94</v>
          </cell>
          <cell r="Y13">
            <v>1131.05</v>
          </cell>
          <cell r="Z13">
            <v>1169.23</v>
          </cell>
          <cell r="AA13">
            <v>1633.41</v>
          </cell>
        </row>
        <row r="14">
          <cell r="I14">
            <v>-227.5</v>
          </cell>
          <cell r="J14">
            <v>407.75</v>
          </cell>
          <cell r="K14">
            <v>-521.39999999999964</v>
          </cell>
          <cell r="L14">
            <v>-1334.3099999999995</v>
          </cell>
          <cell r="M14">
            <v>-1988.1000000000004</v>
          </cell>
          <cell r="P14">
            <v>2633.56</v>
          </cell>
          <cell r="Q14">
            <v>2744.94</v>
          </cell>
          <cell r="R14">
            <v>3122.2</v>
          </cell>
          <cell r="S14">
            <v>3439.2</v>
          </cell>
          <cell r="T14">
            <v>3786.37</v>
          </cell>
        </row>
        <row r="15">
          <cell r="AD15">
            <v>15972.039999999979</v>
          </cell>
          <cell r="AE15">
            <v>16315.059999999998</v>
          </cell>
          <cell r="AF15">
            <v>19500.78</v>
          </cell>
          <cell r="AG15">
            <v>23550.819999999978</v>
          </cell>
          <cell r="AH15">
            <v>25505.850000000006</v>
          </cell>
        </row>
        <row r="16">
          <cell r="B16">
            <v>-1261.9299999999967</v>
          </cell>
          <cell r="C16">
            <v>2288.7400000000016</v>
          </cell>
          <cell r="D16">
            <v>6577.1300000000047</v>
          </cell>
          <cell r="E16">
            <v>7674.7000000000044</v>
          </cell>
          <cell r="F16">
            <v>20791.509999999995</v>
          </cell>
        </row>
        <row r="17">
          <cell r="P17">
            <v>1378.1399999999994</v>
          </cell>
          <cell r="Q17">
            <v>611.59000000000015</v>
          </cell>
          <cell r="R17">
            <v>1449.9099999999962</v>
          </cell>
          <cell r="S17">
            <v>1333.489999999998</v>
          </cell>
          <cell r="T17">
            <v>4187.6600000000035</v>
          </cell>
          <cell r="W17">
            <v>1052.7599999999984</v>
          </cell>
          <cell r="X17">
            <v>1098.5899999999997</v>
          </cell>
          <cell r="Y17">
            <v>2238.2699999999995</v>
          </cell>
          <cell r="Z17">
            <v>1822.8399999999992</v>
          </cell>
          <cell r="AA17">
            <v>2167.91</v>
          </cell>
        </row>
        <row r="24">
          <cell r="W24">
            <v>1081.1799999999985</v>
          </cell>
          <cell r="X24">
            <v>822.67999999999972</v>
          </cell>
          <cell r="Y24">
            <v>1743.4799999999993</v>
          </cell>
          <cell r="Z24">
            <v>1480.1199999999994</v>
          </cell>
          <cell r="AA24">
            <v>1725.6499999999999</v>
          </cell>
        </row>
        <row r="27">
          <cell r="AD27">
            <v>11908.909999999978</v>
          </cell>
          <cell r="AE27">
            <v>14969.399999999996</v>
          </cell>
          <cell r="AF27">
            <v>16960.29</v>
          </cell>
          <cell r="AG27">
            <v>17121.34999999998</v>
          </cell>
          <cell r="AH27">
            <v>21332.250000000007</v>
          </cell>
        </row>
        <row r="37">
          <cell r="B37">
            <v>-2264.4499999999962</v>
          </cell>
          <cell r="C37">
            <v>1239.5800000000015</v>
          </cell>
          <cell r="D37">
            <v>4955.2100000000046</v>
          </cell>
          <cell r="E37">
            <v>10760.380000000003</v>
          </cell>
          <cell r="F37">
            <v>20801.299999999992</v>
          </cell>
        </row>
        <row r="38">
          <cell r="I38">
            <v>-4050.2699999999995</v>
          </cell>
          <cell r="J38">
            <v>229.73000000000005</v>
          </cell>
          <cell r="K38">
            <v>-604.92999999999961</v>
          </cell>
          <cell r="L38">
            <v>-506.69999999999965</v>
          </cell>
          <cell r="M38">
            <v>-2065.2200000000003</v>
          </cell>
        </row>
        <row r="44">
          <cell r="P44">
            <v>1316.4399999999994</v>
          </cell>
          <cell r="Q44">
            <v>1438.6499999999999</v>
          </cell>
          <cell r="R44">
            <v>2155.609999999996</v>
          </cell>
          <cell r="S44">
            <v>3809.6699999999983</v>
          </cell>
          <cell r="T44">
            <v>4280.1000000000031</v>
          </cell>
        </row>
      </sheetData>
      <sheetData sheetId="3"/>
      <sheetData sheetId="4">
        <row r="5">
          <cell r="B5">
            <v>-4.5324998626166783E-2</v>
          </cell>
          <cell r="C5">
            <v>8.1306075237800271E-2</v>
          </cell>
          <cell r="D5">
            <v>0.20756903498559492</v>
          </cell>
          <cell r="E5">
            <v>0.17831336610245424</v>
          </cell>
          <cell r="F5">
            <v>0.34490709252659352</v>
          </cell>
          <cell r="I5">
            <v>-2.7735750834206045E-2</v>
          </cell>
          <cell r="J5">
            <v>4.8607634170183343E-2</v>
          </cell>
          <cell r="K5">
            <v>-6.7831184391802454E-2</v>
          </cell>
          <cell r="L5">
            <v>-0.16926982242215263</v>
          </cell>
          <cell r="M5">
            <v>-0.24068337080202373</v>
          </cell>
          <cell r="P5">
            <v>4.6403613861486136E-2</v>
          </cell>
          <cell r="Q5">
            <v>1.8585215334937441E-2</v>
          </cell>
          <cell r="R5">
            <v>3.3151688909019858E-2</v>
          </cell>
          <cell r="S5">
            <v>2.3581934352071069E-2</v>
          </cell>
          <cell r="T5">
            <v>6.6184707625704317E-2</v>
          </cell>
          <cell r="W5">
            <v>0.12299043540128189</v>
          </cell>
          <cell r="X5">
            <v>0.153441858191392</v>
          </cell>
          <cell r="Y5">
            <v>0.25621691789226902</v>
          </cell>
          <cell r="Z5">
            <v>0.16774009505799636</v>
          </cell>
          <cell r="AA5">
            <v>0.18153142516458248</v>
          </cell>
          <cell r="AD5">
            <v>0.14574231542961799</v>
          </cell>
          <cell r="AE5">
            <v>0.1471172337657381</v>
          </cell>
          <cell r="AF5">
            <v>0.15201314781341524</v>
          </cell>
          <cell r="AG5">
            <v>0.13670624159267158</v>
          </cell>
          <cell r="AH5">
            <v>0.14981547847922341</v>
          </cell>
        </row>
        <row r="6">
          <cell r="B6">
            <v>-8.1703380635095066E-2</v>
          </cell>
          <cell r="C6">
            <v>4.5115255306632317E-2</v>
          </cell>
          <cell r="D6">
            <v>0.15500559071427031</v>
          </cell>
          <cell r="E6">
            <v>0.24922189601798497</v>
          </cell>
          <cell r="F6">
            <v>0.34552552458897817</v>
          </cell>
          <cell r="I6">
            <v>-0.496999052717433</v>
          </cell>
          <cell r="J6">
            <v>2.7254845862241618E-2</v>
          </cell>
          <cell r="K6">
            <v>-7.8825456338390928E-2</v>
          </cell>
          <cell r="L6">
            <v>-5.9721619639871375E-2</v>
          </cell>
          <cell r="M6">
            <v>-0.25040222850937566</v>
          </cell>
          <cell r="P6">
            <v>4.4326101435133443E-2</v>
          </cell>
          <cell r="Q6">
            <v>4.371820997990114E-2</v>
          </cell>
          <cell r="R6">
            <v>4.9287274471637797E-2</v>
          </cell>
          <cell r="S6">
            <v>6.7371624716386844E-2</v>
          </cell>
          <cell r="T6">
            <v>6.7645694041249052E-2</v>
          </cell>
          <cell r="W6">
            <v>0.1263106491006098</v>
          </cell>
          <cell r="X6">
            <v>0.1149050582081526</v>
          </cell>
          <cell r="Y6">
            <v>0.19957783109580754</v>
          </cell>
          <cell r="Z6">
            <v>0.13620255727175265</v>
          </cell>
          <cell r="AA6">
            <v>0.14449848187206191</v>
          </cell>
          <cell r="AD6">
            <v>0.10597700969400169</v>
          </cell>
          <cell r="AE6">
            <v>0.12955266708744842</v>
          </cell>
          <cell r="AF6">
            <v>0.12563707314774972</v>
          </cell>
          <cell r="AG6">
            <v>9.6199697972498277E-2</v>
          </cell>
          <cell r="AH6">
            <v>0.11774983432308939</v>
          </cell>
        </row>
        <row r="8">
          <cell r="B8">
            <v>-0.35102037667137254</v>
          </cell>
          <cell r="C8">
            <v>9.6851882921770036E-2</v>
          </cell>
          <cell r="D8">
            <v>0.26260302917538192</v>
          </cell>
          <cell r="E8">
            <v>0.35904277930596362</v>
          </cell>
          <cell r="F8">
            <v>0.48276220922780666</v>
          </cell>
          <cell r="I8">
            <v>-0.62905971035961994</v>
          </cell>
          <cell r="J8">
            <v>1.7435901346796217E-2</v>
          </cell>
          <cell r="K8">
            <v>-3.2395644865329566E-2</v>
          </cell>
          <cell r="L8">
            <v>-1.5757643513147481E-2</v>
          </cell>
          <cell r="M8">
            <v>-4.7940168311390675E-2</v>
          </cell>
          <cell r="P8">
            <v>6.0116740935041699E-2</v>
          </cell>
          <cell r="Q8">
            <v>5.6977230494313559E-2</v>
          </cell>
          <cell r="R8">
            <v>8.2817423696983833E-2</v>
          </cell>
          <cell r="S8">
            <v>0.11138044188828708</v>
          </cell>
          <cell r="T8">
            <v>0.11165642347265806</v>
          </cell>
          <cell r="W8">
            <v>9.3030499630865376E-2</v>
          </cell>
          <cell r="X8">
            <v>5.6743282651459323E-2</v>
          </cell>
          <cell r="Y8">
            <v>0.10010242889689125</v>
          </cell>
          <cell r="Z8">
            <v>7.9006393661211718E-2</v>
          </cell>
          <cell r="AA8">
            <v>8.2118125613869442E-2</v>
          </cell>
          <cell r="AD8">
            <v>9.7489078545650532E-2</v>
          </cell>
          <cell r="AE8">
            <v>0.11580649498561757</v>
          </cell>
          <cell r="AF8">
            <v>0.12189882929532396</v>
          </cell>
          <cell r="AG8">
            <v>0.11342126144440907</v>
          </cell>
          <cell r="AH8">
            <v>0.12919062164112563</v>
          </cell>
        </row>
        <row r="13">
          <cell r="B13">
            <v>8.0809434530009465</v>
          </cell>
          <cell r="C13">
            <v>3.9970158473529285</v>
          </cell>
          <cell r="D13">
            <v>2.6089147237085801</v>
          </cell>
          <cell r="E13">
            <v>1.414263316693255</v>
          </cell>
          <cell r="F13">
            <v>0.79862871807019264</v>
          </cell>
          <cell r="I13">
            <v>1.8313804771866771</v>
          </cell>
          <cell r="J13">
            <v>1.4930529866764153</v>
          </cell>
          <cell r="K13">
            <v>1.6411449790898958</v>
          </cell>
          <cell r="L13">
            <v>1.5982405530765482</v>
          </cell>
          <cell r="M13">
            <v>1.6158133471558982</v>
          </cell>
          <cell r="P13">
            <v>2.0339472994411376</v>
          </cell>
          <cell r="Q13">
            <v>1.5240360624105924</v>
          </cell>
          <cell r="R13">
            <v>1.8283832389622743</v>
          </cell>
          <cell r="S13">
            <v>1.4318283879251972</v>
          </cell>
          <cell r="T13">
            <v>1.2907966212720863</v>
          </cell>
          <cell r="W13">
            <v>0.71251908055392554</v>
          </cell>
          <cell r="X13">
            <v>0.50091321177408632</v>
          </cell>
          <cell r="Y13">
            <v>0.51056786029249646</v>
          </cell>
          <cell r="Z13">
            <v>1.3247027625441841</v>
          </cell>
          <cell r="AA13">
            <v>1.4907324747409374</v>
          </cell>
          <cell r="AD13">
            <v>1.576473511201014</v>
          </cell>
          <cell r="AE13">
            <v>1.5258641777509863</v>
          </cell>
          <cell r="AF13">
            <v>1.50613821265304</v>
          </cell>
          <cell r="AG13">
            <v>1.456110691482589</v>
          </cell>
          <cell r="AH13">
            <v>1.4234317743190075</v>
          </cell>
        </row>
        <row r="20">
          <cell r="B20">
            <v>-6.1038434654932248</v>
          </cell>
          <cell r="C20">
            <v>25.829489047071576</v>
          </cell>
          <cell r="D20">
            <v>14.535285793980741</v>
          </cell>
          <cell r="E20">
            <v>6.8892219744486605</v>
          </cell>
          <cell r="F20">
            <v>9.8844590588315508</v>
          </cell>
          <cell r="I20">
            <v>-0.43116244213914079</v>
          </cell>
          <cell r="J20">
            <v>7.8687376984647663</v>
          </cell>
          <cell r="K20">
            <v>-9.2145615685497901</v>
          </cell>
          <cell r="L20">
            <v>-8.7410444590776866</v>
          </cell>
          <cell r="M20">
            <v>-5.6485522486196924</v>
          </cell>
          <cell r="P20">
            <v>10.886117483516154</v>
          </cell>
          <cell r="Q20">
            <v>22.932243770201229</v>
          </cell>
          <cell r="R20">
            <v>35.375524561493101</v>
          </cell>
          <cell r="S20">
            <v>15.956915559615405</v>
          </cell>
          <cell r="T20">
            <v>29.428921286885796</v>
          </cell>
          <cell r="W20">
            <v>7.6107752640633493</v>
          </cell>
          <cell r="X20">
            <v>18.636142850196922</v>
          </cell>
          <cell r="Y20">
            <v>30.249813017642886</v>
          </cell>
          <cell r="Z20">
            <v>28.398469043050579</v>
          </cell>
          <cell r="AA20">
            <v>53.48919421667199</v>
          </cell>
          <cell r="AD20">
            <v>7.8003300050130679</v>
          </cell>
          <cell r="AE20">
            <v>6.9018980720670182</v>
          </cell>
          <cell r="AF20">
            <v>7.7182701475033735</v>
          </cell>
          <cell r="AG20">
            <v>9.916710189325034</v>
          </cell>
          <cell r="AH20">
            <v>15.263829553844525</v>
          </cell>
        </row>
        <row r="23">
          <cell r="B23">
            <v>-51.755556964332541</v>
          </cell>
          <cell r="C23">
            <v>37.182539082639337</v>
          </cell>
          <cell r="D23">
            <v>18.154503408021419</v>
          </cell>
          <cell r="E23">
            <v>15.0886710881207</v>
          </cell>
          <cell r="F23">
            <v>11.504788829671345</v>
          </cell>
          <cell r="I23">
            <v>-113.61152747252748</v>
          </cell>
          <cell r="J23">
            <v>54.640440220723484</v>
          </cell>
          <cell r="K23">
            <v>-54.722602608362138</v>
          </cell>
          <cell r="L23">
            <v>-18.820515097690947</v>
          </cell>
          <cell r="M23">
            <v>-15.071189829485432</v>
          </cell>
          <cell r="P23">
            <v>41.366566894510008</v>
          </cell>
          <cell r="Q23">
            <v>110.67905377785769</v>
          </cell>
          <cell r="R23">
            <v>83.293855825534209</v>
          </cell>
          <cell r="S23">
            <v>79.172136648943876</v>
          </cell>
          <cell r="T23">
            <v>41.10032715167894</v>
          </cell>
          <cell r="W23">
            <v>15.537888977544762</v>
          </cell>
          <cell r="X23">
            <v>20.232408814935514</v>
          </cell>
          <cell r="Y23">
            <v>27.274338663342679</v>
          </cell>
          <cell r="Z23">
            <v>34.796291501174004</v>
          </cell>
          <cell r="AA23">
            <v>55.601246361703204</v>
          </cell>
          <cell r="AD23">
            <v>17.836178597098449</v>
          </cell>
          <cell r="AE23">
            <v>18.363633538583372</v>
          </cell>
          <cell r="AF23">
            <v>17.424102523078563</v>
          </cell>
          <cell r="AG23">
            <v>16.522864002187621</v>
          </cell>
          <cell r="AH23">
            <v>21.94746648317934</v>
          </cell>
        </row>
      </sheetData>
      <sheetData sheetId="5">
        <row r="13">
          <cell r="B13">
            <v>0.22390001476810395</v>
          </cell>
          <cell r="J13">
            <v>3.1044707639760021E-3</v>
          </cell>
          <cell r="R13">
            <v>0.2122360889452444</v>
          </cell>
          <cell r="Z13">
            <v>9.8361290982430793E-2</v>
          </cell>
          <cell r="AH13">
            <v>0.13321925516505906</v>
          </cell>
        </row>
      </sheetData>
      <sheetData sheetId="6">
        <row r="3">
          <cell r="D3">
            <v>73778.504262243165</v>
          </cell>
          <cell r="E3">
            <v>90297.512456128039</v>
          </cell>
          <cell r="F3">
            <v>110515.12682857817</v>
          </cell>
          <cell r="G3">
            <v>135259.46535759571</v>
          </cell>
          <cell r="H3">
            <v>165544.06164868723</v>
          </cell>
          <cell r="I3">
            <v>202609.37949660025</v>
          </cell>
          <cell r="N3">
            <v>8285.8736425387178</v>
          </cell>
          <cell r="O3">
            <v>8311.5968950159786</v>
          </cell>
          <cell r="P3">
            <v>8337.4000045785087</v>
          </cell>
          <cell r="Q3">
            <v>8363.2832191402958</v>
          </cell>
          <cell r="R3">
            <v>8389.2467873849673</v>
          </cell>
          <cell r="S3">
            <v>8415.2909587681843</v>
          </cell>
          <cell r="X3">
            <v>76700.989735291965</v>
          </cell>
          <cell r="Y3">
            <v>92979.707814939669</v>
          </cell>
          <cell r="Z3">
            <v>112713.35735285404</v>
          </cell>
          <cell r="AA3">
            <v>136635.19948931149</v>
          </cell>
          <cell r="AB3">
            <v>165634.1198411762</v>
          </cell>
          <cell r="AC3">
            <v>200787.65763215534</v>
          </cell>
          <cell r="AH3">
            <v>13117.003979751122</v>
          </cell>
          <cell r="AI3">
            <v>14407.209425021123</v>
          </cell>
          <cell r="AJ3">
            <v>15824.321143520445</v>
          </cell>
          <cell r="AK3">
            <v>17380.82180011769</v>
          </cell>
          <cell r="AL3">
            <v>19090.421870712842</v>
          </cell>
          <cell r="AM3">
            <v>20968.180411315388</v>
          </cell>
          <cell r="AR3">
            <v>205300.6409305374</v>
          </cell>
          <cell r="AS3">
            <v>232650.63940021282</v>
          </cell>
          <cell r="AT3">
            <v>263644.18429478392</v>
          </cell>
          <cell r="AU3">
            <v>298766.66615513462</v>
          </cell>
          <cell r="AV3">
            <v>338568.13888846949</v>
          </cell>
          <cell r="AW3">
            <v>383671.93417381163</v>
          </cell>
        </row>
        <row r="4">
          <cell r="D4">
            <v>23979.973595713058</v>
          </cell>
          <cell r="E4">
            <v>27657.401201312248</v>
          </cell>
          <cell r="F4">
            <v>31898.777459333665</v>
          </cell>
          <cell r="G4">
            <v>36790.586215736534</v>
          </cell>
          <cell r="H4">
            <v>42432.573970056386</v>
          </cell>
          <cell r="I4">
            <v>48939.78375789414</v>
          </cell>
          <cell r="N4">
            <v>-1842.8125849452031</v>
          </cell>
          <cell r="O4">
            <v>-1674.4117660096249</v>
          </cell>
          <cell r="P4">
            <v>-1521.3998347177769</v>
          </cell>
          <cell r="Q4">
            <v>-1382.3705160621605</v>
          </cell>
          <cell r="R4">
            <v>-1256.0460439595415</v>
          </cell>
          <cell r="S4">
            <v>-1141.2654177843249</v>
          </cell>
          <cell r="X4">
            <v>5947.4375199480446</v>
          </cell>
          <cell r="Y4">
            <v>6170.9507387772082</v>
          </cell>
          <cell r="Z4">
            <v>6402.8639044446209</v>
          </cell>
          <cell r="AA4">
            <v>6643.4926989813275</v>
          </cell>
          <cell r="AB4">
            <v>6893.1646682011624</v>
          </cell>
          <cell r="AC4">
            <v>7152.2196675586947</v>
          </cell>
          <cell r="AH4">
            <v>2550.2949546952104</v>
          </cell>
          <cell r="AI4">
            <v>3000.1265531981708</v>
          </cell>
          <cell r="AJ4">
            <v>3529.3013142005098</v>
          </cell>
          <cell r="AK4">
            <v>4151.8141136877157</v>
          </cell>
          <cell r="AL4">
            <v>4884.1283018991326</v>
          </cell>
          <cell r="AM4">
            <v>5745.6111030519924</v>
          </cell>
          <cell r="AR4">
            <v>31111.671000294817</v>
          </cell>
          <cell r="AS4">
            <v>35662.651495428036</v>
          </cell>
          <cell r="AT4">
            <v>40879.344335837945</v>
          </cell>
          <cell r="AU4">
            <v>46859.129180067954</v>
          </cell>
          <cell r="AV4">
            <v>53713.630274380645</v>
          </cell>
          <cell r="AW4">
            <v>61570.800135144054</v>
          </cell>
        </row>
        <row r="6">
          <cell r="D6">
            <v>17618.497096115192</v>
          </cell>
          <cell r="E6">
            <v>20320.366109098839</v>
          </cell>
          <cell r="F6">
            <v>23436.577850834921</v>
          </cell>
          <cell r="G6">
            <v>27030.673483402359</v>
          </cell>
          <cell r="H6">
            <v>31175.9384674961</v>
          </cell>
          <cell r="I6">
            <v>35956.896890708354</v>
          </cell>
          <cell r="N6">
            <v>-2037.2839887150533</v>
          </cell>
          <cell r="O6">
            <v>-1851.1118869469519</v>
          </cell>
          <cell r="P6">
            <v>-1681.9526570556936</v>
          </cell>
          <cell r="Q6">
            <v>-1528.2516202964548</v>
          </cell>
          <cell r="R6">
            <v>-1388.5961683530334</v>
          </cell>
          <cell r="S6">
            <v>-1261.7027805870657</v>
          </cell>
          <cell r="X6">
            <v>4440.9522871744393</v>
          </cell>
          <cell r="Y6">
            <v>4607.8496336440439</v>
          </cell>
          <cell r="Z6">
            <v>4781.0192213937535</v>
          </cell>
          <cell r="AA6">
            <v>4960.6967702328293</v>
          </cell>
          <cell r="AB6">
            <v>5147.1268586585184</v>
          </cell>
          <cell r="AC6">
            <v>5340.5632567782341</v>
          </cell>
          <cell r="AH6">
            <v>2030.0273021342168</v>
          </cell>
          <cell r="AI6">
            <v>2388.0919348711077</v>
          </cell>
          <cell r="AJ6">
            <v>2809.3134921883793</v>
          </cell>
          <cell r="AK6">
            <v>3304.8318543136966</v>
          </cell>
          <cell r="AL6">
            <v>3887.7517997390287</v>
          </cell>
          <cell r="AM6">
            <v>4573.4895821236441</v>
          </cell>
          <cell r="AR6">
            <v>23306.428827337681</v>
          </cell>
          <cell r="AS6">
            <v>26715.667212618217</v>
          </cell>
          <cell r="AT6">
            <v>30623.605182197014</v>
          </cell>
          <cell r="AU6">
            <v>35103.191954425303</v>
          </cell>
          <cell r="AV6">
            <v>40238.047677860835</v>
          </cell>
          <cell r="AW6">
            <v>46124.024363023447</v>
          </cell>
        </row>
        <row r="7">
          <cell r="D7">
            <v>6818.3507318432075</v>
          </cell>
          <cell r="E7">
            <v>8344.9795613970145</v>
          </cell>
          <cell r="F7">
            <v>10213.420608433333</v>
          </cell>
          <cell r="G7">
            <v>12500.205633494414</v>
          </cell>
          <cell r="H7">
            <v>15299.001859438149</v>
          </cell>
          <cell r="I7">
            <v>18724.448601703603</v>
          </cell>
          <cell r="N7">
            <v>1045.3189942982569</v>
          </cell>
          <cell r="X7">
            <v>5585.9776942001536</v>
          </cell>
          <cell r="Y7">
            <v>6771.5237529525693</v>
          </cell>
          <cell r="Z7">
            <v>8208.6854704790458</v>
          </cell>
          <cell r="AA7">
            <v>9950.8647701151713</v>
          </cell>
          <cell r="AB7">
            <v>12062.797390547434</v>
          </cell>
          <cell r="AC7">
            <v>14622.95833045612</v>
          </cell>
          <cell r="AH7">
            <v>1766.3067293403076</v>
          </cell>
          <cell r="AI7">
            <v>1940.0429395091751</v>
          </cell>
          <cell r="AJ7">
            <v>2130.8680676006475</v>
          </cell>
          <cell r="AK7">
            <v>2340.4630016430847</v>
          </cell>
          <cell r="AL7">
            <v>2570.6739639813131</v>
          </cell>
          <cell r="AM7">
            <v>2823.5287737734379</v>
          </cell>
          <cell r="AR7">
            <v>19487.172895869269</v>
          </cell>
          <cell r="AS7">
            <v>22083.239554329699</v>
          </cell>
          <cell r="AT7">
            <v>25025.152279389073</v>
          </cell>
          <cell r="AU7">
            <v>28358.984426441464</v>
          </cell>
          <cell r="AV7">
            <v>32136.947208969505</v>
          </cell>
          <cell r="AW7">
            <v>36418.207379427244</v>
          </cell>
        </row>
        <row r="19">
          <cell r="C19">
            <v>0.11021801478270014</v>
          </cell>
          <cell r="G19">
            <v>156.4424941941773</v>
          </cell>
        </row>
        <row r="31">
          <cell r="C31">
            <v>0.14019600882941585</v>
          </cell>
        </row>
      </sheetData>
      <sheetData sheetId="7">
        <row r="3">
          <cell r="B3">
            <v>0.12125</v>
          </cell>
          <cell r="C3">
            <v>0.17083499999999999</v>
          </cell>
          <cell r="D3">
            <v>0.14640500000000001</v>
          </cell>
          <cell r="E3">
            <v>0.12520500000000001</v>
          </cell>
          <cell r="F3">
            <v>0.12196499999999999</v>
          </cell>
        </row>
        <row r="8">
          <cell r="B8">
            <v>3.5000000000000003E-2</v>
          </cell>
        </row>
      </sheetData>
      <sheetData sheetId="8">
        <row r="11">
          <cell r="B11">
            <v>658.47441965458052</v>
          </cell>
          <cell r="C11">
            <v>43.025318069056212</v>
          </cell>
          <cell r="D11">
            <v>99.742313378535641</v>
          </cell>
          <cell r="E11">
            <v>202.34279469649596</v>
          </cell>
          <cell r="F11">
            <v>563.92105884673606</v>
          </cell>
        </row>
        <row r="12">
          <cell r="B12">
            <v>170.25</v>
          </cell>
          <cell r="C12">
            <v>44.18</v>
          </cell>
          <cell r="D12">
            <v>399.9</v>
          </cell>
          <cell r="E12">
            <v>525.29999999999995</v>
          </cell>
          <cell r="F12">
            <v>341.95</v>
          </cell>
        </row>
      </sheetData>
      <sheetData sheetId="9">
        <row r="7">
          <cell r="D7">
            <v>7467.7503999999999</v>
          </cell>
          <cell r="J7">
            <v>0.31583668986129132</v>
          </cell>
          <cell r="P7">
            <v>0.18836444254685528</v>
          </cell>
        </row>
        <row r="13">
          <cell r="D13">
            <v>16661.377035813202</v>
          </cell>
        </row>
        <row r="19">
          <cell r="D19">
            <v>0.11021801478270014</v>
          </cell>
        </row>
        <row r="25">
          <cell r="D25">
            <v>7.829750260738004E-2</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Ratio Analysis"/>
      <sheetName val="WACC"/>
      <sheetName val="DCF"/>
      <sheetName val="Relative Valuation Model"/>
      <sheetName val="Summary"/>
      <sheetName val="Senstivity Analysis"/>
      <sheetName val="Calc"/>
    </sheetNames>
    <sheetDataSet>
      <sheetData sheetId="0"/>
      <sheetData sheetId="1"/>
      <sheetData sheetId="2">
        <row r="6">
          <cell r="B6">
            <v>56559.6</v>
          </cell>
          <cell r="C6">
            <v>66713.8</v>
          </cell>
          <cell r="D6">
            <v>71399</v>
          </cell>
          <cell r="E6">
            <v>87353.900000000009</v>
          </cell>
          <cell r="F6">
            <v>151417.79999999999</v>
          </cell>
          <cell r="G6">
            <v>174558.90000000002</v>
          </cell>
          <cell r="J6">
            <v>6871.7</v>
          </cell>
          <cell r="K6">
            <v>14151.199999999999</v>
          </cell>
          <cell r="L6">
            <v>28069.7</v>
          </cell>
          <cell r="M6">
            <v>28743.1</v>
          </cell>
          <cell r="N6">
            <v>28961.699999999997</v>
          </cell>
          <cell r="O6">
            <v>30468.6</v>
          </cell>
          <cell r="Z6">
            <v>17137.670000000002</v>
          </cell>
          <cell r="AA6">
            <v>17256.859999999997</v>
          </cell>
          <cell r="AB6">
            <v>17056.82</v>
          </cell>
          <cell r="AC6">
            <v>18201.41</v>
          </cell>
          <cell r="AD6">
            <v>21048.799999999999</v>
          </cell>
          <cell r="AE6">
            <v>23238.89</v>
          </cell>
          <cell r="AP6">
            <v>54403</v>
          </cell>
          <cell r="AQ6">
            <v>70436</v>
          </cell>
          <cell r="AR6">
            <v>77585</v>
          </cell>
          <cell r="AS6">
            <v>91741</v>
          </cell>
          <cell r="AT6">
            <v>100577</v>
          </cell>
          <cell r="AU6">
            <v>115088</v>
          </cell>
        </row>
        <row r="7">
          <cell r="R7">
            <v>1165.79</v>
          </cell>
          <cell r="S7">
            <v>1411.2899999999997</v>
          </cell>
          <cell r="T7">
            <v>1577.73</v>
          </cell>
          <cell r="U7">
            <v>2002.2</v>
          </cell>
          <cell r="V7">
            <v>2622.1700000000005</v>
          </cell>
          <cell r="W7">
            <v>3551.0400000000004</v>
          </cell>
        </row>
        <row r="8">
          <cell r="AH8">
            <v>45996.80000000001</v>
          </cell>
          <cell r="AI8">
            <v>42126.399999999994</v>
          </cell>
          <cell r="AJ8">
            <v>38644.9</v>
          </cell>
          <cell r="AK8">
            <v>42488.5</v>
          </cell>
          <cell r="AL8">
            <v>42764.9</v>
          </cell>
          <cell r="AM8">
            <v>44591.899999999994</v>
          </cell>
        </row>
        <row r="29">
          <cell r="AP29">
            <v>38.75</v>
          </cell>
          <cell r="AQ29">
            <v>42.29</v>
          </cell>
          <cell r="AR29">
            <v>40.927999999999997</v>
          </cell>
          <cell r="AS29">
            <v>43.856000000000002</v>
          </cell>
          <cell r="AT29">
            <v>48.18</v>
          </cell>
          <cell r="AU29">
            <v>47.658000000000001</v>
          </cell>
        </row>
        <row r="32">
          <cell r="B32">
            <v>42.328699999999998</v>
          </cell>
          <cell r="C32">
            <v>47.136200000000002</v>
          </cell>
          <cell r="D32">
            <v>48.972900000000003</v>
          </cell>
          <cell r="E32">
            <v>51.8446</v>
          </cell>
          <cell r="F32">
            <v>56.197000000000003</v>
          </cell>
          <cell r="G32">
            <v>59.051400000000001</v>
          </cell>
          <cell r="J32">
            <v>9.5371999999999992E-3</v>
          </cell>
          <cell r="K32">
            <v>1.7922500000000001E-2</v>
          </cell>
          <cell r="L32">
            <v>1.8844699999999999E-2</v>
          </cell>
          <cell r="M32">
            <v>1.92874E-2</v>
          </cell>
          <cell r="N32">
            <v>2.1973599999999999E-2</v>
          </cell>
          <cell r="O32">
            <v>2.5999999999999999E-2</v>
          </cell>
          <cell r="R32">
            <v>0.03</v>
          </cell>
          <cell r="S32">
            <v>0.04</v>
          </cell>
          <cell r="T32">
            <v>4.7199999999999999E-2</v>
          </cell>
          <cell r="U32">
            <v>5.16E-2</v>
          </cell>
          <cell r="V32">
            <v>5.6800000000000003E-2</v>
          </cell>
          <cell r="W32">
            <v>5.7500000000000002E-2</v>
          </cell>
        </row>
        <row r="38">
          <cell r="AH38">
            <v>29.37</v>
          </cell>
          <cell r="AI38">
            <v>24.72</v>
          </cell>
          <cell r="AJ38">
            <v>24.38</v>
          </cell>
          <cell r="AK38">
            <v>22.3</v>
          </cell>
          <cell r="AL38">
            <v>21.26</v>
          </cell>
          <cell r="AM38">
            <v>19.82</v>
          </cell>
        </row>
      </sheetData>
      <sheetData sheetId="3"/>
      <sheetData sheetId="4">
        <row r="4">
          <cell r="C4">
            <v>0.39561984172448178</v>
          </cell>
          <cell r="D4">
            <v>0.45525813250032227</v>
          </cell>
          <cell r="E4">
            <v>0.49446770963178754</v>
          </cell>
          <cell r="F4">
            <v>0.53154467058711752</v>
          </cell>
          <cell r="G4">
            <v>0.52653783108723007</v>
          </cell>
          <cell r="H4">
            <v>0.54269876815218254</v>
          </cell>
          <cell r="L4">
            <v>0.54517804909993162</v>
          </cell>
          <cell r="M4">
            <v>0.52693764486403971</v>
          </cell>
          <cell r="N4">
            <v>0.54490785437678346</v>
          </cell>
          <cell r="O4">
            <v>0.35237326523583051</v>
          </cell>
          <cell r="P4">
            <v>0.51982445781842912</v>
          </cell>
          <cell r="Q4">
            <v>0.69548650085661967</v>
          </cell>
          <cell r="U4">
            <v>0.32315425591229985</v>
          </cell>
          <cell r="V4">
            <v>0.25895457347533091</v>
          </cell>
          <cell r="W4">
            <v>0.252875967370843</v>
          </cell>
          <cell r="X4">
            <v>0.2118569573469184</v>
          </cell>
          <cell r="Y4">
            <v>0.19947600651368924</v>
          </cell>
          <cell r="Z4">
            <v>0.17255226637830051</v>
          </cell>
          <cell r="AD4">
            <v>0.19597938342843577</v>
          </cell>
          <cell r="AE4">
            <v>0.25597588437293906</v>
          </cell>
          <cell r="AF4">
            <v>0.26727197683976261</v>
          </cell>
          <cell r="AG4">
            <v>0.25719875548103138</v>
          </cell>
          <cell r="AH4">
            <v>0.2176523127209152</v>
          </cell>
          <cell r="AI4">
            <v>0.20221835036010763</v>
          </cell>
          <cell r="AM4">
            <v>0.3468023862529569</v>
          </cell>
          <cell r="AN4">
            <v>0.40639361540506647</v>
          </cell>
          <cell r="AO4">
            <v>0.41830875484216556</v>
          </cell>
          <cell r="AP4">
            <v>0.40312790519787706</v>
          </cell>
          <cell r="AQ4">
            <v>0.40311563922749721</v>
          </cell>
          <cell r="AR4">
            <v>0.42938739995380321</v>
          </cell>
          <cell r="AV4">
            <v>0.3980295204308586</v>
          </cell>
          <cell r="AW4">
            <v>0.44666079845533535</v>
          </cell>
          <cell r="AX4">
            <v>0.49055874202487593</v>
          </cell>
          <cell r="AY4">
            <v>0.51520040112926613</v>
          </cell>
          <cell r="AZ4">
            <v>0.52574644302375295</v>
          </cell>
          <cell r="BA4">
            <v>0.53205373279577362</v>
          </cell>
        </row>
        <row r="6">
          <cell r="C6">
            <v>-0.63805613901088409</v>
          </cell>
          <cell r="D6">
            <v>-0.37769696824345184</v>
          </cell>
          <cell r="E6">
            <v>-5.4114203280157973E-2</v>
          </cell>
          <cell r="F6">
            <v>-1.0257126470597803E-3</v>
          </cell>
          <cell r="G6">
            <v>5.6519114661552225E-2</v>
          </cell>
          <cell r="H6">
            <v>0.21472007442760016</v>
          </cell>
          <cell r="L6">
            <v>0.48004132892879492</v>
          </cell>
          <cell r="M6">
            <v>0.26704449092656435</v>
          </cell>
          <cell r="N6">
            <v>0.22704553308371661</v>
          </cell>
          <cell r="O6">
            <v>7.0973555392424628E-2</v>
          </cell>
          <cell r="P6">
            <v>0.20842008583750263</v>
          </cell>
          <cell r="Q6">
            <v>0.32596509193070905</v>
          </cell>
          <cell r="U6">
            <v>0.12100807177965152</v>
          </cell>
          <cell r="V6">
            <v>0.10093602307109072</v>
          </cell>
          <cell r="W6">
            <v>6.892180537861356E-2</v>
          </cell>
          <cell r="X6">
            <v>9.4431125761662127E-2</v>
          </cell>
          <cell r="Y6">
            <v>9.3895514020830198E-2</v>
          </cell>
          <cell r="Z6">
            <v>8.4428787059565746E-2</v>
          </cell>
          <cell r="AD6">
            <v>-4.9499144282739776E-3</v>
          </cell>
          <cell r="AE6">
            <v>7.2523043010141869E-2</v>
          </cell>
          <cell r="AF6">
            <v>8.704260231391317E-2</v>
          </cell>
          <cell r="AG6">
            <v>9.8941235871286934E-2</v>
          </cell>
          <cell r="AH6">
            <v>5.3433449887879639E-2</v>
          </cell>
          <cell r="AI6">
            <v>6.995557877334066E-2</v>
          </cell>
          <cell r="AM6">
            <v>-1.6061573848615551</v>
          </cell>
          <cell r="AN6">
            <v>-1.0500090204717234</v>
          </cell>
          <cell r="AO6">
            <v>-0.73089592675877002</v>
          </cell>
          <cell r="AP6">
            <v>-0.68962425126799021</v>
          </cell>
          <cell r="AQ6">
            <v>-0.7304682110796471</v>
          </cell>
          <cell r="AR6">
            <v>-0.61408910586900345</v>
          </cell>
          <cell r="AV6">
            <v>0.1022370089884749</v>
          </cell>
          <cell r="AW6">
            <v>0.1705803850303822</v>
          </cell>
          <cell r="AX6">
            <v>0.19145453373719146</v>
          </cell>
          <cell r="AY6">
            <v>0.19946370761164584</v>
          </cell>
          <cell r="AZ6">
            <v>0.20348588643526849</v>
          </cell>
          <cell r="BA6">
            <v>0.21544383428333103</v>
          </cell>
        </row>
        <row r="9">
          <cell r="C9">
            <v>0.81202651701876771</v>
          </cell>
          <cell r="D9">
            <v>1.2203668299291235</v>
          </cell>
          <cell r="E9">
            <v>1.4374673603088</v>
          </cell>
          <cell r="F9">
            <v>1.7804145662802207</v>
          </cell>
          <cell r="G9">
            <v>1.4390951831071039</v>
          </cell>
          <cell r="H9">
            <v>0.96640726354796469</v>
          </cell>
          <cell r="L9">
            <v>0.17858118635682269</v>
          </cell>
          <cell r="M9">
            <v>0.43901870630471745</v>
          </cell>
          <cell r="N9">
            <v>0.24770546940249658</v>
          </cell>
          <cell r="O9">
            <v>0.22324545820602101</v>
          </cell>
          <cell r="P9">
            <v>0.15946713611550808</v>
          </cell>
          <cell r="Q9">
            <v>6.9615949141955111E-2</v>
          </cell>
          <cell r="U9">
            <v>3.1066287892619015E-2</v>
          </cell>
          <cell r="V9">
            <v>2.1361532254639656E-2</v>
          </cell>
          <cell r="W9">
            <v>2.0639152163803208E-2</v>
          </cell>
          <cell r="X9">
            <v>2.5344476250545828E-2</v>
          </cell>
          <cell r="Y9">
            <v>2.4966616317506182E-2</v>
          </cell>
          <cell r="Z9">
            <v>2.2274232104099779E-2</v>
          </cell>
          <cell r="AD9">
            <v>-8.4632187247273514</v>
          </cell>
          <cell r="AE9">
            <v>78.230731741279669</v>
          </cell>
          <cell r="AF9">
            <v>9.5405614592921104</v>
          </cell>
          <cell r="AG9">
            <v>5.538318481208834</v>
          </cell>
          <cell r="AH9">
            <v>6.291219348712505</v>
          </cell>
          <cell r="AI9">
            <v>4.0860370071554222</v>
          </cell>
          <cell r="AM9">
            <v>16.106055285205432</v>
          </cell>
          <cell r="AN9">
            <v>-4.1178063199748882</v>
          </cell>
          <cell r="AO9">
            <v>-3.4497182271224949</v>
          </cell>
          <cell r="AP9">
            <v>-3.197537355885157</v>
          </cell>
          <cell r="AQ9">
            <v>-2.3405634040788428</v>
          </cell>
          <cell r="AR9">
            <v>-3.3166671880910461</v>
          </cell>
          <cell r="AV9">
            <v>0.1359531107419453</v>
          </cell>
          <cell r="AW9">
            <v>6.0877834434588711E-2</v>
          </cell>
          <cell r="AX9">
            <v>0.26492132324359252</v>
          </cell>
          <cell r="AY9">
            <v>0.22809545582604759</v>
          </cell>
          <cell r="AZ9">
            <v>0.27648718740613193</v>
          </cell>
          <cell r="BA9">
            <v>0.31766375771395339</v>
          </cell>
        </row>
        <row r="12">
          <cell r="C12">
            <v>5.2678681763415607E-2</v>
          </cell>
          <cell r="D12">
            <v>8.9939929532441107E-2</v>
          </cell>
          <cell r="E12">
            <v>0.11321485019232534</v>
          </cell>
          <cell r="F12">
            <v>0.12396699674584061</v>
          </cell>
          <cell r="G12">
            <v>0.19547595134033763</v>
          </cell>
          <cell r="H12">
            <v>0.22964169283559377</v>
          </cell>
          <cell r="L12">
            <v>0.23410306637534836</v>
          </cell>
          <cell r="M12">
            <v>0.22204619737941664</v>
          </cell>
          <cell r="N12">
            <v>0.35392570904454951</v>
          </cell>
          <cell r="O12">
            <v>0.22632623094226451</v>
          </cell>
          <cell r="P12">
            <v>0.31244927380876847</v>
          </cell>
          <cell r="Q12">
            <v>0.36797206622283335</v>
          </cell>
          <cell r="U12">
            <v>0.15898655567667558</v>
          </cell>
          <cell r="V12">
            <v>0.12655966995371276</v>
          </cell>
          <cell r="W12">
            <v>0.1411787929724653</v>
          </cell>
          <cell r="X12">
            <v>0.14389883396288386</v>
          </cell>
          <cell r="Y12">
            <v>0.18434037418253049</v>
          </cell>
          <cell r="Z12">
            <v>0.19201876032425494</v>
          </cell>
          <cell r="AD12">
            <v>9.2753803155210424E-2</v>
          </cell>
          <cell r="AE12">
            <v>0.15504494782867614</v>
          </cell>
          <cell r="AF12">
            <v>0.20950551156998098</v>
          </cell>
          <cell r="AG12">
            <v>0.22472758547667443</v>
          </cell>
          <cell r="AH12">
            <v>0.2005355032601242</v>
          </cell>
          <cell r="AI12">
            <v>0.14965516310774335</v>
          </cell>
          <cell r="AM12">
            <v>0.23752568605991989</v>
          </cell>
          <cell r="AN12">
            <v>0.23061082858345563</v>
          </cell>
          <cell r="AO12">
            <v>0.23204892734287175</v>
          </cell>
          <cell r="AP12">
            <v>0.21324726088759052</v>
          </cell>
          <cell r="AQ12">
            <v>0.23679125010941166</v>
          </cell>
          <cell r="AR12">
            <v>0.22833860541878687</v>
          </cell>
          <cell r="AV12">
            <v>7.0137983619056987E-2</v>
          </cell>
          <cell r="AW12">
            <v>9.0641133525893244E-2</v>
          </cell>
          <cell r="AX12">
            <v>8.8974120139535734E-2</v>
          </cell>
          <cell r="AY12">
            <v>7.4880775177169526E-2</v>
          </cell>
          <cell r="AZ12">
            <v>7.4534396757644839E-2</v>
          </cell>
          <cell r="BA12">
            <v>8.3920161964702256E-2</v>
          </cell>
        </row>
        <row r="14">
          <cell r="C14">
            <v>1336.1997887957816</v>
          </cell>
          <cell r="D14">
            <v>1415.3410754367133</v>
          </cell>
          <cell r="E14">
            <v>1457.9287728519241</v>
          </cell>
          <cell r="F14">
            <v>1684.9180049609797</v>
          </cell>
          <cell r="G14">
            <v>2694.4107336690568</v>
          </cell>
          <cell r="H14">
            <v>2956.0501529176281</v>
          </cell>
          <cell r="L14">
            <v>720515.4552698906</v>
          </cell>
          <cell r="M14">
            <v>789577.34691030812</v>
          </cell>
          <cell r="N14">
            <v>1489527.5594729553</v>
          </cell>
          <cell r="O14">
            <v>1490252.7038377386</v>
          </cell>
          <cell r="P14">
            <v>1318022.53613427</v>
          </cell>
          <cell r="Q14">
            <v>1171869.2307692308</v>
          </cell>
          <cell r="U14">
            <v>38859.666666666664</v>
          </cell>
          <cell r="V14">
            <v>35282.249999999993</v>
          </cell>
          <cell r="W14">
            <v>33426.483050847455</v>
          </cell>
          <cell r="X14">
            <v>38802.325581395351</v>
          </cell>
          <cell r="Y14">
            <v>46164.964788732403</v>
          </cell>
          <cell r="Z14">
            <v>61757.217391304352</v>
          </cell>
          <cell r="AM14">
            <v>1566.1150834184546</v>
          </cell>
          <cell r="AN14">
            <v>1704.1423948220063</v>
          </cell>
          <cell r="AO14">
            <v>1585.1066447908122</v>
          </cell>
          <cell r="AP14">
            <v>1905.3139013452915</v>
          </cell>
          <cell r="AQ14">
            <v>2011.519285042333</v>
          </cell>
          <cell r="AR14">
            <v>2249.8435923309785</v>
          </cell>
          <cell r="AV14">
            <v>1403.9483870967742</v>
          </cell>
          <cell r="AW14">
            <v>1665.5474107353984</v>
          </cell>
          <cell r="AX14">
            <v>1895.6460125097733</v>
          </cell>
          <cell r="AY14">
            <v>2091.8688434877781</v>
          </cell>
          <cell r="AZ14">
            <v>2087.5259443752593</v>
          </cell>
          <cell r="BA14">
            <v>2414.8726341852366</v>
          </cell>
        </row>
        <row r="19">
          <cell r="AV19">
            <v>3.2534687287957137E-2</v>
          </cell>
          <cell r="AW19">
            <v>6.5665426046465872E-2</v>
          </cell>
          <cell r="AX19">
            <v>7.4986495968983644E-2</v>
          </cell>
          <cell r="AY19">
            <v>8.4514522974889039E-2</v>
          </cell>
          <cell r="AZ19">
            <v>8.658495826440861E-2</v>
          </cell>
          <cell r="BA19">
            <v>9.4862975701764121E-2</v>
          </cell>
        </row>
        <row r="20">
          <cell r="C20">
            <v>-0.35579694999073241</v>
          </cell>
          <cell r="D20">
            <v>-0.32571829664129176</v>
          </cell>
          <cell r="E20">
            <v>-5.1605104814312699E-2</v>
          </cell>
          <cell r="F20">
            <v>-1.1342719771524627E-3</v>
          </cell>
          <cell r="G20">
            <v>8.1069380725797197E-2</v>
          </cell>
          <cell r="H20">
            <v>0.24422924172317703</v>
          </cell>
          <cell r="L20">
            <v>0.2435849154131868</v>
          </cell>
          <cell r="M20">
            <v>0.23801725766832504</v>
          </cell>
          <cell r="N20">
            <v>0.28771811020067267</v>
          </cell>
          <cell r="O20">
            <v>9.6638954025438789E-2</v>
          </cell>
          <cell r="P20">
            <v>0.22324215571696962</v>
          </cell>
          <cell r="Q20">
            <v>0.30560675481486727</v>
          </cell>
          <cell r="U20">
            <v>0.10302118554329484</v>
          </cell>
          <cell r="V20">
            <v>0.10082671536359875</v>
          </cell>
          <cell r="W20">
            <v>7.1225052564010183E-2</v>
          </cell>
          <cell r="X20">
            <v>0.11466571248362518</v>
          </cell>
          <cell r="Y20">
            <v>0.13474420437380988</v>
          </cell>
          <cell r="Z20">
            <v>0.14993348736259909</v>
          </cell>
          <cell r="AD20">
            <v>6.6605946875415642E-2</v>
          </cell>
          <cell r="AE20">
            <v>8.7134999651883067</v>
          </cell>
          <cell r="AF20">
            <v>1.552872144590411</v>
          </cell>
          <cell r="AG20">
            <v>1.1629019759783035</v>
          </cell>
          <cell r="AH20">
            <v>0.62822431994637817</v>
          </cell>
          <cell r="AI20">
            <v>0.53754612668139135</v>
          </cell>
          <cell r="AM20">
            <v>-12.354403919797985</v>
          </cell>
          <cell r="AN20">
            <v>1.1570864287956475</v>
          </cell>
          <cell r="AO20">
            <v>0.45582976141293108</v>
          </cell>
          <cell r="AP20">
            <v>0.39404861005579678</v>
          </cell>
          <cell r="AQ20">
            <v>0.29988825614303216</v>
          </cell>
          <cell r="AR20">
            <v>0.38941015526121953</v>
          </cell>
        </row>
      </sheetData>
      <sheetData sheetId="5">
        <row r="9">
          <cell r="B9">
            <v>0.11286401999999998</v>
          </cell>
          <cell r="C9">
            <v>0.14428530000000001</v>
          </cell>
          <cell r="D9">
            <v>0.16045332000000001</v>
          </cell>
          <cell r="E9">
            <v>0.16403249999999997</v>
          </cell>
          <cell r="F9">
            <v>0.13637916</v>
          </cell>
        </row>
        <row r="10">
          <cell r="H10">
            <v>9.8882296956265464E-2</v>
          </cell>
        </row>
        <row r="21">
          <cell r="B21">
            <v>3.2500000000000001E-2</v>
          </cell>
          <cell r="C21">
            <v>3.5000000000000003E-2</v>
          </cell>
          <cell r="D21">
            <v>3.2500000000000001E-2</v>
          </cell>
          <cell r="E21">
            <v>0.03</v>
          </cell>
          <cell r="F21">
            <v>2.75E-2</v>
          </cell>
          <cell r="H21">
            <v>3.2500000000000001E-2</v>
          </cell>
        </row>
      </sheetData>
      <sheetData sheetId="6">
        <row r="4">
          <cell r="C4">
            <v>0.20662581124630108</v>
          </cell>
          <cell r="D4">
            <v>210627.27432276198</v>
          </cell>
          <cell r="E4">
            <v>254148.30575029989</v>
          </cell>
          <cell r="F4">
            <v>306661.90560282854</v>
          </cell>
          <cell r="G4">
            <v>370026.17062634957</v>
          </cell>
          <cell r="H4">
            <v>446483.12831438129</v>
          </cell>
          <cell r="L4">
            <v>0.28173443253652697</v>
          </cell>
          <cell r="M4">
            <v>39052.653731182421</v>
          </cell>
          <cell r="N4">
            <v>50055.130969182581</v>
          </cell>
          <cell r="O4">
            <v>64157.384888326771</v>
          </cell>
          <cell r="P4">
            <v>82232.729312867072</v>
          </cell>
          <cell r="Q4">
            <v>105400.52064175751</v>
          </cell>
          <cell r="U4">
            <v>0.20398905733888895</v>
          </cell>
          <cell r="V4">
            <v>4275.4133021726884</v>
          </cell>
          <cell r="W4">
            <v>5147.5508314170411</v>
          </cell>
          <cell r="X4">
            <v>6197.5948731218177</v>
          </cell>
          <cell r="Y4">
            <v>7461.8364090582681</v>
          </cell>
          <cell r="Z4">
            <v>8983.9693841590652</v>
          </cell>
          <cell r="AD4">
            <v>5.2068297682679843E-2</v>
          </cell>
          <cell r="AE4">
            <v>24448.899442335052</v>
          </cell>
          <cell r="AF4">
            <v>25721.912016512459</v>
          </cell>
          <cell r="AG4">
            <v>27061.208188355929</v>
          </cell>
          <cell r="AH4">
            <v>28470.239231960219</v>
          </cell>
          <cell r="AI4">
            <v>29952.636123387034</v>
          </cell>
          <cell r="AM4">
            <v>3.6432319720838269E-2</v>
          </cell>
          <cell r="AN4">
            <v>46216.486357759641</v>
          </cell>
          <cell r="AO4">
            <v>47900.260165119304</v>
          </cell>
          <cell r="AP4">
            <v>49645.377758166265</v>
          </cell>
          <cell r="AQ4">
            <v>51454.074033313569</v>
          </cell>
          <cell r="AR4">
            <v>53328.665309434931</v>
          </cell>
          <cell r="AV4">
            <v>0.13301205923457737</v>
          </cell>
          <cell r="AW4">
            <v>130396.09187318904</v>
          </cell>
          <cell r="AX4">
            <v>147740.34456938304</v>
          </cell>
          <cell r="AY4">
            <v>167391.5920325827</v>
          </cell>
          <cell r="AZ4">
            <v>189656.69238739079</v>
          </cell>
          <cell r="BA4">
            <v>214883.31958945643</v>
          </cell>
        </row>
        <row r="5">
          <cell r="D5">
            <v>107026.25709264688</v>
          </cell>
          <cell r="E5">
            <v>129140.64428907022</v>
          </cell>
          <cell r="F5">
            <v>155824.43468016933</v>
          </cell>
          <cell r="G5">
            <v>188021.78490795559</v>
          </cell>
          <cell r="H5">
            <v>226871.93874653944</v>
          </cell>
          <cell r="M5">
            <v>20732.422438876663</v>
          </cell>
          <cell r="N5">
            <v>26573.459709801136</v>
          </cell>
          <cell r="O5">
            <v>34060.118301674222</v>
          </cell>
          <cell r="P5">
            <v>43656.026403523392</v>
          </cell>
          <cell r="Q5">
            <v>55955.432229119695</v>
          </cell>
          <cell r="V5">
            <v>926.04215918122941</v>
          </cell>
          <cell r="W5">
            <v>1114.9446262886777</v>
          </cell>
          <cell r="X5">
            <v>1342.3811295903649</v>
          </cell>
          <cell r="Y5">
            <v>1616.2121908050165</v>
          </cell>
          <cell r="Z5">
            <v>1945.9017920669523</v>
          </cell>
          <cell r="AE5">
            <v>5642.6674051593682</v>
          </cell>
          <cell r="AF5">
            <v>5936.471491335561</v>
          </cell>
          <cell r="AG5">
            <v>6245.5734561311638</v>
          </cell>
          <cell r="AH5">
            <v>6570.7698340440447</v>
          </cell>
          <cell r="AI5">
            <v>6912.8986337674223</v>
          </cell>
          <cell r="AN5">
            <v>18505.782568579358</v>
          </cell>
          <cell r="AO5">
            <v>19179.991155802159</v>
          </cell>
          <cell r="AP5">
            <v>19878.762725833196</v>
          </cell>
          <cell r="AQ5">
            <v>20602.992165115433</v>
          </cell>
          <cell r="AR5">
            <v>21353.606962880844</v>
          </cell>
          <cell r="AW5">
            <v>64593.420157044049</v>
          </cell>
          <cell r="AX5">
            <v>73185.123985136728</v>
          </cell>
          <cell r="AY5">
            <v>82919.628031737622</v>
          </cell>
          <cell r="AZ5">
            <v>93948.938507204235</v>
          </cell>
          <cell r="BA5">
            <v>106445.28028095014</v>
          </cell>
        </row>
        <row r="9">
          <cell r="D9">
            <v>33974.626617228743</v>
          </cell>
          <cell r="E9">
            <v>40994.661403803802</v>
          </cell>
          <cell r="F9">
            <v>49465.216573132187</v>
          </cell>
          <cell r="G9">
            <v>59686.007076029622</v>
          </cell>
          <cell r="H9">
            <v>72018.676708166706</v>
          </cell>
          <cell r="M9">
            <v>9611.8502606558923</v>
          </cell>
          <cell r="N9">
            <v>12319.839439467847</v>
          </cell>
          <cell r="O9">
            <v>15790.762412887447</v>
          </cell>
          <cell r="P9">
            <v>20239.563900601413</v>
          </cell>
          <cell r="Q9">
            <v>25941.745950924131</v>
          </cell>
          <cell r="V9">
            <v>449.34988329635451</v>
          </cell>
          <cell r="W9">
            <v>541.01234240531744</v>
          </cell>
          <cell r="X9">
            <v>651.37294014128247</v>
          </cell>
          <cell r="Y9">
            <v>784.24589217676339</v>
          </cell>
          <cell r="Z9">
            <v>944.22347244379728</v>
          </cell>
          <cell r="AE9">
            <v>1958.4501762864347</v>
          </cell>
          <cell r="AF9">
            <v>2060.4233430620138</v>
          </cell>
          <cell r="AG9">
            <v>2167.7060790409096</v>
          </cell>
          <cell r="AH9">
            <v>2280.5748444529663</v>
          </cell>
          <cell r="AI9">
            <v>2399.320494341574</v>
          </cell>
          <cell r="AN9">
            <v>3024.3157545679519</v>
          </cell>
          <cell r="AO9">
            <v>3134.4985930751413</v>
          </cell>
          <cell r="AP9">
            <v>3248.6956479825735</v>
          </cell>
          <cell r="AQ9">
            <v>3367.053166505571</v>
          </cell>
          <cell r="AR9">
            <v>3489.7227239847634</v>
          </cell>
          <cell r="AW9">
            <v>30075.145137246465</v>
          </cell>
          <cell r="AX9">
            <v>34075.502123730395</v>
          </cell>
          <cell r="AY9">
            <v>38607.95483065999</v>
          </cell>
          <cell r="AZ9">
            <v>43743.278405521633</v>
          </cell>
          <cell r="BA9">
            <v>49561.66194391148</v>
          </cell>
        </row>
        <row r="25">
          <cell r="B25">
            <v>2241.4002332725154</v>
          </cell>
          <cell r="K25">
            <v>714.37554966599691</v>
          </cell>
          <cell r="T25">
            <v>111.67284118912463</v>
          </cell>
          <cell r="AC25">
            <v>521.15185023674212</v>
          </cell>
        </row>
        <row r="26">
          <cell r="B26">
            <v>2012</v>
          </cell>
          <cell r="K26">
            <v>343</v>
          </cell>
          <cell r="T26">
            <v>368.15</v>
          </cell>
          <cell r="AC26">
            <v>1929.05</v>
          </cell>
          <cell r="AL26">
            <v>8.6999999999999993</v>
          </cell>
        </row>
      </sheetData>
      <sheetData sheetId="7">
        <row r="10">
          <cell r="K10">
            <v>20.120719478575783</v>
          </cell>
          <cell r="L10">
            <v>142.40520271684068</v>
          </cell>
        </row>
        <row r="13">
          <cell r="G13">
            <v>22.99099856876796</v>
          </cell>
        </row>
      </sheetData>
      <sheetData sheetId="8">
        <row r="9">
          <cell r="L9">
            <v>0.11957547741869638</v>
          </cell>
        </row>
        <row r="12">
          <cell r="P12">
            <v>83.834806004028593</v>
          </cell>
        </row>
        <row r="16">
          <cell r="L16">
            <v>0.21151205184506519</v>
          </cell>
        </row>
      </sheetData>
      <sheetData sheetId="9"/>
      <sheetData sheetId="10">
        <row r="8">
          <cell r="D8">
            <v>12179.195277777777</v>
          </cell>
          <cell r="I8">
            <v>0.25264961210996845</v>
          </cell>
          <cell r="O8">
            <v>0.13389398859242055</v>
          </cell>
        </row>
        <row r="15">
          <cell r="D15">
            <v>29219.668035405921</v>
          </cell>
        </row>
        <row r="22">
          <cell r="D22">
            <v>0.11957547741869641</v>
          </cell>
        </row>
        <row r="29">
          <cell r="D29">
            <v>0.11957547741869645</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Basic info"/>
      <sheetName val="Balance Sheet "/>
      <sheetName val="Income Statement"/>
      <sheetName val="Cash Flow Statement"/>
      <sheetName val="Ratio Analysis"/>
      <sheetName val="WACC"/>
      <sheetName val="DCF"/>
      <sheetName val="Relative Model"/>
      <sheetName val="Calc"/>
    </sheetNames>
    <sheetDataSet>
      <sheetData sheetId="0" refreshError="1"/>
      <sheetData sheetId="1" refreshError="1"/>
      <sheetData sheetId="2">
        <row r="6">
          <cell r="P6">
            <v>1658.7946999999999</v>
          </cell>
          <cell r="Q6">
            <v>1328.4308999999998</v>
          </cell>
          <cell r="R6">
            <v>1918.16</v>
          </cell>
          <cell r="S6">
            <v>2762.9806000000003</v>
          </cell>
          <cell r="T6">
            <v>3892.2642000000001</v>
          </cell>
          <cell r="W6">
            <v>3192.9222999999997</v>
          </cell>
          <cell r="X6">
            <v>2008.3730999999998</v>
          </cell>
          <cell r="Y6">
            <v>2928.6131999999998</v>
          </cell>
          <cell r="Z6">
            <v>2644.7946999999999</v>
          </cell>
          <cell r="AA6">
            <v>2731.1043999999997</v>
          </cell>
          <cell r="AD6">
            <v>21741.73</v>
          </cell>
          <cell r="AE6">
            <v>23112.77</v>
          </cell>
          <cell r="AF6">
            <v>25604.95</v>
          </cell>
          <cell r="AG6">
            <v>28597.579999999998</v>
          </cell>
          <cell r="AH6">
            <v>32277.68</v>
          </cell>
          <cell r="AI6">
            <v>33542.639999999999</v>
          </cell>
        </row>
        <row r="9">
          <cell r="B9">
            <v>10604.6</v>
          </cell>
          <cell r="C9">
            <v>8540.66</v>
          </cell>
          <cell r="D9">
            <v>6166.91</v>
          </cell>
          <cell r="E9">
            <v>4621.92</v>
          </cell>
          <cell r="F9">
            <v>5535.32</v>
          </cell>
          <cell r="I9">
            <v>20925.23</v>
          </cell>
          <cell r="J9">
            <v>18006.22</v>
          </cell>
          <cell r="K9">
            <v>15547.35</v>
          </cell>
          <cell r="L9">
            <v>14189.93</v>
          </cell>
          <cell r="M9">
            <v>13067.07</v>
          </cell>
        </row>
      </sheetData>
      <sheetData sheetId="3">
        <row r="49">
          <cell r="I49">
            <v>109.5</v>
          </cell>
          <cell r="J49">
            <v>41.9</v>
          </cell>
          <cell r="K49">
            <v>32.01</v>
          </cell>
          <cell r="L49">
            <v>135.57</v>
          </cell>
          <cell r="M49">
            <v>103.03</v>
          </cell>
        </row>
        <row r="50">
          <cell r="W50">
            <v>67.367599999999996</v>
          </cell>
          <cell r="X50">
            <v>163.84399999999999</v>
          </cell>
          <cell r="Y50">
            <v>54.827800000000003</v>
          </cell>
          <cell r="Z50">
            <v>42.258400000000002</v>
          </cell>
          <cell r="AA50">
            <v>48.069099999999999</v>
          </cell>
        </row>
        <row r="52">
          <cell r="P52">
            <v>56.888399999999997</v>
          </cell>
          <cell r="Q52">
            <v>56.609099999999998</v>
          </cell>
          <cell r="R52">
            <v>102.0442</v>
          </cell>
          <cell r="S52">
            <v>108.25709999999999</v>
          </cell>
          <cell r="T52">
            <v>80.889700000000005</v>
          </cell>
        </row>
        <row r="56">
          <cell r="AD56">
            <v>890.23</v>
          </cell>
          <cell r="AE56">
            <v>762.98</v>
          </cell>
          <cell r="AF56">
            <v>799.29</v>
          </cell>
          <cell r="AG56">
            <v>782.42</v>
          </cell>
          <cell r="AH56">
            <v>916.42</v>
          </cell>
          <cell r="AI56">
            <v>930.09</v>
          </cell>
        </row>
        <row r="62">
          <cell r="B62">
            <v>762.2</v>
          </cell>
          <cell r="C62">
            <v>469.25</v>
          </cell>
          <cell r="D62">
            <v>554.55999999999995</v>
          </cell>
          <cell r="E62">
            <v>590.45000000000005</v>
          </cell>
          <cell r="F62">
            <v>652.53</v>
          </cell>
        </row>
      </sheetData>
      <sheetData sheetId="4">
        <row r="5">
          <cell r="C5">
            <v>0.18966761485168426</v>
          </cell>
          <cell r="D5">
            <v>0.20682343041861376</v>
          </cell>
          <cell r="E5">
            <v>0.20310856834122859</v>
          </cell>
          <cell r="F5">
            <v>0.22130574879125101</v>
          </cell>
          <cell r="G5">
            <v>0.25493435436551953</v>
          </cell>
          <cell r="I5">
            <v>0.13507620155654951</v>
          </cell>
          <cell r="J5">
            <v>0.15793436493924604</v>
          </cell>
          <cell r="K5">
            <v>0.127561452980504</v>
          </cell>
          <cell r="L5">
            <v>0.16735591862923943</v>
          </cell>
          <cell r="M5">
            <v>0.23210493559398751</v>
          </cell>
          <cell r="O5">
            <v>0.23398931442835286</v>
          </cell>
          <cell r="P5">
            <v>0.17167821058746513</v>
          </cell>
          <cell r="Q5">
            <v>0.25504306953202277</v>
          </cell>
          <cell r="R5">
            <v>0.18388569063602553</v>
          </cell>
          <cell r="S5">
            <v>0.3043972248003407</v>
          </cell>
          <cell r="U5">
            <v>0.14215960540505709</v>
          </cell>
          <cell r="V5">
            <v>0.17356401450764192</v>
          </cell>
          <cell r="W5">
            <v>0.13850961337948853</v>
          </cell>
          <cell r="X5">
            <v>0.11281244609535082</v>
          </cell>
          <cell r="Y5">
            <v>0.12650993732645385</v>
          </cell>
          <cell r="AA5">
            <v>0.19323025352628337</v>
          </cell>
          <cell r="AB5">
            <v>0.19596655874652857</v>
          </cell>
          <cell r="AC5">
            <v>0.20632572998580345</v>
          </cell>
          <cell r="AD5">
            <v>0.22955089206848978</v>
          </cell>
          <cell r="AE5">
            <v>0.31695245754961326</v>
          </cell>
          <cell r="AF5">
            <v>0.32285443244777401</v>
          </cell>
        </row>
        <row r="6">
          <cell r="C6">
            <v>0.13964262837805244</v>
          </cell>
          <cell r="D6">
            <v>0.14555533395865941</v>
          </cell>
          <cell r="E6">
            <v>0.15108233879085503</v>
          </cell>
          <cell r="F6">
            <v>0.16697952152089665</v>
          </cell>
          <cell r="G6">
            <v>0.19211258370875733</v>
          </cell>
          <cell r="I6">
            <v>8.6186525801579594E-2</v>
          </cell>
          <cell r="J6">
            <v>0.11117890400526188</v>
          </cell>
          <cell r="K6">
            <v>9.5099490668746595E-2</v>
          </cell>
          <cell r="L6">
            <v>0.12560153430765306</v>
          </cell>
          <cell r="M6">
            <v>0.17402165098164948</v>
          </cell>
          <cell r="O6">
            <v>0.16752703315079095</v>
          </cell>
          <cell r="P6">
            <v>0.12834527608440885</v>
          </cell>
          <cell r="Q6">
            <v>0.17070345786872779</v>
          </cell>
          <cell r="R6">
            <v>0.13386668538015445</v>
          </cell>
          <cell r="S6">
            <v>0.22434909482039561</v>
          </cell>
          <cell r="U6">
            <v>9.8554510693818875E-2</v>
          </cell>
          <cell r="V6">
            <v>0.11552817688898971</v>
          </cell>
          <cell r="W6">
            <v>9.8802654627351064E-2</v>
          </cell>
          <cell r="X6">
            <v>8.2564459555018246E-2</v>
          </cell>
          <cell r="Y6">
            <v>9.1789169912977669E-2</v>
          </cell>
          <cell r="AA6">
            <v>0.13258604536069579</v>
          </cell>
          <cell r="AB6">
            <v>0.14014157541480335</v>
          </cell>
          <cell r="AC6">
            <v>0.19839445107293704</v>
          </cell>
          <cell r="AD6">
            <v>0.2037840264805624</v>
          </cell>
          <cell r="AE6">
            <v>0.23610587873725747</v>
          </cell>
          <cell r="AF6">
            <v>0.24935544727546791</v>
          </cell>
        </row>
        <row r="9">
          <cell r="C9">
            <v>0.18519548479946063</v>
          </cell>
          <cell r="D9">
            <v>0.18650114631990228</v>
          </cell>
          <cell r="E9">
            <v>0.19093468116046874</v>
          </cell>
          <cell r="F9">
            <v>0.14881212273170705</v>
          </cell>
          <cell r="G9">
            <v>0.24595595185871116</v>
          </cell>
          <cell r="I9">
            <v>0.15593682380090068</v>
          </cell>
          <cell r="J9">
            <v>0.14973875997680458</v>
          </cell>
          <cell r="K9">
            <v>0.15202660666514589</v>
          </cell>
          <cell r="L9">
            <v>0.25678147052346351</v>
          </cell>
          <cell r="M9">
            <v>0.29557761949685035</v>
          </cell>
          <cell r="O9">
            <v>0.20519207679734494</v>
          </cell>
          <cell r="P9">
            <v>9.6010976377962173E-2</v>
          </cell>
          <cell r="Q9">
            <v>0.16496120482654447</v>
          </cell>
          <cell r="R9">
            <v>0.11024448188145985</v>
          </cell>
          <cell r="S9">
            <v>0.16847692325332375</v>
          </cell>
          <cell r="U9">
            <v>0.15715903486821683</v>
          </cell>
          <cell r="V9">
            <v>0.1349651082702438</v>
          </cell>
          <cell r="W9">
            <v>0.15066436217391521</v>
          </cell>
          <cell r="X9">
            <v>0.16135321567316863</v>
          </cell>
          <cell r="Y9">
            <v>0.21349312484608798</v>
          </cell>
          <cell r="AA9">
            <v>0.21751219740402425</v>
          </cell>
          <cell r="AB9">
            <v>0.21010782178205009</v>
          </cell>
          <cell r="AC9">
            <v>0.26297621562074203</v>
          </cell>
          <cell r="AD9">
            <v>0.24719024393140626</v>
          </cell>
          <cell r="AE9">
            <v>0.26151258278054801</v>
          </cell>
          <cell r="AF9">
            <v>0.23907387044281908</v>
          </cell>
        </row>
        <row r="14">
          <cell r="C14">
            <v>0</v>
          </cell>
          <cell r="D14">
            <v>2.275483382199038E-4</v>
          </cell>
          <cell r="E14">
            <v>4.2837622650128788E-3</v>
          </cell>
          <cell r="F14">
            <v>4.4195057704306678E-3</v>
          </cell>
          <cell r="G14">
            <v>3.8245538683303569E-3</v>
          </cell>
          <cell r="I14">
            <v>0</v>
          </cell>
          <cell r="J14">
            <v>0</v>
          </cell>
          <cell r="K14">
            <v>0</v>
          </cell>
          <cell r="L14">
            <v>0</v>
          </cell>
          <cell r="M14">
            <v>0</v>
          </cell>
          <cell r="O14">
            <v>4.1963615805052402E-3</v>
          </cell>
          <cell r="P14">
            <v>2.8724864672547198E-3</v>
          </cell>
          <cell r="Q14">
            <v>2.1537622088926615E-3</v>
          </cell>
          <cell r="R14">
            <v>1.6215175866387821E-3</v>
          </cell>
          <cell r="S14">
            <v>1.0286724680849907E-3</v>
          </cell>
          <cell r="U14">
            <v>0</v>
          </cell>
          <cell r="V14">
            <v>0</v>
          </cell>
          <cell r="W14">
            <v>8.9071331873270074E-3</v>
          </cell>
          <cell r="X14">
            <v>0.22075515404215892</v>
          </cell>
          <cell r="Y14">
            <v>3.9242902743565955E-2</v>
          </cell>
          <cell r="AA14">
            <v>0.44416961823974066</v>
          </cell>
          <cell r="AB14">
            <v>5.8834289687847454E-4</v>
          </cell>
          <cell r="AC14">
            <v>1.2890280417955695E-4</v>
          </cell>
          <cell r="AD14">
            <v>1.1240296760800971E-4</v>
          </cell>
          <cell r="AE14">
            <v>3.7746454321128306E-5</v>
          </cell>
          <cell r="AF14">
            <v>3.3156906197683189E-5</v>
          </cell>
        </row>
        <row r="21">
          <cell r="C21">
            <v>3.2843791722296398</v>
          </cell>
          <cell r="D21">
            <v>4.9528301886792452</v>
          </cell>
          <cell r="E21">
            <v>7.2946058091286297</v>
          </cell>
          <cell r="F21">
            <v>24.075425790754256</v>
          </cell>
          <cell r="G21">
            <v>37.272727272727273</v>
          </cell>
          <cell r="I21">
            <v>3.887172284644195</v>
          </cell>
          <cell r="J21">
            <v>4.4638351555929354</v>
          </cell>
          <cell r="K21">
            <v>4.121389270976616</v>
          </cell>
          <cell r="L21">
            <v>6.2327505170144759</v>
          </cell>
          <cell r="M21">
            <v>10.186338797814207</v>
          </cell>
          <cell r="O21">
            <v>105.58957847885071</v>
          </cell>
          <cell r="P21">
            <v>219.11394555975744</v>
          </cell>
          <cell r="Q21">
            <v>112.97698211969649</v>
          </cell>
          <cell r="R21">
            <v>159.52539458420975</v>
          </cell>
          <cell r="S21">
            <v>92.178933700308576</v>
          </cell>
          <cell r="U21">
            <v>185.17459165154256</v>
          </cell>
          <cell r="V21">
            <v>197.25301581013272</v>
          </cell>
          <cell r="W21">
            <v>159.73390066341548</v>
          </cell>
          <cell r="X21">
            <v>132.70263996773679</v>
          </cell>
          <cell r="Y21">
            <v>84.733820157825605</v>
          </cell>
          <cell r="AA21">
            <v>112.68243369815966</v>
          </cell>
          <cell r="AB21">
            <v>100.28342096163688</v>
          </cell>
          <cell r="AC21">
            <v>63.943246198729113</v>
          </cell>
          <cell r="AD21">
            <v>55.737657286799482</v>
          </cell>
          <cell r="AE21">
            <v>42.622509988912142</v>
          </cell>
          <cell r="AF21">
            <v>38.835780017790441</v>
          </cell>
        </row>
      </sheetData>
      <sheetData sheetId="5">
        <row r="6">
          <cell r="B6">
            <v>0.16175735999999999</v>
          </cell>
          <cell r="C6">
            <v>0.19688849999999999</v>
          </cell>
          <cell r="D6">
            <v>0.16268663999999999</v>
          </cell>
          <cell r="E6">
            <v>0.16988129999999999</v>
          </cell>
          <cell r="F6">
            <v>0.18246287999999999</v>
          </cell>
        </row>
        <row r="16">
          <cell r="B16">
            <v>5.5E-2</v>
          </cell>
        </row>
      </sheetData>
      <sheetData sheetId="6">
        <row r="4">
          <cell r="D4">
            <v>12077.153984228209</v>
          </cell>
          <cell r="E4">
            <v>13754.186707538172</v>
          </cell>
          <cell r="F4">
            <v>15664.092072757418</v>
          </cell>
          <cell r="G4">
            <v>17839.206757993677</v>
          </cell>
          <cell r="H4">
            <v>20316.357710123353</v>
          </cell>
          <cell r="I4">
            <v>23137.485663185951</v>
          </cell>
          <cell r="N4">
            <v>22991.570863058354</v>
          </cell>
          <cell r="O4">
            <v>25261.960358430177</v>
          </cell>
          <cell r="P4">
            <v>27756.548038928053</v>
          </cell>
          <cell r="Q4">
            <v>30497.473201054312</v>
          </cell>
          <cell r="R4">
            <v>33509.061369756193</v>
          </cell>
          <cell r="S4">
            <v>36818.040185810183</v>
          </cell>
          <cell r="X4">
            <v>2949.2512927154135</v>
          </cell>
          <cell r="Y4">
            <v>3184.8226627966105</v>
          </cell>
          <cell r="Z4">
            <v>3439.2102899187048</v>
          </cell>
          <cell r="AA4">
            <v>3713.9171221220595</v>
          </cell>
          <cell r="AB4">
            <v>4010.5661553825603</v>
          </cell>
          <cell r="AC4">
            <v>4330.9100224373351</v>
          </cell>
          <cell r="AH4">
            <v>4616.1960630447638</v>
          </cell>
          <cell r="AI4">
            <v>5474.7738070992136</v>
          </cell>
          <cell r="AJ4">
            <v>6493.0405532060186</v>
          </cell>
          <cell r="AK4">
            <v>7700.6972545439276</v>
          </cell>
          <cell r="AL4">
            <v>9132.9690181682163</v>
          </cell>
          <cell r="AM4">
            <v>10831.632556078264</v>
          </cell>
          <cell r="AR4">
            <v>36056.294995220873</v>
          </cell>
          <cell r="AS4">
            <v>38758.321014159585</v>
          </cell>
          <cell r="AT4">
            <v>41662.834410350712</v>
          </cell>
          <cell r="AU4">
            <v>44785.009404049422</v>
          </cell>
          <cell r="AV4">
            <v>48141.157357803291</v>
          </cell>
        </row>
        <row r="5">
          <cell r="D5">
            <v>3123.804923654197</v>
          </cell>
          <cell r="E5">
            <v>3956.2769921127929</v>
          </cell>
          <cell r="F5">
            <v>5010.5970189749687</v>
          </cell>
          <cell r="G5">
            <v>6345.8859267468279</v>
          </cell>
          <cell r="H5">
            <v>8037.0199484774457</v>
          </cell>
          <cell r="I5">
            <v>10178.829307342732</v>
          </cell>
          <cell r="N5">
            <v>6226.4904902368989</v>
          </cell>
          <cell r="O5">
            <v>7257.9992857938159</v>
          </cell>
          <cell r="P5">
            <v>8460.3925301392828</v>
          </cell>
          <cell r="Q5">
            <v>9861.9797199674122</v>
          </cell>
          <cell r="R5">
            <v>11495.760232232082</v>
          </cell>
          <cell r="S5">
            <v>13400.200271087688</v>
          </cell>
          <cell r="X5">
            <v>1035.9381925465232</v>
          </cell>
          <cell r="Y5">
            <v>1290.8884021501633</v>
          </cell>
          <cell r="Z5">
            <v>1608.5832907748163</v>
          </cell>
          <cell r="AA5">
            <v>2004.4646764584847</v>
          </cell>
          <cell r="AB5">
            <v>2497.7746954181657</v>
          </cell>
          <cell r="AC5">
            <v>3112.4910817057876</v>
          </cell>
          <cell r="AH5">
            <v>570.53011478865801</v>
          </cell>
          <cell r="AI5">
            <v>661.04373545700878</v>
          </cell>
          <cell r="AJ5">
            <v>765.91718624498242</v>
          </cell>
          <cell r="AK5">
            <v>887.42862948374875</v>
          </cell>
          <cell r="AL5">
            <v>1028.2176540369594</v>
          </cell>
          <cell r="AM5">
            <v>1191.3426149980087</v>
          </cell>
          <cell r="AR5">
            <v>12680.696931263852</v>
          </cell>
          <cell r="AS5">
            <v>14848.488664879964</v>
          </cell>
          <cell r="AT5">
            <v>17386.868941523891</v>
          </cell>
          <cell r="AU5">
            <v>20359.190649802873</v>
          </cell>
          <cell r="AV5">
            <v>23839.636987491533</v>
          </cell>
        </row>
        <row r="7">
          <cell r="D7">
            <v>2342.8536927406476</v>
          </cell>
          <cell r="E7">
            <v>2967.2077440845947</v>
          </cell>
          <cell r="F7">
            <v>3757.9477642312268</v>
          </cell>
          <cell r="G7">
            <v>4759.4144450601207</v>
          </cell>
          <cell r="H7">
            <v>6027.7649613580843</v>
          </cell>
          <cell r="I7">
            <v>7634.1219805070486</v>
          </cell>
          <cell r="N7">
            <v>4669.8678676776744</v>
          </cell>
          <cell r="O7">
            <v>5443.499464345362</v>
          </cell>
          <cell r="P7">
            <v>6345.2943976044626</v>
          </cell>
          <cell r="Q7">
            <v>7396.4847899755587</v>
          </cell>
          <cell r="R7">
            <v>8621.8201741740613</v>
          </cell>
          <cell r="S7">
            <v>10050.150203315767</v>
          </cell>
          <cell r="X7">
            <v>776.95364440989238</v>
          </cell>
          <cell r="Y7">
            <v>968.16630161262242</v>
          </cell>
          <cell r="Z7">
            <v>1206.4374680811122</v>
          </cell>
          <cell r="AA7">
            <v>1503.3485073438635</v>
          </cell>
          <cell r="AB7">
            <v>1873.3310215636243</v>
          </cell>
          <cell r="AC7">
            <v>2334.3683112793406</v>
          </cell>
          <cell r="AH7">
            <v>427.89758609149351</v>
          </cell>
          <cell r="AI7">
            <v>495.78280159275658</v>
          </cell>
          <cell r="AJ7">
            <v>574.43788968373678</v>
          </cell>
          <cell r="AK7">
            <v>665.57147211281153</v>
          </cell>
          <cell r="AL7">
            <v>771.16324052771961</v>
          </cell>
          <cell r="AM7">
            <v>893.50696124850651</v>
          </cell>
          <cell r="AR7">
            <v>9510.5226984478886</v>
          </cell>
          <cell r="AS7">
            <v>11136.366498659972</v>
          </cell>
          <cell r="AT7">
            <v>13040.151706142919</v>
          </cell>
          <cell r="AU7">
            <v>15269.392987352156</v>
          </cell>
          <cell r="AV7">
            <v>17879.727740618648</v>
          </cell>
        </row>
        <row r="8">
          <cell r="D8">
            <v>86.363579329992547</v>
          </cell>
          <cell r="E8">
            <v>89.722937984938255</v>
          </cell>
          <cell r="F8">
            <v>93.212968511755292</v>
          </cell>
          <cell r="G8">
            <v>96.838753766980346</v>
          </cell>
          <cell r="H8">
            <v>100.60557431940602</v>
          </cell>
          <cell r="I8">
            <v>104.51891614066503</v>
          </cell>
          <cell r="N8">
            <v>421.06040593279909</v>
          </cell>
          <cell r="O8">
            <v>429.87140955869734</v>
          </cell>
          <cell r="P8">
            <v>438.8667900193721</v>
          </cell>
          <cell r="Q8">
            <v>448.05040553786415</v>
          </cell>
          <cell r="R8">
            <v>457.42619507341448</v>
          </cell>
          <cell r="S8">
            <v>466.9981800109295</v>
          </cell>
          <cell r="X8">
            <v>92.944141264994599</v>
          </cell>
          <cell r="Y8">
            <v>100.36805212430157</v>
          </cell>
          <cell r="Z8">
            <v>108.38494766986003</v>
          </cell>
          <cell r="AA8">
            <v>117.04219253801766</v>
          </cell>
          <cell r="AB8">
            <v>126.39093461421503</v>
          </cell>
          <cell r="AC8">
            <v>136.48640721990819</v>
          </cell>
          <cell r="AH8">
            <v>44.034542020556337</v>
          </cell>
          <cell r="AI8">
            <v>46.919923026819092</v>
          </cell>
          <cell r="AJ8">
            <v>49.994369779409247</v>
          </cell>
          <cell r="AK8">
            <v>53.270270887095201</v>
          </cell>
          <cell r="AL8">
            <v>56.760826727197802</v>
          </cell>
          <cell r="AM8">
            <v>60.480102637049967</v>
          </cell>
          <cell r="AR8">
            <v>1407.7839863410761</v>
          </cell>
          <cell r="AS8">
            <v>1478.5885630075063</v>
          </cell>
          <cell r="AT8">
            <v>1552.9542599349663</v>
          </cell>
          <cell r="AU8">
            <v>1631.0601838720672</v>
          </cell>
          <cell r="AV8">
            <v>1713.0944497516564</v>
          </cell>
        </row>
        <row r="9">
          <cell r="D9">
            <v>786.2535814419889</v>
          </cell>
          <cell r="E9">
            <v>811.06624813743667</v>
          </cell>
          <cell r="F9">
            <v>836.66195537231215</v>
          </cell>
          <cell r="G9">
            <v>863.06541441581976</v>
          </cell>
          <cell r="H9">
            <v>890.30211637779132</v>
          </cell>
          <cell r="I9">
            <v>918.39835681897239</v>
          </cell>
          <cell r="N9">
            <v>118.70774886792883</v>
          </cell>
          <cell r="O9">
            <v>130.4299938443267</v>
          </cell>
          <cell r="P9">
            <v>143.30979617142094</v>
          </cell>
          <cell r="Q9">
            <v>157.46146322146393</v>
          </cell>
          <cell r="R9">
            <v>173.01059007987701</v>
          </cell>
          <cell r="S9">
            <v>190.0951741931168</v>
          </cell>
          <cell r="X9">
            <v>88.371470132220338</v>
          </cell>
          <cell r="Y9">
            <v>95.4301390040646</v>
          </cell>
          <cell r="Z9">
            <v>103.05261886793824</v>
          </cell>
          <cell r="AA9">
            <v>111.28394411212392</v>
          </cell>
          <cell r="AB9">
            <v>120.17274624549371</v>
          </cell>
          <cell r="AC9">
            <v>129.77154121742242</v>
          </cell>
          <cell r="AH9">
            <v>150.28448639274572</v>
          </cell>
          <cell r="AI9">
            <v>178.23627040088829</v>
          </cell>
          <cell r="AJ9">
            <v>211.38687597731993</v>
          </cell>
          <cell r="AK9">
            <v>250.70324482748012</v>
          </cell>
          <cell r="AL9">
            <v>297.33216254054935</v>
          </cell>
          <cell r="AM9">
            <v>352.63370819901422</v>
          </cell>
          <cell r="AR9">
            <v>1111.2353460166921</v>
          </cell>
          <cell r="AS9">
            <v>1194.5103141879765</v>
          </cell>
          <cell r="AT9">
            <v>1284.0258328860116</v>
          </cell>
          <cell r="AU9">
            <v>1380.2495633027756</v>
          </cell>
          <cell r="AV9">
            <v>1483.6842127354814</v>
          </cell>
        </row>
        <row r="20">
          <cell r="C20">
            <v>9.4896022862696189E-2</v>
          </cell>
          <cell r="G20">
            <v>24.969914154087061</v>
          </cell>
        </row>
        <row r="32">
          <cell r="C32">
            <v>2.9634974948604242E-2</v>
          </cell>
        </row>
      </sheetData>
      <sheetData sheetId="7">
        <row r="17">
          <cell r="F17">
            <v>1540.8</v>
          </cell>
          <cell r="K17">
            <v>4857</v>
          </cell>
        </row>
        <row r="18">
          <cell r="E18">
            <v>1772.1750944072105</v>
          </cell>
          <cell r="J18">
            <v>12166.275769289769</v>
          </cell>
        </row>
        <row r="24">
          <cell r="D24">
            <v>417</v>
          </cell>
          <cell r="H24">
            <v>2826</v>
          </cell>
          <cell r="L24">
            <v>2643</v>
          </cell>
        </row>
        <row r="25">
          <cell r="C25">
            <v>219.81120763186328</v>
          </cell>
          <cell r="G25">
            <v>6543.3010807503251</v>
          </cell>
          <cell r="K25">
            <v>3876.7678622265894</v>
          </cell>
        </row>
      </sheetData>
      <sheetData sheetId="8">
        <row r="7">
          <cell r="D7">
            <v>330.420816</v>
          </cell>
          <cell r="J7">
            <v>0.34098067644437197</v>
          </cell>
          <cell r="P7">
            <v>0.35</v>
          </cell>
        </row>
        <row r="13">
          <cell r="D13">
            <v>528.3955989938147</v>
          </cell>
        </row>
        <row r="19">
          <cell r="D19">
            <v>7.7253064527665977E-2</v>
          </cell>
        </row>
        <row r="25">
          <cell r="D25">
            <v>0.16950159526034972</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Data"/>
      <sheetName val="Forecast Data"/>
      <sheetName val="Merged Fin+Forecast"/>
      <sheetName val="Senstivity Data"/>
      <sheetName val="Market Share-Current"/>
      <sheetName val="Market Share-Forecast"/>
      <sheetName val="Macro-BFSI"/>
      <sheetName val="Macro-Defense"/>
      <sheetName val="Macro-Auto"/>
      <sheetName val="Macro-IT"/>
      <sheetName val="Macro-Power"/>
      <sheetName val="Macro-Infra"/>
      <sheetName val="Macro-FMCG"/>
      <sheetName val="BFSI Deep dive"/>
      <sheetName val="Financials"/>
    </sheetNames>
    <sheetDataSet>
      <sheetData sheetId="0"/>
      <sheetData sheetId="1"/>
      <sheetData sheetId="2"/>
      <sheetData sheetId="3"/>
      <sheetData sheetId="4"/>
      <sheetData sheetId="5"/>
      <sheetData sheetId="6"/>
      <sheetData sheetId="7">
        <row r="2">
          <cell r="D2">
            <v>51973</v>
          </cell>
          <cell r="G2">
            <v>52965</v>
          </cell>
          <cell r="J2">
            <v>54074</v>
          </cell>
          <cell r="M2">
            <v>7413</v>
          </cell>
          <cell r="P2">
            <v>26000</v>
          </cell>
        </row>
        <row r="3">
          <cell r="D3">
            <v>53434</v>
          </cell>
          <cell r="G3">
            <v>53000</v>
          </cell>
          <cell r="J3">
            <v>42000</v>
          </cell>
          <cell r="M3">
            <v>8386</v>
          </cell>
          <cell r="P3">
            <v>25707</v>
          </cell>
        </row>
        <row r="4">
          <cell r="D4">
            <v>57570</v>
          </cell>
          <cell r="G4">
            <v>83858</v>
          </cell>
          <cell r="J4">
            <v>0</v>
          </cell>
          <cell r="M4">
            <v>10170</v>
          </cell>
          <cell r="P4">
            <v>22930</v>
          </cell>
        </row>
        <row r="5">
          <cell r="J5">
            <v>37500</v>
          </cell>
          <cell r="P5">
            <v>23740</v>
          </cell>
        </row>
        <row r="6">
          <cell r="D6">
            <v>75934</v>
          </cell>
          <cell r="G6">
            <v>94000</v>
          </cell>
          <cell r="J6">
            <v>36839</v>
          </cell>
          <cell r="M6">
            <v>19434</v>
          </cell>
          <cell r="P6">
            <v>24221.37</v>
          </cell>
        </row>
        <row r="7">
          <cell r="G7">
            <v>180000</v>
          </cell>
        </row>
      </sheetData>
      <sheetData sheetId="8"/>
      <sheetData sheetId="9"/>
      <sheetData sheetId="10"/>
      <sheetData sheetId="11"/>
      <sheetData sheetId="12"/>
      <sheetData sheetId="13"/>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WACC"/>
      <sheetName val="FCFF"/>
      <sheetName val="Relative"/>
      <sheetName val="Calc"/>
      <sheetName val="Fundamental Analysis-Oil &amp; Gas"/>
    </sheetNames>
    <sheetDataSet>
      <sheetData sheetId="0"/>
      <sheetData sheetId="1"/>
      <sheetData sheetId="2">
        <row r="8">
          <cell r="B8">
            <v>330662.09000000003</v>
          </cell>
          <cell r="C8">
            <v>306209.43</v>
          </cell>
          <cell r="D8">
            <v>435051.83999999997</v>
          </cell>
          <cell r="E8">
            <v>535651.54</v>
          </cell>
          <cell r="F8">
            <v>509227.32999999996</v>
          </cell>
          <cell r="G8">
            <v>503202.19999999995</v>
          </cell>
          <cell r="J8">
            <v>74114.12999999999</v>
          </cell>
          <cell r="K8">
            <v>58548.46</v>
          </cell>
          <cell r="L8">
            <v>94046.07</v>
          </cell>
          <cell r="M8">
            <v>147203.5</v>
          </cell>
          <cell r="N8">
            <v>134507.35</v>
          </cell>
          <cell r="O8">
            <v>143559.06000000003</v>
          </cell>
          <cell r="Z8">
            <v>578763.31999999995</v>
          </cell>
          <cell r="AA8">
            <v>523736.38</v>
          </cell>
          <cell r="AB8">
            <v>739813.06</v>
          </cell>
          <cell r="AC8">
            <v>955608.86</v>
          </cell>
          <cell r="AD8">
            <v>885074.01</v>
          </cell>
          <cell r="AE8">
            <v>862876.46</v>
          </cell>
          <cell r="AH8">
            <v>434038.09700000001</v>
          </cell>
          <cell r="AI8">
            <v>369895.32900000003</v>
          </cell>
          <cell r="AJ8">
            <v>539230.25</v>
          </cell>
          <cell r="AK8">
            <v>692903.30299999996</v>
          </cell>
          <cell r="AL8">
            <v>665201.46299999999</v>
          </cell>
          <cell r="AM8">
            <v>675655.88300000003</v>
          </cell>
        </row>
        <row r="9">
          <cell r="R9">
            <v>289423.67000000004</v>
          </cell>
          <cell r="S9">
            <v>273221.69</v>
          </cell>
          <cell r="T9">
            <v>376565.91</v>
          </cell>
          <cell r="U9">
            <v>467964.51999999996</v>
          </cell>
          <cell r="V9">
            <v>463886.08000000002</v>
          </cell>
          <cell r="W9">
            <v>468811.52999999997</v>
          </cell>
        </row>
        <row r="14">
          <cell r="J14">
            <v>308.94</v>
          </cell>
          <cell r="K14">
            <v>179.27</v>
          </cell>
          <cell r="L14">
            <v>202.48</v>
          </cell>
          <cell r="M14">
            <v>366.58</v>
          </cell>
          <cell r="N14">
            <v>719.2</v>
          </cell>
          <cell r="O14">
            <v>747.99</v>
          </cell>
        </row>
        <row r="15">
          <cell r="B15">
            <v>2181.86</v>
          </cell>
          <cell r="C15">
            <v>1328.36</v>
          </cell>
          <cell r="D15">
            <v>2208.81</v>
          </cell>
          <cell r="E15">
            <v>3216.48</v>
          </cell>
          <cell r="F15">
            <v>4148.8900000000003</v>
          </cell>
          <cell r="G15">
            <v>3591.44</v>
          </cell>
          <cell r="J15">
            <v>2080.16</v>
          </cell>
          <cell r="K15">
            <v>2173.8200000000002</v>
          </cell>
          <cell r="L15">
            <v>2420.17</v>
          </cell>
          <cell r="M15">
            <v>2701.57</v>
          </cell>
          <cell r="N15">
            <v>3672</v>
          </cell>
          <cell r="O15">
            <v>3799.23</v>
          </cell>
          <cell r="Z15">
            <v>6578.74</v>
          </cell>
          <cell r="AA15">
            <v>3589.12</v>
          </cell>
          <cell r="AB15">
            <v>5423.26</v>
          </cell>
          <cell r="AC15">
            <v>7541.36</v>
          </cell>
          <cell r="AD15">
            <v>7825.65</v>
          </cell>
          <cell r="AE15">
            <v>9261.93</v>
          </cell>
          <cell r="AH15">
            <v>7489.3389999999999</v>
          </cell>
          <cell r="AI15">
            <v>5079.0309999999999</v>
          </cell>
          <cell r="AJ15">
            <v>5696.0429999999997</v>
          </cell>
          <cell r="AK15">
            <v>7889.3559999999998</v>
          </cell>
          <cell r="AL15">
            <v>13025.698</v>
          </cell>
          <cell r="AM15">
            <v>14534.947</v>
          </cell>
        </row>
        <row r="16">
          <cell r="B16">
            <v>3786.89</v>
          </cell>
          <cell r="C16">
            <v>3978.05</v>
          </cell>
          <cell r="D16">
            <v>5417.9</v>
          </cell>
          <cell r="E16">
            <v>6347.48</v>
          </cell>
          <cell r="F16">
            <v>6771.26</v>
          </cell>
          <cell r="G16">
            <v>7256.69</v>
          </cell>
          <cell r="R16">
            <v>1138.8499999999999</v>
          </cell>
          <cell r="S16">
            <v>963.28</v>
          </cell>
          <cell r="T16">
            <v>997.32</v>
          </cell>
          <cell r="U16">
            <v>2174.11</v>
          </cell>
          <cell r="V16">
            <v>2556</v>
          </cell>
          <cell r="W16">
            <v>3365.48</v>
          </cell>
          <cell r="AH16">
            <v>26634.881000000001</v>
          </cell>
          <cell r="AI16">
            <v>25538.471000000001</v>
          </cell>
          <cell r="AJ16">
            <v>26883.164000000001</v>
          </cell>
          <cell r="AK16">
            <v>24557.055</v>
          </cell>
          <cell r="AL16">
            <v>30440.1</v>
          </cell>
          <cell r="AM16">
            <v>35205.964999999997</v>
          </cell>
        </row>
        <row r="17">
          <cell r="R17">
            <v>3369.87</v>
          </cell>
          <cell r="S17">
            <v>3625.47</v>
          </cell>
          <cell r="T17">
            <v>4000.36</v>
          </cell>
          <cell r="U17">
            <v>4560.1499999999996</v>
          </cell>
          <cell r="V17">
            <v>5596.43</v>
          </cell>
          <cell r="W17">
            <v>6154.1</v>
          </cell>
          <cell r="Z17">
            <v>9586.7000000000007</v>
          </cell>
          <cell r="AA17">
            <v>10643.34</v>
          </cell>
          <cell r="AB17">
            <v>11986.15</v>
          </cell>
          <cell r="AC17">
            <v>12888.89</v>
          </cell>
          <cell r="AD17">
            <v>15603.44</v>
          </cell>
          <cell r="AE17">
            <v>16448.150000000001</v>
          </cell>
          <cell r="AP17">
            <v>12105</v>
          </cell>
          <cell r="AQ17">
            <v>16211</v>
          </cell>
          <cell r="AR17">
            <v>9123</v>
          </cell>
          <cell r="AS17">
            <v>12626</v>
          </cell>
          <cell r="AT17">
            <v>13430</v>
          </cell>
          <cell r="AU17">
            <v>10054</v>
          </cell>
        </row>
        <row r="18">
          <cell r="Z18">
            <v>686.69</v>
          </cell>
          <cell r="AA18">
            <v>298.11</v>
          </cell>
          <cell r="AB18">
            <v>361.43</v>
          </cell>
          <cell r="AC18">
            <v>292.16000000000003</v>
          </cell>
          <cell r="AD18">
            <v>262.67</v>
          </cell>
          <cell r="AE18">
            <v>329.19</v>
          </cell>
          <cell r="AP18">
            <v>9728</v>
          </cell>
          <cell r="AQ18">
            <v>9199</v>
          </cell>
          <cell r="AR18">
            <v>10264</v>
          </cell>
          <cell r="AS18">
            <v>10118</v>
          </cell>
          <cell r="AT18">
            <v>17690</v>
          </cell>
          <cell r="AU18">
            <v>17981</v>
          </cell>
        </row>
        <row r="19">
          <cell r="B19">
            <v>3751.8699999999953</v>
          </cell>
          <cell r="C19">
            <v>16168.670000000042</v>
          </cell>
          <cell r="D19">
            <v>14028.669999999984</v>
          </cell>
          <cell r="E19">
            <v>3576.660000000149</v>
          </cell>
          <cell r="F19">
            <v>35396.760000000009</v>
          </cell>
          <cell r="G19">
            <v>17237.969999999972</v>
          </cell>
          <cell r="J19">
            <v>8182.3399999999965</v>
          </cell>
          <cell r="K19">
            <v>6010.8700000000099</v>
          </cell>
          <cell r="L19">
            <v>13701.179999999993</v>
          </cell>
          <cell r="M19">
            <v>5747.7799999999988</v>
          </cell>
          <cell r="N19">
            <v>10912.929999999993</v>
          </cell>
          <cell r="O19">
            <v>12152.24000000002</v>
          </cell>
          <cell r="AH19">
            <v>27057.779000000097</v>
          </cell>
          <cell r="AI19">
            <v>28171.517000000051</v>
          </cell>
          <cell r="AJ19">
            <v>54732.08600000001</v>
          </cell>
          <cell r="AK19">
            <v>51154.642999999924</v>
          </cell>
          <cell r="AL19">
            <v>70947.928000000073</v>
          </cell>
          <cell r="AM19">
            <v>51513.376000000047</v>
          </cell>
        </row>
        <row r="20">
          <cell r="R20">
            <v>2835.3900000000722</v>
          </cell>
          <cell r="S20">
            <v>14058.339999999938</v>
          </cell>
          <cell r="T20">
            <v>7685.570000000007</v>
          </cell>
          <cell r="U20">
            <v>-12475.430000000051</v>
          </cell>
          <cell r="V20">
            <v>18692.289999999979</v>
          </cell>
          <cell r="W20">
            <v>9119.4700000000303</v>
          </cell>
        </row>
        <row r="21">
          <cell r="AP21">
            <v>44561</v>
          </cell>
          <cell r="AQ21">
            <v>22908</v>
          </cell>
          <cell r="AR21">
            <v>45396</v>
          </cell>
          <cell r="AS21">
            <v>54133</v>
          </cell>
          <cell r="AT21">
            <v>55273</v>
          </cell>
          <cell r="AU21">
            <v>46128</v>
          </cell>
        </row>
        <row r="23">
          <cell r="Z23">
            <v>2761.5399999999208</v>
          </cell>
          <cell r="AA23">
            <v>29553.999999999942</v>
          </cell>
          <cell r="AB23">
            <v>33053.059999999939</v>
          </cell>
          <cell r="AC23">
            <v>14175.499999999884</v>
          </cell>
          <cell r="AD23">
            <v>55741.860000000102</v>
          </cell>
          <cell r="AE23">
            <v>13465</v>
          </cell>
        </row>
        <row r="27">
          <cell r="B27">
            <v>2683.1899999999955</v>
          </cell>
          <cell r="C27">
            <v>19041.670000000042</v>
          </cell>
          <cell r="D27">
            <v>11363.349999999984</v>
          </cell>
          <cell r="E27">
            <v>1870.1000000001491</v>
          </cell>
          <cell r="F27">
            <v>25263.330000000009</v>
          </cell>
          <cell r="G27">
            <v>11447.88999999997</v>
          </cell>
          <cell r="J27">
            <v>9514.6399999999976</v>
          </cell>
          <cell r="K27">
            <v>6142.8200000000097</v>
          </cell>
          <cell r="L27">
            <v>12303.629999999994</v>
          </cell>
          <cell r="M27">
            <v>5595.3499999999985</v>
          </cell>
          <cell r="N27">
            <v>9902.8099999999922</v>
          </cell>
          <cell r="O27">
            <v>12462.870000000021</v>
          </cell>
        </row>
        <row r="28">
          <cell r="AP28">
            <v>30903</v>
          </cell>
          <cell r="AQ28">
            <v>31944</v>
          </cell>
          <cell r="AR28">
            <v>37937</v>
          </cell>
          <cell r="AS28">
            <v>43017</v>
          </cell>
          <cell r="AT28">
            <v>42042</v>
          </cell>
          <cell r="AU28">
            <v>35262</v>
          </cell>
        </row>
        <row r="29">
          <cell r="AH29">
            <v>11456.259000000095</v>
          </cell>
          <cell r="AI29">
            <v>21343.446000000047</v>
          </cell>
          <cell r="AJ29">
            <v>49294.057000000015</v>
          </cell>
          <cell r="AK29">
            <v>32777.60499999993</v>
          </cell>
          <cell r="AL29">
            <v>55273.14900000007</v>
          </cell>
          <cell r="AM29">
            <v>38328.610000000044</v>
          </cell>
        </row>
        <row r="30">
          <cell r="R30">
            <v>2115.7100000000719</v>
          </cell>
          <cell r="S30">
            <v>10662.889999999938</v>
          </cell>
          <cell r="T30">
            <v>10993.010000000006</v>
          </cell>
          <cell r="U30">
            <v>-6980.2300000000505</v>
          </cell>
          <cell r="V30">
            <v>16014.609999999979</v>
          </cell>
          <cell r="W30">
            <v>6735.7000000000298</v>
          </cell>
        </row>
        <row r="32">
          <cell r="Z32">
            <v>-1876.3200000000779</v>
          </cell>
          <cell r="AA32">
            <v>21762.219999999943</v>
          </cell>
          <cell r="AB32">
            <v>25726.599999999937</v>
          </cell>
          <cell r="AC32">
            <v>11704.259999999884</v>
          </cell>
          <cell r="AD32">
            <v>43161.150000000103</v>
          </cell>
          <cell r="AE32">
            <v>13788.830000000002</v>
          </cell>
        </row>
      </sheetData>
      <sheetData sheetId="3">
        <row r="6">
          <cell r="B6">
            <v>-9460.25</v>
          </cell>
          <cell r="C6">
            <v>-6063.48</v>
          </cell>
          <cell r="D6">
            <v>-5355.16</v>
          </cell>
          <cell r="E6">
            <v>-7376.83</v>
          </cell>
          <cell r="F6">
            <v>-8838.6200000000008</v>
          </cell>
          <cell r="G6">
            <v>-13342.56</v>
          </cell>
          <cell r="J6">
            <v>-9262.94</v>
          </cell>
          <cell r="K6">
            <v>-5697.21</v>
          </cell>
          <cell r="L6">
            <v>-6971.28</v>
          </cell>
          <cell r="M6">
            <v>-8830.56</v>
          </cell>
          <cell r="N6">
            <v>-12501.17</v>
          </cell>
          <cell r="O6">
            <v>-7929.71</v>
          </cell>
          <cell r="R6">
            <v>-13856.51</v>
          </cell>
          <cell r="S6">
            <v>-11666</v>
          </cell>
          <cell r="T6">
            <v>-12344.76</v>
          </cell>
          <cell r="U6">
            <v>-9446.7099999999991</v>
          </cell>
          <cell r="V6">
            <v>-10071.24</v>
          </cell>
          <cell r="W6">
            <v>-9579.33</v>
          </cell>
          <cell r="Z6">
            <v>-12337.43</v>
          </cell>
          <cell r="AA6">
            <v>-6566.16</v>
          </cell>
          <cell r="AB6">
            <v>-4944.71</v>
          </cell>
          <cell r="AC6">
            <v>-5609.49</v>
          </cell>
          <cell r="AD6">
            <v>-5005.8500000000004</v>
          </cell>
          <cell r="AE6">
            <v>-5105.4799999999996</v>
          </cell>
          <cell r="AH6">
            <v>-42258.428999999996</v>
          </cell>
          <cell r="AI6">
            <v>-32335.248</v>
          </cell>
          <cell r="AJ6">
            <v>-33457.290999999997</v>
          </cell>
          <cell r="AK6">
            <v>-36792.453000000001</v>
          </cell>
          <cell r="AL6">
            <v>-38132.841</v>
          </cell>
          <cell r="AM6">
            <v>-41030.802000000003</v>
          </cell>
          <cell r="AP6">
            <v>-21183</v>
          </cell>
          <cell r="AQ6">
            <v>-21755</v>
          </cell>
          <cell r="AR6">
            <v>-18154</v>
          </cell>
          <cell r="AS6">
            <v>-28573</v>
          </cell>
          <cell r="AT6">
            <v>-34258</v>
          </cell>
          <cell r="AU6">
            <v>-37304</v>
          </cell>
        </row>
      </sheetData>
      <sheetData sheetId="4">
        <row r="7">
          <cell r="C7">
            <v>1.3245488851515519</v>
          </cell>
          <cell r="D7">
            <v>0.87155522874767433</v>
          </cell>
          <cell r="E7">
            <v>1.0775842770012189</v>
          </cell>
          <cell r="F7">
            <v>1.1295206339929704</v>
          </cell>
          <cell r="G7">
            <v>0.60137322468361587</v>
          </cell>
          <cell r="H7">
            <v>0.62740661318528146</v>
          </cell>
          <cell r="L7">
            <v>0.12840771475560167</v>
          </cell>
          <cell r="M7">
            <v>0.12688291235163476</v>
          </cell>
          <cell r="N7">
            <v>0.12176757619026442</v>
          </cell>
          <cell r="O7">
            <v>0.24997166202456328</v>
          </cell>
          <cell r="P7">
            <v>0.24104944596712408</v>
          </cell>
          <cell r="Q7">
            <v>0.19131016155704428</v>
          </cell>
          <cell r="U7">
            <v>1.2713028338361207</v>
          </cell>
          <cell r="V7">
            <v>1.1206172864793496</v>
          </cell>
          <cell r="W7">
            <v>1.086332283601112</v>
          </cell>
          <cell r="X7">
            <v>2.0781619470066115</v>
          </cell>
          <cell r="Y7">
            <v>1.3386895304589488</v>
          </cell>
          <cell r="Z7">
            <v>1.2988523254502116</v>
          </cell>
          <cell r="AD7">
            <v>1.3084302561704497</v>
          </cell>
          <cell r="AE7">
            <v>0.96189231495136385</v>
          </cell>
          <cell r="AF7">
            <v>0.91432815066458029</v>
          </cell>
          <cell r="AG7">
            <v>0.97835747453781519</v>
          </cell>
          <cell r="AH7">
            <v>0.65609914341280107</v>
          </cell>
          <cell r="AI7">
            <v>0.74629055745996353</v>
          </cell>
          <cell r="AM7">
            <v>0.46725815773818252</v>
          </cell>
          <cell r="AN7">
            <v>0.45268395309504261</v>
          </cell>
          <cell r="AO7">
            <v>0.3803925687600001</v>
          </cell>
          <cell r="AP7">
            <v>0.42882455391990371</v>
          </cell>
          <cell r="AQ7">
            <v>0.43847317094469374</v>
          </cell>
          <cell r="AR7">
            <v>0.41031933408857513</v>
          </cell>
          <cell r="AV7">
            <v>0.65002875656608261</v>
          </cell>
          <cell r="AW7">
            <v>0.40833918180419532</v>
          </cell>
          <cell r="AX7">
            <v>0.41262324320770605</v>
          </cell>
          <cell r="AY7">
            <v>0.45048153389522722</v>
          </cell>
          <cell r="AZ7">
            <v>0.41116607389690463</v>
          </cell>
          <cell r="BA7">
            <v>0.36607946793055257</v>
          </cell>
        </row>
        <row r="11">
          <cell r="C11">
            <v>2.9397443172272924E-2</v>
          </cell>
          <cell r="D11">
            <v>7.0132000833547301E-2</v>
          </cell>
          <cell r="E11">
            <v>4.9776550766915464E-2</v>
          </cell>
          <cell r="F11">
            <v>2.453203065560149E-2</v>
          </cell>
          <cell r="G11">
            <v>9.0955271391266482E-2</v>
          </cell>
          <cell r="H11">
            <v>5.5814740078640297E-2</v>
          </cell>
          <cell r="L11">
            <v>0.14263730816242459</v>
          </cell>
          <cell r="M11">
            <v>0.14285533727104027</v>
          </cell>
          <cell r="N11">
            <v>0.17357269687079951</v>
          </cell>
          <cell r="O11">
            <v>5.9889404803554251E-2</v>
          </cell>
          <cell r="P11">
            <v>0.11377913548962189</v>
          </cell>
          <cell r="Q11">
            <v>0.11632466804951229</v>
          </cell>
          <cell r="U11">
            <v>2.5374946009080978E-2</v>
          </cell>
          <cell r="V11">
            <v>6.8248937337295354E-2</v>
          </cell>
          <cell r="W11">
            <v>3.3681354746105424E-2</v>
          </cell>
          <cell r="X11">
            <v>-1.226838735552014E-2</v>
          </cell>
          <cell r="Y11">
            <v>5.7869207888281489E-2</v>
          </cell>
          <cell r="Z11">
            <v>3.9758087861021751E-2</v>
          </cell>
          <cell r="AD11">
            <v>3.3888930625389189E-2</v>
          </cell>
          <cell r="AE11">
            <v>8.4173205611571128E-2</v>
          </cell>
          <cell r="AF11">
            <v>6.869830062205165E-2</v>
          </cell>
          <cell r="AG11">
            <v>3.6519031437192713E-2</v>
          </cell>
          <cell r="AH11">
            <v>8.9747997458427348E-2</v>
          </cell>
          <cell r="AI11">
            <v>4.5782069428571506E-2</v>
          </cell>
          <cell r="AM11">
            <v>0.14095997430382268</v>
          </cell>
          <cell r="AN11">
            <v>0.15893420216723</v>
          </cell>
          <cell r="AO11">
            <v>0.16191838829516705</v>
          </cell>
          <cell r="AP11">
            <v>0.12065327678196956</v>
          </cell>
          <cell r="AQ11">
            <v>0.1719986084877268</v>
          </cell>
          <cell r="AR11">
            <v>0.14986073613452136</v>
          </cell>
          <cell r="AV11">
            <v>0.18169180205844765</v>
          </cell>
          <cell r="AW11">
            <v>0.1726339558464666</v>
          </cell>
          <cell r="AX11">
            <v>0.14149764763955811</v>
          </cell>
          <cell r="AY11">
            <v>0.1390130555856931</v>
          </cell>
          <cell r="AZ11">
            <v>0.15425393254414627</v>
          </cell>
          <cell r="BA11">
            <v>0.13511548846208501</v>
          </cell>
        </row>
        <row r="12">
          <cell r="C12">
            <v>8.1145981990254617E-3</v>
          </cell>
          <cell r="D12">
            <v>6.2185119511179138E-2</v>
          </cell>
          <cell r="E12">
            <v>2.6119530950610356E-2</v>
          </cell>
          <cell r="F12">
            <v>3.4912622485882313E-3</v>
          </cell>
          <cell r="G12">
            <v>4.9611103944479984E-2</v>
          </cell>
          <cell r="H12">
            <v>2.2750079391544734E-2</v>
          </cell>
          <cell r="L12">
            <v>0.12837821883627318</v>
          </cell>
          <cell r="M12">
            <v>0.10491855806284248</v>
          </cell>
          <cell r="N12">
            <v>0.13082556240787088</v>
          </cell>
          <cell r="O12">
            <v>3.8010984793160479E-2</v>
          </cell>
          <cell r="P12">
            <v>7.3622816894392692E-2</v>
          </cell>
          <cell r="Q12">
            <v>8.6813538623058822E-2</v>
          </cell>
          <cell r="U12">
            <v>7.3100793725684966E-3</v>
          </cell>
          <cell r="V12">
            <v>3.9026513597803812E-2</v>
          </cell>
          <cell r="W12">
            <v>2.919279124337093E-2</v>
          </cell>
          <cell r="X12">
            <v>-1.4916152190341377E-2</v>
          </cell>
          <cell r="Y12">
            <v>3.4522721613030466E-2</v>
          </cell>
          <cell r="Z12">
            <v>1.4367607383717781E-2</v>
          </cell>
          <cell r="AD12">
            <v>-3.2419469844773129E-3</v>
          </cell>
          <cell r="AE12">
            <v>4.1551858589620877E-2</v>
          </cell>
          <cell r="AF12">
            <v>3.4774460456267066E-2</v>
          </cell>
          <cell r="AG12">
            <v>1.2247960949210835E-2</v>
          </cell>
          <cell r="AH12">
            <v>4.8765582891763033E-2</v>
          </cell>
          <cell r="AI12">
            <v>1.5980074366613271E-2</v>
          </cell>
          <cell r="AM12">
            <v>2.6394593191666524E-2</v>
          </cell>
          <cell r="AN12">
            <v>5.7701312578618817E-2</v>
          </cell>
          <cell r="AO12">
            <v>9.1415600293195745E-2</v>
          </cell>
          <cell r="AP12">
            <v>4.73047319273638E-2</v>
          </cell>
          <cell r="AQ12">
            <v>8.3092344311335456E-2</v>
          </cell>
          <cell r="AR12">
            <v>5.6728004542513609E-2</v>
          </cell>
          <cell r="AV12">
            <v>8.4568210365578336E-2</v>
          </cell>
          <cell r="AW12">
            <v>0.11413177460903864</v>
          </cell>
          <cell r="AX12">
            <v>8.2861186707962206E-2</v>
          </cell>
          <cell r="AY12">
            <v>7.778561354019746E-2</v>
          </cell>
          <cell r="AZ12">
            <v>7.5065616797900261E-2</v>
          </cell>
          <cell r="BA12">
            <v>6.4242848241711392E-2</v>
          </cell>
        </row>
        <row r="14">
          <cell r="C14">
            <v>8.0783985731481239E-2</v>
          </cell>
          <cell r="D14">
            <v>0.35555301196450534</v>
          </cell>
          <cell r="E14">
            <v>0.21892330734128568</v>
          </cell>
          <cell r="F14">
            <v>3.4940537001734398E-2</v>
          </cell>
          <cell r="G14">
            <v>0.33401590874925691</v>
          </cell>
          <cell r="H14">
            <v>0.14066498017794107</v>
          </cell>
          <cell r="L14">
            <v>0.19277852485518771</v>
          </cell>
          <cell r="M14">
            <v>0.11529353603418048</v>
          </cell>
          <cell r="N14">
            <v>0.19133103161069051</v>
          </cell>
          <cell r="O14">
            <v>8.594086225470754E-2</v>
          </cell>
          <cell r="P14">
            <v>0.1282817532253705</v>
          </cell>
          <cell r="Q14">
            <v>0.14620835077418642</v>
          </cell>
          <cell r="U14">
            <v>6.82914028189259E-2</v>
          </cell>
          <cell r="V14">
            <v>0.28000654396985619</v>
          </cell>
          <cell r="W14">
            <v>0.26550464312687055</v>
          </cell>
          <cell r="X14">
            <v>-0.21635221724270512</v>
          </cell>
          <cell r="Y14">
            <v>0.34130752844920226</v>
          </cell>
          <cell r="Z14">
            <v>0.13169994147929379</v>
          </cell>
          <cell r="AD14">
            <v>-1.9489337639646245E-2</v>
          </cell>
          <cell r="AE14">
            <v>0.19290355743999432</v>
          </cell>
          <cell r="AF14">
            <v>0.19038879451240698</v>
          </cell>
          <cell r="AG14">
            <v>8.172547525617814E-2</v>
          </cell>
          <cell r="AH14">
            <v>0.22938173066774403</v>
          </cell>
          <cell r="AI14">
            <v>7.2183507616241802E-2</v>
          </cell>
          <cell r="AM14">
            <v>5.1255969243678069E-2</v>
          </cell>
          <cell r="AN14">
            <v>8.7979095584728217E-2</v>
          </cell>
          <cell r="AO14">
            <v>0.17398239607534802</v>
          </cell>
          <cell r="AP14">
            <v>0.10880350929238386</v>
          </cell>
          <cell r="AQ14">
            <v>0.15369694447805532</v>
          </cell>
          <cell r="AR14">
            <v>0.10241852851024678</v>
          </cell>
          <cell r="AV14">
            <v>7.899236992446608E-2</v>
          </cell>
          <cell r="AW14">
            <v>6.7323802960274653E-2</v>
          </cell>
          <cell r="AX14">
            <v>8.0455626082917842E-2</v>
          </cell>
          <cell r="AY14">
            <v>8.9788225275206954E-2</v>
          </cell>
          <cell r="AZ14">
            <v>8.1619736903412177E-2</v>
          </cell>
          <cell r="BA14">
            <v>6.4928823558656354E-2</v>
          </cell>
        </row>
        <row r="19">
          <cell r="C19">
            <v>19.918235668095257</v>
          </cell>
          <cell r="D19">
            <v>7.2562914783087979</v>
          </cell>
          <cell r="E19">
            <v>6.9765097633936746</v>
          </cell>
          <cell r="F19">
            <v>20.927611482562995</v>
          </cell>
          <cell r="G19">
            <v>7.5002388976293961</v>
          </cell>
          <cell r="H19">
            <v>67.682340374776203</v>
          </cell>
          <cell r="L19">
            <v>11.581607614478257</v>
          </cell>
          <cell r="M19">
            <v>12.262019426204796</v>
          </cell>
          <cell r="N19">
            <v>13.68588070324183</v>
          </cell>
          <cell r="O19">
            <v>36.254757013724031</v>
          </cell>
          <cell r="P19">
            <v>122.08939024956013</v>
          </cell>
          <cell r="Q19">
            <v>7.9185993199780009</v>
          </cell>
          <cell r="U19">
            <v>18.584460200078517</v>
          </cell>
          <cell r="V19">
            <v>7.4810074923218828</v>
          </cell>
          <cell r="W19">
            <v>11.199827331322801</v>
          </cell>
          <cell r="X19">
            <v>-28.536892305923452</v>
          </cell>
          <cell r="Y19">
            <v>5.9541913642608355</v>
          </cell>
          <cell r="Z19">
            <v>8.7755540116046529</v>
          </cell>
          <cell r="AD19">
            <v>17.405887832312942</v>
          </cell>
          <cell r="AE19">
            <v>7.3629746190106964</v>
          </cell>
          <cell r="AF19">
            <v>6.6746827771973489</v>
          </cell>
          <cell r="AG19">
            <v>10.200564159859463</v>
          </cell>
          <cell r="AH19">
            <v>4.2685563115466669</v>
          </cell>
          <cell r="AI19">
            <v>9.0812114741014085</v>
          </cell>
          <cell r="AM19">
            <v>6.6009668791632548</v>
          </cell>
          <cell r="AN19">
            <v>6.9741596470592508</v>
          </cell>
          <cell r="AO19">
            <v>4.6608499887866737</v>
          </cell>
          <cell r="AP19">
            <v>5.1524381259595176</v>
          </cell>
          <cell r="AQ19">
            <v>4.0008111963769073</v>
          </cell>
          <cell r="AR19">
            <v>4.4759116473170968</v>
          </cell>
          <cell r="AV19">
            <v>31.572822845437841</v>
          </cell>
          <cell r="AW19">
            <v>42.191460739269012</v>
          </cell>
          <cell r="AX19">
            <v>31.564330148341387</v>
          </cell>
          <cell r="AY19">
            <v>26.869648919702904</v>
          </cell>
          <cell r="AZ19">
            <v>23.06867454539141</v>
          </cell>
          <cell r="BA19">
            <v>26.519585237921873</v>
          </cell>
        </row>
        <row r="20">
          <cell r="C20">
            <v>25.639508862585249</v>
          </cell>
          <cell r="D20">
            <v>4.9829192686355652</v>
          </cell>
          <cell r="E20">
            <v>7.341213122890708</v>
          </cell>
          <cell r="F20">
            <v>40.065227180361489</v>
          </cell>
          <cell r="G20">
            <v>5.162243469091365</v>
          </cell>
          <cell r="H20">
            <v>13.036862862938095</v>
          </cell>
          <cell r="L20">
            <v>3.7268258641419969</v>
          </cell>
          <cell r="M20">
            <v>9.9041181802494478</v>
          </cell>
          <cell r="N20">
            <v>5.7768816845109976</v>
          </cell>
          <cell r="O20">
            <v>12.391399751579442</v>
          </cell>
          <cell r="P20">
            <v>13.35225646054</v>
          </cell>
          <cell r="Q20">
            <v>9.4145491848988065</v>
          </cell>
          <cell r="U20">
            <v>12.350306251801575</v>
          </cell>
          <cell r="V20">
            <v>3.160936324017241</v>
          </cell>
          <cell r="W20">
            <v>3.8247743320528205</v>
          </cell>
          <cell r="X20">
            <v>-4.572534859166498</v>
          </cell>
          <cell r="Y20">
            <v>4.2362180976620776</v>
          </cell>
          <cell r="Z20">
            <v>14.469904021111326</v>
          </cell>
          <cell r="AD20">
            <v>-39.88795727807458</v>
          </cell>
          <cell r="AE20">
            <v>4.0354334971340347</v>
          </cell>
          <cell r="AF20">
            <v>4.645310850248392</v>
          </cell>
          <cell r="AG20">
            <v>9.3745383988394888</v>
          </cell>
          <cell r="AH20">
            <v>5.5668789779697585</v>
          </cell>
          <cell r="AI20">
            <v>15.904384722996801</v>
          </cell>
          <cell r="AM20">
            <v>8.488422302603249</v>
          </cell>
          <cell r="AN20">
            <v>6.513104491186648</v>
          </cell>
          <cell r="AO20">
            <v>4.361519385592465</v>
          </cell>
          <cell r="AP20">
            <v>5.7801360654630018</v>
          </cell>
          <cell r="AQ20">
            <v>6.047385496346509</v>
          </cell>
          <cell r="AR20">
            <v>7.9885869829351925</v>
          </cell>
          <cell r="AV20">
            <v>23.369955524706334</v>
          </cell>
          <cell r="AW20">
            <v>42.826987378537432</v>
          </cell>
          <cell r="AX20">
            <v>46.652406237182689</v>
          </cell>
          <cell r="AY20">
            <v>36.829740271985493</v>
          </cell>
          <cell r="AZ20">
            <v>47.238410606060604</v>
          </cell>
          <cell r="BA20">
            <v>52.882533840961941</v>
          </cell>
        </row>
      </sheetData>
      <sheetData sheetId="5">
        <row r="7">
          <cell r="B7">
            <v>0.15854646</v>
          </cell>
          <cell r="C7">
            <v>0.18783329999999998</v>
          </cell>
          <cell r="D7">
            <v>0.18137915999999998</v>
          </cell>
          <cell r="E7">
            <v>0.15927246</v>
          </cell>
          <cell r="F7">
            <v>0.15045881999999999</v>
          </cell>
          <cell r="G7">
            <v>0.13789901999999998</v>
          </cell>
        </row>
        <row r="19">
          <cell r="B19">
            <v>0.04</v>
          </cell>
        </row>
      </sheetData>
      <sheetData sheetId="6">
        <row r="5">
          <cell r="C5">
            <v>7.2489430328699145E-2</v>
          </cell>
          <cell r="D5">
            <v>539679.04081814806</v>
          </cell>
          <cell r="E5">
            <v>578800.06704739435</v>
          </cell>
          <cell r="F5">
            <v>620756.95418187289</v>
          </cell>
          <cell r="G5">
            <v>665755.2721630953</v>
          </cell>
          <cell r="H5">
            <v>714015.49258052616</v>
          </cell>
          <cell r="L5">
            <v>0.11649024226103366</v>
          </cell>
          <cell r="M5">
            <v>160282.2896781663</v>
          </cell>
          <cell r="N5">
            <v>178953.61243292908</v>
          </cell>
          <cell r="O5">
            <v>199799.96209872811</v>
          </cell>
          <cell r="P5">
            <v>223074.70808735429</v>
          </cell>
          <cell r="Q5">
            <v>249060.73487475954</v>
          </cell>
          <cell r="U5">
            <v>8.3704074760561298E-2</v>
          </cell>
          <cell r="V5">
            <v>508052.96535573312</v>
          </cell>
          <cell r="W5">
            <v>550579.06875019427</v>
          </cell>
          <cell r="X5">
            <v>596664.78028246074</v>
          </cell>
          <cell r="Y5">
            <v>646608.05365821766</v>
          </cell>
          <cell r="Z5">
            <v>700731.7825224062</v>
          </cell>
          <cell r="AD5">
            <v>6.8828281888188014E-2</v>
          </cell>
          <cell r="AE5">
            <v>922266.76422356174</v>
          </cell>
          <cell r="AF5">
            <v>985744.80104764807</v>
          </cell>
          <cell r="AG5">
            <v>1053591.9220839713</v>
          </cell>
          <cell r="AH5">
            <v>1126108.8438922847</v>
          </cell>
          <cell r="AI5">
            <v>1203616.9808364843</v>
          </cell>
          <cell r="AM5">
            <v>7.6546893241028924E-2</v>
          </cell>
          <cell r="AN5">
            <v>727375.24174367415</v>
          </cell>
          <cell r="AO5">
            <v>783053.55671959475</v>
          </cell>
          <cell r="AP5">
            <v>842993.87372781755</v>
          </cell>
          <cell r="AQ5">
            <v>907522.43578290218</v>
          </cell>
          <cell r="AR5">
            <v>976990.45878861449</v>
          </cell>
          <cell r="AV5">
            <v>7.015850821333447E-2</v>
          </cell>
          <cell r="AW5">
            <v>587395.02293918433</v>
          </cell>
          <cell r="AX5">
            <v>628605.78148053493</v>
          </cell>
          <cell r="AY5">
            <v>672707.82536348654</v>
          </cell>
          <cell r="AZ5">
            <v>719904.00285442511</v>
          </cell>
          <cell r="BA5">
            <v>770411.39375149971</v>
          </cell>
        </row>
        <row r="6">
          <cell r="D6">
            <v>22006.599226866845</v>
          </cell>
          <cell r="E6">
            <v>23601.845068294413</v>
          </cell>
          <cell r="F6">
            <v>25312.729372001293</v>
          </cell>
          <cell r="G6">
            <v>27147.634704242198</v>
          </cell>
          <cell r="H6">
            <v>29115.551278724342</v>
          </cell>
          <cell r="M6">
            <v>14561.534631052691</v>
          </cell>
          <cell r="N6">
            <v>16257.811327916452</v>
          </cell>
          <cell r="O6">
            <v>18151.687708139616</v>
          </cell>
          <cell r="P6">
            <v>20266.182206707424</v>
          </cell>
          <cell r="Q6">
            <v>22626.994681673023</v>
          </cell>
          <cell r="V6">
            <v>11097.577952216687</v>
          </cell>
          <cell r="W6">
            <v>12026.490446790191</v>
          </cell>
          <cell r="X6">
            <v>13033.156702255492</v>
          </cell>
          <cell r="Y6">
            <v>14124.085025227196</v>
          </cell>
          <cell r="Z6">
            <v>15306.328494103338</v>
          </cell>
          <cell r="AE6">
            <v>38338.450290057721</v>
          </cell>
          <cell r="AF6">
            <v>40977.219953778098</v>
          </cell>
          <cell r="AG6">
            <v>43797.611599751013</v>
          </cell>
          <cell r="AH6">
            <v>46812.125956968048</v>
          </cell>
          <cell r="AI6">
            <v>50034.124158119608</v>
          </cell>
          <cell r="AN6">
            <v>72651.217347836282</v>
          </cell>
          <cell r="AO6">
            <v>78212.442325991899</v>
          </cell>
          <cell r="AP6">
            <v>84199.361798839731</v>
          </cell>
          <cell r="AQ6">
            <v>90644.561357418279</v>
          </cell>
          <cell r="AR6">
            <v>97583.120918524466</v>
          </cell>
          <cell r="AW6">
            <v>72640.032990952372</v>
          </cell>
          <cell r="AX6">
            <v>77736.349342164991</v>
          </cell>
          <cell r="AY6">
            <v>83190.2156459619</v>
          </cell>
          <cell r="AZ6">
            <v>89026.717073628199</v>
          </cell>
          <cell r="BA6">
            <v>95272.698734644553</v>
          </cell>
        </row>
        <row r="8">
          <cell r="D8">
            <v>15461.807626979391</v>
          </cell>
          <cell r="E8">
            <v>16582.625253711063</v>
          </cell>
          <cell r="F8">
            <v>17784.69031170688</v>
          </cell>
          <cell r="G8">
            <v>19073.892380974845</v>
          </cell>
          <cell r="H8">
            <v>20456.547973822628</v>
          </cell>
          <cell r="M8">
            <v>11275.101758646215</v>
          </cell>
          <cell r="N8">
            <v>12588.541094028718</v>
          </cell>
          <cell r="O8">
            <v>14054.983295785103</v>
          </cell>
          <cell r="P8">
            <v>15692.251704885888</v>
          </cell>
          <cell r="Q8">
            <v>17520.245907609162</v>
          </cell>
          <cell r="V8">
            <v>8305.6613880125096</v>
          </cell>
          <cell r="W8">
            <v>9000.8790897706167</v>
          </cell>
          <cell r="X8">
            <v>9754.2893460115483</v>
          </cell>
          <cell r="Y8">
            <v>10570.763110666245</v>
          </cell>
          <cell r="Z8">
            <v>11455.579056357637</v>
          </cell>
          <cell r="AE8">
            <v>30980.978261316239</v>
          </cell>
          <cell r="AF8">
            <v>33113.345766257939</v>
          </cell>
          <cell r="AG8">
            <v>35392.480462918975</v>
          </cell>
          <cell r="AH8">
            <v>37828.484084942946</v>
          </cell>
          <cell r="AI8">
            <v>40432.153650944238</v>
          </cell>
          <cell r="AN8">
            <v>53143.755484128298</v>
          </cell>
          <cell r="AO8">
            <v>57211.744861599218</v>
          </cell>
          <cell r="AP8">
            <v>61591.126187653033</v>
          </cell>
          <cell r="AQ8">
            <v>66305.735548534052</v>
          </cell>
          <cell r="AR8">
            <v>71381.233608835581</v>
          </cell>
          <cell r="AW8">
            <v>55528.807737750663</v>
          </cell>
          <cell r="AX8">
            <v>59424.626051496314</v>
          </cell>
          <cell r="AY8">
            <v>63593.769166404541</v>
          </cell>
          <cell r="AZ8">
            <v>68055.413142782636</v>
          </cell>
          <cell r="BA8">
            <v>72830.079404722434</v>
          </cell>
        </row>
        <row r="9">
          <cell r="D9">
            <v>6912.4673064451417</v>
          </cell>
          <cell r="E9">
            <v>7413.5481236551068</v>
          </cell>
          <cell r="F9">
            <v>7950.9520038532628</v>
          </cell>
          <cell r="G9">
            <v>8527.3119851834144</v>
          </cell>
          <cell r="H9">
            <v>9145.4519732244498</v>
          </cell>
          <cell r="M9">
            <v>4141.6510363117977</v>
          </cell>
          <cell r="N9">
            <v>4624.1129688924202</v>
          </cell>
          <cell r="O9">
            <v>5162.7770088810857</v>
          </cell>
          <cell r="P9">
            <v>5764.1901533853379</v>
          </cell>
          <cell r="Q9">
            <v>6435.6620607918603</v>
          </cell>
          <cell r="V9">
            <v>5928.9905736483361</v>
          </cell>
          <cell r="W9">
            <v>6425.2712438796598</v>
          </cell>
          <cell r="X9">
            <v>6963.0926284342477</v>
          </cell>
          <cell r="Y9">
            <v>7545.9318543694208</v>
          </cell>
          <cell r="Z9">
            <v>8177.5570984456599</v>
          </cell>
          <cell r="AE9">
            <v>16106.022426617546</v>
          </cell>
          <cell r="AF9">
            <v>17214.572278294258</v>
          </cell>
          <cell r="AG9">
            <v>18399.42171164928</v>
          </cell>
          <cell r="AH9">
            <v>19665.82229579832</v>
          </cell>
          <cell r="AI9">
            <v>21019.387056336542</v>
          </cell>
          <cell r="AN9">
            <v>36457.810955815919</v>
          </cell>
          <cell r="AO9">
            <v>39248.543118852373</v>
          </cell>
          <cell r="AP9">
            <v>42252.897158837091</v>
          </cell>
          <cell r="AQ9">
            <v>45487.225166778764</v>
          </cell>
          <cell r="AR9">
            <v>48969.130935450819</v>
          </cell>
          <cell r="AW9">
            <v>18894.318497094242</v>
          </cell>
          <cell r="AX9">
            <v>20219.91569655799</v>
          </cell>
          <cell r="AY9">
            <v>21638.514818027881</v>
          </cell>
          <cell r="AZ9">
            <v>23156.640737612852</v>
          </cell>
          <cell r="BA9">
            <v>24781.276106995898</v>
          </cell>
        </row>
        <row r="10">
          <cell r="D10">
            <v>10389.195339582251</v>
          </cell>
          <cell r="E10">
            <v>11142.302191322144</v>
          </cell>
          <cell r="F10">
            <v>11950.001329721303</v>
          </cell>
          <cell r="G10">
            <v>12816.250118539998</v>
          </cell>
          <cell r="H10">
            <v>13745.292788583085</v>
          </cell>
          <cell r="M10">
            <v>11696.630537569834</v>
          </cell>
          <cell r="N10">
            <v>13059.173862529147</v>
          </cell>
          <cell r="O10">
            <v>14580.440189504126</v>
          </cell>
          <cell r="P10">
            <v>16278.919199451975</v>
          </cell>
          <cell r="Q10">
            <v>18175.254440743927</v>
          </cell>
          <cell r="V10">
            <v>10554.265065898559</v>
          </cell>
          <cell r="W10">
            <v>11437.700058017312</v>
          </cell>
          <cell r="X10">
            <v>12395.082158762469</v>
          </cell>
          <cell r="Y10">
            <v>13432.60104244282</v>
          </cell>
          <cell r="Z10">
            <v>14556.964484328249</v>
          </cell>
          <cell r="AE10">
            <v>6629.7200070948211</v>
          </cell>
          <cell r="AF10">
            <v>7086.0322445829033</v>
          </cell>
          <cell r="AG10">
            <v>7573.7516693818443</v>
          </cell>
          <cell r="AH10">
            <v>8095.0399842331917</v>
          </cell>
          <cell r="AI10">
            <v>8652.2076781641481</v>
          </cell>
          <cell r="AN10">
            <v>48250.175795482377</v>
          </cell>
          <cell r="AO10">
            <v>51943.576850960038</v>
          </cell>
          <cell r="AP10">
            <v>55919.696282727658</v>
          </cell>
          <cell r="AQ10">
            <v>60200.17530415237</v>
          </cell>
          <cell r="AR10">
            <v>64808.311696250545</v>
          </cell>
          <cell r="AW10">
            <v>35390.884478485386</v>
          </cell>
          <cell r="AX10">
            <v>37873.856137846378</v>
          </cell>
          <cell r="AY10">
            <v>40531.029384764115</v>
          </cell>
          <cell r="AZ10">
            <v>43374.625942749997</v>
          </cell>
          <cell r="BA10">
            <v>46417.724993204734</v>
          </cell>
        </row>
        <row r="22">
          <cell r="B22">
            <v>259.2361988015391</v>
          </cell>
          <cell r="K22">
            <v>34.138373153936136</v>
          </cell>
          <cell r="T22">
            <v>158.56827977282063</v>
          </cell>
          <cell r="AC22">
            <v>342.83588116962227</v>
          </cell>
          <cell r="AL22">
            <v>347.14670802703279</v>
          </cell>
        </row>
        <row r="23">
          <cell r="K23">
            <v>178.45</v>
          </cell>
          <cell r="T23">
            <v>458.05</v>
          </cell>
          <cell r="AC23">
            <v>155.30000000000001</v>
          </cell>
          <cell r="AL23">
            <v>243.39</v>
          </cell>
          <cell r="AU23">
            <v>1377.95</v>
          </cell>
        </row>
      </sheetData>
      <sheetData sheetId="7">
        <row r="16">
          <cell r="H16">
            <v>344</v>
          </cell>
        </row>
      </sheetData>
      <sheetData sheetId="8">
        <row r="7">
          <cell r="C7">
            <v>6.4562942381574451E-2</v>
          </cell>
        </row>
        <row r="8">
          <cell r="L8">
            <v>0.12318343727178789</v>
          </cell>
          <cell r="R8">
            <v>0.3</v>
          </cell>
        </row>
        <row r="10">
          <cell r="G10">
            <v>19.577900404682961</v>
          </cell>
        </row>
        <row r="14">
          <cell r="C14">
            <v>4.112892423100159E-2</v>
          </cell>
        </row>
        <row r="28">
          <cell r="C28">
            <v>6.4562942381574409E-2</v>
          </cell>
        </row>
        <row r="35">
          <cell r="C35">
            <v>6.4562942381574409E-2</v>
          </cell>
        </row>
      </sheetData>
      <sheetData sheetId="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Info"/>
      <sheetName val="Balance Sheet"/>
      <sheetName val="Income Statement"/>
      <sheetName val="Cash Flow Statement"/>
      <sheetName val="Ratio Analysis"/>
      <sheetName val="WACC &amp; Key Assumptions"/>
      <sheetName val="DCF"/>
      <sheetName val="Relative Valuation"/>
    </sheetNames>
    <sheetDataSet>
      <sheetData sheetId="0"/>
      <sheetData sheetId="1"/>
      <sheetData sheetId="2">
        <row r="7">
          <cell r="J7">
            <v>12719.880000000001</v>
          </cell>
          <cell r="K7">
            <v>13016.460000000001</v>
          </cell>
          <cell r="L7">
            <v>14866.3</v>
          </cell>
          <cell r="M7">
            <v>16401.14</v>
          </cell>
          <cell r="N7">
            <v>19690.420000000002</v>
          </cell>
          <cell r="O7">
            <v>22378.26</v>
          </cell>
          <cell r="R7">
            <v>11976.470000000001</v>
          </cell>
          <cell r="S7">
            <v>13144.12</v>
          </cell>
          <cell r="T7">
            <v>13755.69</v>
          </cell>
          <cell r="U7">
            <v>17313.03</v>
          </cell>
          <cell r="V7">
            <v>19966.579999999998</v>
          </cell>
          <cell r="W7">
            <v>21917.56</v>
          </cell>
          <cell r="AH7">
            <v>10323.923200000001</v>
          </cell>
          <cell r="AI7">
            <v>14776.2642</v>
          </cell>
          <cell r="AJ7">
            <v>16142.95</v>
          </cell>
          <cell r="AK7">
            <v>20181.939999999999</v>
          </cell>
          <cell r="AL7">
            <v>21278.01</v>
          </cell>
          <cell r="AM7">
            <v>23074.799999999999</v>
          </cell>
        </row>
        <row r="8">
          <cell r="B8">
            <v>13734.42</v>
          </cell>
          <cell r="C8">
            <v>14519.83</v>
          </cell>
          <cell r="D8">
            <v>19342.510000000002</v>
          </cell>
          <cell r="E8">
            <v>22405.39</v>
          </cell>
          <cell r="F8">
            <v>28209.980000000003</v>
          </cell>
          <cell r="G8">
            <v>32383.08</v>
          </cell>
          <cell r="Z8">
            <v>147813.25999999998</v>
          </cell>
          <cell r="AA8">
            <v>139408.38</v>
          </cell>
          <cell r="AB8">
            <v>158788.31</v>
          </cell>
          <cell r="AC8">
            <v>186269.87000000002</v>
          </cell>
          <cell r="AD8">
            <v>225270.94</v>
          </cell>
          <cell r="AE8">
            <v>259859.27000000002</v>
          </cell>
        </row>
      </sheetData>
      <sheetData sheetId="3">
        <row r="31">
          <cell r="J31">
            <v>-469.77</v>
          </cell>
          <cell r="K31">
            <v>-261.14999999999998</v>
          </cell>
          <cell r="L31">
            <v>-308.10000000000002</v>
          </cell>
          <cell r="M31">
            <v>-771.48</v>
          </cell>
          <cell r="N31">
            <v>-351.58</v>
          </cell>
          <cell r="O31">
            <v>-574.62</v>
          </cell>
        </row>
        <row r="35">
          <cell r="R35">
            <v>-206.45</v>
          </cell>
          <cell r="S35">
            <v>-180.07</v>
          </cell>
          <cell r="T35">
            <v>-143.13999999999999</v>
          </cell>
          <cell r="U35">
            <v>-178.29</v>
          </cell>
          <cell r="V35">
            <v>-237.38</v>
          </cell>
          <cell r="W35">
            <v>-182.52</v>
          </cell>
        </row>
        <row r="37">
          <cell r="AH37">
            <v>-17.539899999999999</v>
          </cell>
          <cell r="AI37">
            <v>-40.840000000000003</v>
          </cell>
          <cell r="AJ37">
            <v>-14.25</v>
          </cell>
          <cell r="AK37">
            <v>-10.130000000000001</v>
          </cell>
          <cell r="AL37">
            <v>-116.36</v>
          </cell>
          <cell r="AM37">
            <v>-431.63</v>
          </cell>
        </row>
        <row r="38">
          <cell r="Z38">
            <v>-3436.82</v>
          </cell>
          <cell r="AA38">
            <v>-1807.7</v>
          </cell>
          <cell r="AB38">
            <v>-3110.63</v>
          </cell>
          <cell r="AC38">
            <v>-4143.79</v>
          </cell>
          <cell r="AD38">
            <v>-4516.53</v>
          </cell>
          <cell r="AE38">
            <v>-4418.83</v>
          </cell>
        </row>
        <row r="41">
          <cell r="B41">
            <v>-3621.41</v>
          </cell>
          <cell r="C41">
            <v>-1953.51</v>
          </cell>
          <cell r="D41">
            <v>-3813.7</v>
          </cell>
          <cell r="E41">
            <v>-9124.7800000000007</v>
          </cell>
          <cell r="F41">
            <v>-7416.3</v>
          </cell>
          <cell r="G41">
            <v>-8048.92</v>
          </cell>
        </row>
      </sheetData>
      <sheetData sheetId="4">
        <row r="6">
          <cell r="B6">
            <v>0.56794243950600032</v>
          </cell>
          <cell r="C6">
            <v>0.73478201879774074</v>
          </cell>
          <cell r="D6">
            <v>0.60737515451717494</v>
          </cell>
          <cell r="E6">
            <v>0.55792869483637642</v>
          </cell>
          <cell r="F6">
            <v>0.61150415562152116</v>
          </cell>
          <cell r="G6">
            <v>0.61909707168064321</v>
          </cell>
          <cell r="J6">
            <v>0.12009075557316594</v>
          </cell>
          <cell r="K6">
            <v>0.12115429233447494</v>
          </cell>
          <cell r="L6">
            <v>8.5998533596120016E-2</v>
          </cell>
          <cell r="M6">
            <v>8.5923295575795214E-2</v>
          </cell>
          <cell r="N6">
            <v>8.5958552433112068E-2</v>
          </cell>
          <cell r="O6">
            <v>8.4751897600617548E-2</v>
          </cell>
          <cell r="R6">
            <v>0.10399140982276082</v>
          </cell>
          <cell r="S6">
            <v>8.9099156124563525E-2</v>
          </cell>
          <cell r="T6">
            <v>6.6658233792706856E-2</v>
          </cell>
          <cell r="U6">
            <v>4.9734217522871486E-2</v>
          </cell>
          <cell r="V6">
            <v>6.3455033360745719E-2</v>
          </cell>
          <cell r="W6">
            <v>7.1849238692628103E-2</v>
          </cell>
          <cell r="Z6">
            <v>0.12644251266767281</v>
          </cell>
          <cell r="AA6">
            <v>0.13667363468394095</v>
          </cell>
          <cell r="AB6">
            <v>0.12892441515373507</v>
          </cell>
          <cell r="AC6">
            <v>0.12714053002774955</v>
          </cell>
          <cell r="AD6">
            <v>0.12274854448603091</v>
          </cell>
          <cell r="AE6">
            <v>0.11760042272111376</v>
          </cell>
          <cell r="AH6">
            <v>7.6148977938929496E-2</v>
          </cell>
          <cell r="AI6">
            <v>6.9853183864971718E-2</v>
          </cell>
          <cell r="AJ6">
            <v>0.1002945558277763</v>
          </cell>
          <cell r="AK6">
            <v>9.8269541976638425E-2</v>
          </cell>
          <cell r="AL6">
            <v>0.10540741356922015</v>
          </cell>
          <cell r="AM6">
            <v>0.11000745401910297</v>
          </cell>
        </row>
        <row r="7">
          <cell r="B7">
            <v>0.27555076952648894</v>
          </cell>
          <cell r="C7">
            <v>0.34771343741627814</v>
          </cell>
          <cell r="D7">
            <v>0.25607741704670195</v>
          </cell>
          <cell r="E7">
            <v>0.24068985186153863</v>
          </cell>
          <cell r="F7">
            <v>0.28727386549015632</v>
          </cell>
          <cell r="G7">
            <v>0.34157529178818086</v>
          </cell>
          <cell r="J7">
            <v>3.0628433601575016E-2</v>
          </cell>
          <cell r="K7">
            <v>5.0861755039388556E-2</v>
          </cell>
          <cell r="L7">
            <v>3.5991470641652527E-2</v>
          </cell>
          <cell r="M7">
            <v>2.6523766030897726E-2</v>
          </cell>
          <cell r="N7">
            <v>2.620055844415704E-2</v>
          </cell>
          <cell r="O7">
            <v>2.5349155832490807E-2</v>
          </cell>
          <cell r="R7">
            <v>4.7219255757330866E-2</v>
          </cell>
          <cell r="S7">
            <v>4.2050742080869466E-2</v>
          </cell>
          <cell r="T7">
            <v>2.7313787967015807E-2</v>
          </cell>
          <cell r="U7">
            <v>1.0167486569364207E-2</v>
          </cell>
          <cell r="V7">
            <v>1.7368021964702919E-2</v>
          </cell>
          <cell r="W7">
            <v>2.6040307406481285E-2</v>
          </cell>
          <cell r="Z7">
            <v>7.3702995252252823E-2</v>
          </cell>
          <cell r="AA7">
            <v>9.2686537208165082E-2</v>
          </cell>
          <cell r="AB7">
            <v>6.5617172951837444E-2</v>
          </cell>
          <cell r="AC7">
            <v>6.7271319832885507E-2</v>
          </cell>
          <cell r="AD7">
            <v>6.9015115753501083E-2</v>
          </cell>
          <cell r="AE7">
            <v>6.8011158501291996E-2</v>
          </cell>
          <cell r="AH7">
            <v>6.6616487422146112E-2</v>
          </cell>
          <cell r="AI7">
            <v>5.0981945761364993E-2</v>
          </cell>
          <cell r="AJ7">
            <v>6.1424336939654871E-2</v>
          </cell>
          <cell r="AK7">
            <v>5.8601403036576162E-2</v>
          </cell>
          <cell r="AL7">
            <v>6.3058058530849545E-2</v>
          </cell>
          <cell r="AM7">
            <v>6.8233310797926633E-2</v>
          </cell>
        </row>
        <row r="8">
          <cell r="B8">
            <v>0.14644268407635624</v>
          </cell>
          <cell r="C8">
            <v>0.17427533849351587</v>
          </cell>
          <cell r="D8">
            <v>0.13301105350700862</v>
          </cell>
          <cell r="E8">
            <v>0.12077410991871723</v>
          </cell>
          <cell r="F8">
            <v>0.15973947295567376</v>
          </cell>
          <cell r="G8">
            <v>0.18510038041660251</v>
          </cell>
          <cell r="J8">
            <v>0.11146525061728099</v>
          </cell>
          <cell r="K8">
            <v>0.18004625984653469</v>
          </cell>
          <cell r="L8">
            <v>0.12929760608766336</v>
          </cell>
          <cell r="M8">
            <v>9.5489901035303956E-2</v>
          </cell>
          <cell r="N8">
            <v>0.10521410427800647</v>
          </cell>
          <cell r="O8">
            <v>9.7959966049800368E-2</v>
          </cell>
          <cell r="R8">
            <v>0.2021461405929412</v>
          </cell>
          <cell r="S8">
            <v>0.17953411170859745</v>
          </cell>
          <cell r="T8">
            <v>0.10766202171464911</v>
          </cell>
          <cell r="U8">
            <v>4.7631352865173365E-2</v>
          </cell>
          <cell r="V8">
            <v>8.8159326411697783E-2</v>
          </cell>
          <cell r="W8">
            <v>0.12087915579017552</v>
          </cell>
          <cell r="Z8">
            <v>0.20880128259800865</v>
          </cell>
          <cell r="AA8">
            <v>0.22953028491532365</v>
          </cell>
          <cell r="AB8">
            <v>0.13376240561889274</v>
          </cell>
          <cell r="AC8">
            <v>0.12597325990450942</v>
          </cell>
          <cell r="AD8">
            <v>0.15085712533587736</v>
          </cell>
          <cell r="AE8">
            <v>0.16217535367891162</v>
          </cell>
          <cell r="AH8">
            <v>0.13443257443383611</v>
          </cell>
          <cell r="AI8">
            <v>0.14012726140690437</v>
          </cell>
          <cell r="AJ8">
            <v>0.16480186945089895</v>
          </cell>
          <cell r="AK8">
            <v>0.17336919874519888</v>
          </cell>
          <cell r="AL8">
            <v>0.1678021266816952</v>
          </cell>
          <cell r="AM8">
            <v>0.18129061341184582</v>
          </cell>
        </row>
        <row r="9">
          <cell r="B9">
            <v>0.11228021252238235</v>
          </cell>
          <cell r="C9">
            <v>0.1254950538950787</v>
          </cell>
          <cell r="D9">
            <v>9.7592179500300552E-2</v>
          </cell>
          <cell r="E9">
            <v>8.7702337818881454E-2</v>
          </cell>
          <cell r="F9">
            <v>0.13035840693805656</v>
          </cell>
          <cell r="G9">
            <v>0.13697719080729823</v>
          </cell>
          <cell r="J9">
            <v>0.15953210719633651</v>
          </cell>
          <cell r="K9">
            <v>0.17167085068751065</v>
          </cell>
          <cell r="L9">
            <v>0.12083077179564645</v>
          </cell>
          <cell r="M9">
            <v>0.13665838425894811</v>
          </cell>
          <cell r="N9">
            <v>0.15918360419451857</v>
          </cell>
          <cell r="O9">
            <v>0.15598320371239369</v>
          </cell>
          <cell r="R9">
            <v>0.34828923625315972</v>
          </cell>
          <cell r="S9">
            <v>0.27086535444377624</v>
          </cell>
          <cell r="T9">
            <v>0.17908338523677378</v>
          </cell>
          <cell r="U9">
            <v>0.15687079131657355</v>
          </cell>
          <cell r="V9">
            <v>0.24047917078907957</v>
          </cell>
          <cell r="W9">
            <v>0.23367556744117277</v>
          </cell>
          <cell r="Z9">
            <v>0.26966774798920062</v>
          </cell>
          <cell r="AA9">
            <v>0.20955787177283555</v>
          </cell>
          <cell r="AB9">
            <v>0.10909608654005495</v>
          </cell>
          <cell r="AC9">
            <v>0.11991586719586005</v>
          </cell>
          <cell r="AD9">
            <v>0.14702731476003508</v>
          </cell>
          <cell r="AE9">
            <v>0.14890399046595634</v>
          </cell>
          <cell r="AH9">
            <v>8.0504549463967415E-2</v>
          </cell>
          <cell r="AI9">
            <v>8.6393763564614021E-2</v>
          </cell>
          <cell r="AJ9">
            <v>0.12244692864288313</v>
          </cell>
          <cell r="AK9">
            <v>0.14116387759697105</v>
          </cell>
          <cell r="AL9">
            <v>0.14771427830185868</v>
          </cell>
          <cell r="AM9">
            <v>0.18142260644469438</v>
          </cell>
        </row>
        <row r="14">
          <cell r="B14">
            <v>1.0728384542399747</v>
          </cell>
          <cell r="C14">
            <v>1.0385958320364723</v>
          </cell>
          <cell r="D14">
            <v>1.0724865086917508</v>
          </cell>
          <cell r="E14">
            <v>1.061745331463283</v>
          </cell>
          <cell r="F14">
            <v>0.84849073208294368</v>
          </cell>
          <cell r="G14">
            <v>0.70505887491700447</v>
          </cell>
          <cell r="J14">
            <v>0.83795065762180376</v>
          </cell>
          <cell r="K14">
            <v>0.64837235095648016</v>
          </cell>
          <cell r="L14">
            <v>0.83960728652373418</v>
          </cell>
          <cell r="M14">
            <v>0.78452702040538069</v>
          </cell>
          <cell r="N14">
            <v>0.76458933541438079</v>
          </cell>
          <cell r="O14">
            <v>0.6475051245505391</v>
          </cell>
          <cell r="R14">
            <v>0.73699411634341117</v>
          </cell>
          <cell r="S14">
            <v>0.54868752771833118</v>
          </cell>
          <cell r="T14">
            <v>0.79081915948650938</v>
          </cell>
          <cell r="U14">
            <v>0.84701518261026343</v>
          </cell>
          <cell r="V14">
            <v>0.9249407915618818</v>
          </cell>
          <cell r="W14">
            <v>0.69212428353701294</v>
          </cell>
          <cell r="Z14">
            <v>0.49420463878057358</v>
          </cell>
          <cell r="AA14">
            <v>0.39409559512652292</v>
          </cell>
          <cell r="AB14">
            <v>1.2945727298282244</v>
          </cell>
          <cell r="AC14">
            <v>1.1443136158332723</v>
          </cell>
          <cell r="AD14">
            <v>1.1120443500251489</v>
          </cell>
          <cell r="AE14">
            <v>1.1226621196135167</v>
          </cell>
          <cell r="AH14">
            <v>0.83204414973617946</v>
          </cell>
          <cell r="AI14">
            <v>1.047146243488382</v>
          </cell>
          <cell r="AJ14">
            <v>1.030946947197299</v>
          </cell>
          <cell r="AK14">
            <v>0.8843076371063453</v>
          </cell>
          <cell r="AL14">
            <v>0.68464014361096981</v>
          </cell>
          <cell r="AM14">
            <v>0.62490665281340319</v>
          </cell>
        </row>
        <row r="21">
          <cell r="B21">
            <v>14.343734379169938</v>
          </cell>
          <cell r="C21">
            <v>30.05267915559131</v>
          </cell>
          <cell r="D21">
            <v>33.763756088008094</v>
          </cell>
          <cell r="E21">
            <v>25.311609737147098</v>
          </cell>
          <cell r="F21">
            <v>36.165846640975609</v>
          </cell>
          <cell r="G21">
            <v>23.024536815878111</v>
          </cell>
          <cell r="J21">
            <v>8.0062669447367316</v>
          </cell>
          <cell r="K21">
            <v>9.7246798078666004</v>
          </cell>
          <cell r="L21">
            <v>11.70538837700447</v>
          </cell>
          <cell r="M21">
            <v>21.084539437267352</v>
          </cell>
          <cell r="N21">
            <v>35.71692874588107</v>
          </cell>
          <cell r="O21">
            <v>29.336629594373271</v>
          </cell>
          <cell r="R21">
            <v>8.7318043570519102</v>
          </cell>
          <cell r="S21">
            <v>19.787282891880231</v>
          </cell>
          <cell r="T21">
            <v>26.848847546044951</v>
          </cell>
          <cell r="U21">
            <v>69.011174231665237</v>
          </cell>
          <cell r="V21">
            <v>54.118172905012145</v>
          </cell>
          <cell r="W21">
            <v>36.571366997231799</v>
          </cell>
          <cell r="Z21">
            <v>10.208449076028879</v>
          </cell>
          <cell r="AA21">
            <v>15.10513206431559</v>
          </cell>
          <cell r="AB21">
            <v>23.336649922643158</v>
          </cell>
          <cell r="AC21">
            <v>23.757629671955563</v>
          </cell>
          <cell r="AD21">
            <v>33.301742629815216</v>
          </cell>
          <cell r="AE21">
            <v>27.181375659256013</v>
          </cell>
          <cell r="AH21">
            <v>3.880553723881055</v>
          </cell>
          <cell r="AI21">
            <v>8.0541953667399202</v>
          </cell>
          <cell r="AJ21">
            <v>6.8759799106467421</v>
          </cell>
          <cell r="AK21">
            <v>12.093817652977556</v>
          </cell>
          <cell r="AL21">
            <v>40.558242593627675</v>
          </cell>
          <cell r="AM21">
            <v>46.541393548305216</v>
          </cell>
        </row>
        <row r="26">
          <cell r="B26">
            <v>0.27525006516474676</v>
          </cell>
          <cell r="C26">
            <v>0.38583578457874523</v>
          </cell>
          <cell r="D26">
            <v>0.34155029517885765</v>
          </cell>
          <cell r="E26">
            <v>0.12534796314636787</v>
          </cell>
          <cell r="F26">
            <v>0.26945357635843753</v>
          </cell>
          <cell r="G26">
            <v>0.28339984955106179</v>
          </cell>
          <cell r="J26">
            <v>3.675113287232272E-2</v>
          </cell>
          <cell r="K26">
            <v>5.1461764565788201E-2</v>
          </cell>
          <cell r="L26">
            <v>2.7280493465085466E-2</v>
          </cell>
          <cell r="M26">
            <v>-7.0171951461910666E-3</v>
          </cell>
          <cell r="N26">
            <v>2.4955282822814343E-2</v>
          </cell>
          <cell r="O26">
            <v>1.5163377313517676E-2</v>
          </cell>
          <cell r="R26">
            <v>-9.9361498004002895E-3</v>
          </cell>
          <cell r="S26">
            <v>5.0552642550433229E-2</v>
          </cell>
          <cell r="T26">
            <v>-3.1030795256363E-2</v>
          </cell>
          <cell r="U26">
            <v>2.4746679235234957E-2</v>
          </cell>
          <cell r="V26">
            <v>3.6946737999196764E-3</v>
          </cell>
          <cell r="W26">
            <v>1.0793172232675546E-2</v>
          </cell>
          <cell r="Z26">
            <v>2.2034964928045023E-2</v>
          </cell>
          <cell r="AA26">
            <v>0.15089795893188049</v>
          </cell>
          <cell r="AB26">
            <v>0.10109648499943102</v>
          </cell>
          <cell r="AC26">
            <v>0.1000331937741729</v>
          </cell>
          <cell r="AD26">
            <v>6.1036501201619721E-2</v>
          </cell>
          <cell r="AE26">
            <v>1.8247877014354735E-2</v>
          </cell>
          <cell r="AH26">
            <v>-9.505197597750438E-2</v>
          </cell>
          <cell r="AI26">
            <v>2.5629617532149998E-2</v>
          </cell>
          <cell r="AJ26">
            <v>0.29649723253804294</v>
          </cell>
          <cell r="AK26">
            <v>-0.2018686013336676</v>
          </cell>
          <cell r="AL26">
            <v>0.1333804242032032</v>
          </cell>
          <cell r="AM26">
            <v>6.4497633782307953E-2</v>
          </cell>
        </row>
      </sheetData>
      <sheetData sheetId="5">
        <row r="7">
          <cell r="B7">
            <v>0.16085925000000001</v>
          </cell>
          <cell r="C7">
            <v>0.11954925000000001</v>
          </cell>
          <cell r="D7">
            <v>0.11104425000000001</v>
          </cell>
          <cell r="E7">
            <v>0.14280975000000001</v>
          </cell>
          <cell r="F7">
            <v>0.15855750000000002</v>
          </cell>
          <cell r="T7">
            <v>0.18100810344963053</v>
          </cell>
          <cell r="Z7">
            <v>0.15</v>
          </cell>
        </row>
        <row r="9">
          <cell r="K9">
            <v>9.4926545637935164E-2</v>
          </cell>
        </row>
        <row r="11">
          <cell r="O11">
            <v>14.699628421637179</v>
          </cell>
        </row>
        <row r="17">
          <cell r="B17">
            <v>0.15367807215807328</v>
          </cell>
          <cell r="C17">
            <v>9.8728905642452292E-2</v>
          </cell>
          <cell r="D17">
            <v>0.10597139771863917</v>
          </cell>
          <cell r="E17">
            <v>9.8594624813337584E-2</v>
          </cell>
          <cell r="F17">
            <v>0.14344565897450878</v>
          </cell>
        </row>
        <row r="18">
          <cell r="O18">
            <v>9.4926545637935164E-2</v>
          </cell>
        </row>
        <row r="21">
          <cell r="B21">
            <v>6.5000000000000002E-2</v>
          </cell>
          <cell r="K21">
            <v>6.4902825257354926E-2</v>
          </cell>
        </row>
        <row r="24">
          <cell r="O24">
            <v>9.4926545637935164E-2</v>
          </cell>
        </row>
      </sheetData>
      <sheetData sheetId="6">
        <row r="4">
          <cell r="D4">
            <v>37359.649304940664</v>
          </cell>
          <cell r="E4">
            <v>43101.008186625644</v>
          </cell>
          <cell r="F4">
            <v>49724.688032815604</v>
          </cell>
          <cell r="G4">
            <v>57366.282228360324</v>
          </cell>
          <cell r="H4">
            <v>66182.221888090673</v>
          </cell>
          <cell r="M4">
            <v>24587.641119982261</v>
          </cell>
          <cell r="N4">
            <v>27015.152020087469</v>
          </cell>
          <cell r="O4">
            <v>29682.328414795189</v>
          </cell>
          <cell r="P4">
            <v>32612.832216107785</v>
          </cell>
          <cell r="Q4">
            <v>35832.661450705018</v>
          </cell>
          <cell r="V4">
            <v>24240.194467782138</v>
          </cell>
          <cell r="W4">
            <v>26808.961756504636</v>
          </cell>
          <cell r="X4">
            <v>29649.944905226977</v>
          </cell>
          <cell r="Y4">
            <v>32791.991009114521</v>
          </cell>
          <cell r="Z4">
            <v>36267.004130327434</v>
          </cell>
          <cell r="AE4">
            <v>285479.99722991779</v>
          </cell>
          <cell r="AF4">
            <v>313626.79044851416</v>
          </cell>
          <cell r="AG4">
            <v>344548.70618419664</v>
          </cell>
          <cell r="AH4">
            <v>378519.35660034837</v>
          </cell>
          <cell r="AI4">
            <v>415839.33054894564</v>
          </cell>
          <cell r="AN4">
            <v>26384.779891704995</v>
          </cell>
          <cell r="AO4">
            <v>30169.562030167985</v>
          </cell>
          <cell r="AP4">
            <v>34497.254736557748</v>
          </cell>
          <cell r="AQ4">
            <v>39445.736175054772</v>
          </cell>
          <cell r="AR4">
            <v>45104.055794420121</v>
          </cell>
        </row>
        <row r="5">
          <cell r="D5">
            <v>17576.065418846949</v>
          </cell>
          <cell r="E5">
            <v>20277.121268539526</v>
          </cell>
          <cell r="F5">
            <v>23393.270174004141</v>
          </cell>
          <cell r="G5">
            <v>26988.302835818056</v>
          </cell>
          <cell r="H5">
            <v>31135.813186444833</v>
          </cell>
          <cell r="M5">
            <v>1726.140090024466</v>
          </cell>
          <cell r="N5">
            <v>1896.5600120981455</v>
          </cell>
          <cell r="O5">
            <v>2083.8053065778313</v>
          </cell>
          <cell r="P5">
            <v>2289.5371240681957</v>
          </cell>
          <cell r="Q5">
            <v>2515.5806187552162</v>
          </cell>
          <cell r="V5">
            <v>1494.8928764930274</v>
          </cell>
          <cell r="W5">
            <v>1653.3087640546305</v>
          </cell>
          <cell r="X5">
            <v>1828.5122046419758</v>
          </cell>
          <cell r="Y5">
            <v>2022.282198713476</v>
          </cell>
          <cell r="Z5">
            <v>2236.5862698926658</v>
          </cell>
          <cell r="AE5">
            <v>40932.965072977044</v>
          </cell>
          <cell r="AF5">
            <v>44968.735406844666</v>
          </cell>
          <cell r="AG5">
            <v>49402.41100261276</v>
          </cell>
          <cell r="AH5">
            <v>54273.223180289664</v>
          </cell>
          <cell r="AI5">
            <v>59624.271257160857</v>
          </cell>
          <cell r="AN5">
            <v>2516.50487666654</v>
          </cell>
          <cell r="AO5">
            <v>2877.4865770125366</v>
          </cell>
          <cell r="AP5">
            <v>3290.2495352424035</v>
          </cell>
          <cell r="AQ5">
            <v>3762.2215480158216</v>
          </cell>
          <cell r="AR5">
            <v>4301.8958971790471</v>
          </cell>
        </row>
        <row r="7">
          <cell r="D7">
            <v>13182.049064135212</v>
          </cell>
          <cell r="E7">
            <v>15207.840951404643</v>
          </cell>
          <cell r="F7">
            <v>17544.952630503107</v>
          </cell>
          <cell r="G7">
            <v>20241.227126863541</v>
          </cell>
          <cell r="H7">
            <v>23351.859889833624</v>
          </cell>
          <cell r="M7">
            <v>1294.6050675183494</v>
          </cell>
          <cell r="N7">
            <v>1422.4200090736092</v>
          </cell>
          <cell r="O7">
            <v>1562.8539799333735</v>
          </cell>
          <cell r="P7">
            <v>1717.1528430511466</v>
          </cell>
          <cell r="Q7">
            <v>1886.6854640664121</v>
          </cell>
          <cell r="V7">
            <v>1121.1696573697704</v>
          </cell>
          <cell r="W7">
            <v>1239.9815730409728</v>
          </cell>
          <cell r="X7">
            <v>1371.3841534814819</v>
          </cell>
          <cell r="Y7">
            <v>1516.711649035107</v>
          </cell>
          <cell r="Z7">
            <v>1677.4397024194993</v>
          </cell>
          <cell r="AE7">
            <v>30699.723804732785</v>
          </cell>
          <cell r="AF7">
            <v>33726.551555133497</v>
          </cell>
          <cell r="AG7">
            <v>37051.80825195957</v>
          </cell>
          <cell r="AH7">
            <v>40704.917385217246</v>
          </cell>
          <cell r="AI7">
            <v>44718.203442870639</v>
          </cell>
          <cell r="AN7">
            <v>1887.3786574999049</v>
          </cell>
          <cell r="AO7">
            <v>2158.1149327594026</v>
          </cell>
          <cell r="AP7">
            <v>2467.6871514318027</v>
          </cell>
          <cell r="AQ7">
            <v>2821.6661610118663</v>
          </cell>
          <cell r="AR7">
            <v>3226.4219228842853</v>
          </cell>
        </row>
        <row r="8">
          <cell r="D8">
            <v>5314.5192150998519</v>
          </cell>
          <cell r="E8">
            <v>6131.244282523433</v>
          </cell>
          <cell r="F8">
            <v>7073.4820837918433</v>
          </cell>
          <cell r="G8">
            <v>8160.5211738736452</v>
          </cell>
          <cell r="H8">
            <v>9414.6143356796838</v>
          </cell>
          <cell r="M8">
            <v>602.12538512194578</v>
          </cell>
          <cell r="N8">
            <v>661.57256545457562</v>
          </cell>
          <cell r="O8">
            <v>726.88890084497541</v>
          </cell>
          <cell r="P8">
            <v>798.65384654904494</v>
          </cell>
          <cell r="Q8">
            <v>877.50406680596711</v>
          </cell>
          <cell r="V8">
            <v>244.22490037375266</v>
          </cell>
          <cell r="W8">
            <v>270.10575442405462</v>
          </cell>
          <cell r="X8">
            <v>298.72923875221926</v>
          </cell>
          <cell r="Y8">
            <v>330.38599372221694</v>
          </cell>
          <cell r="Z8">
            <v>365.39745926362178</v>
          </cell>
          <cell r="AE8">
            <v>5012.6378289717532</v>
          </cell>
          <cell r="AF8">
            <v>5506.8569750443658</v>
          </cell>
          <cell r="AG8">
            <v>6049.8034723995761</v>
          </cell>
          <cell r="AH8">
            <v>6646.2815759552386</v>
          </cell>
          <cell r="AI8">
            <v>7301.569214340343</v>
          </cell>
          <cell r="AN8">
            <v>28.21436884675812</v>
          </cell>
          <cell r="AO8">
            <v>32.261597578531187</v>
          </cell>
          <cell r="AP8">
            <v>36.88938370275401</v>
          </cell>
          <cell r="AQ8">
            <v>42.181005657159069</v>
          </cell>
          <cell r="AR8">
            <v>48.231687809857732</v>
          </cell>
        </row>
        <row r="9">
          <cell r="D9">
            <v>9720.3360449885022</v>
          </cell>
          <cell r="E9">
            <v>11214.138549110965</v>
          </cell>
          <cell r="F9">
            <v>12937.505742251869</v>
          </cell>
          <cell r="G9">
            <v>14925.716683255139</v>
          </cell>
          <cell r="H9">
            <v>17219.472048715379</v>
          </cell>
          <cell r="M9">
            <v>679.18973096111131</v>
          </cell>
          <cell r="N9">
            <v>746.24538982249339</v>
          </cell>
          <cell r="O9">
            <v>819.92138050039341</v>
          </cell>
          <cell r="P9">
            <v>900.87132111004598</v>
          </cell>
          <cell r="Q9">
            <v>989.81336076791104</v>
          </cell>
          <cell r="V9">
            <v>278.76355252607192</v>
          </cell>
          <cell r="W9">
            <v>308.30451582027302</v>
          </cell>
          <cell r="X9">
            <v>340.97597628471567</v>
          </cell>
          <cell r="Y9">
            <v>377.10967708008451</v>
          </cell>
          <cell r="Z9">
            <v>417.07251665348571</v>
          </cell>
          <cell r="AE9">
            <v>5476.1132801226304</v>
          </cell>
          <cell r="AF9">
            <v>6016.0286144116562</v>
          </cell>
          <cell r="AG9">
            <v>6609.1766985158765</v>
          </cell>
          <cell r="AH9">
            <v>7260.805995431102</v>
          </cell>
          <cell r="AI9">
            <v>7976.6824383930634</v>
          </cell>
          <cell r="AN9">
            <v>158.9943220772721</v>
          </cell>
          <cell r="AO9">
            <v>181.80136738085167</v>
          </cell>
          <cell r="AP9">
            <v>207.87998432726468</v>
          </cell>
          <cell r="AQ9">
            <v>237.69946566669975</v>
          </cell>
          <cell r="AR9">
            <v>271.79642215714813</v>
          </cell>
        </row>
        <row r="23">
          <cell r="AC23">
            <v>2199.2861208781696</v>
          </cell>
        </row>
      </sheetData>
      <sheetData sheetId="7">
        <row r="7">
          <cell r="D7">
            <v>3872.7</v>
          </cell>
        </row>
        <row r="22">
          <cell r="P22">
            <v>1380.4738970814369</v>
          </cell>
          <cell r="Q22">
            <v>2362.9057996263919</v>
          </cell>
          <cell r="R22">
            <v>1524.5753314756821</v>
          </cell>
          <cell r="S22">
            <v>268.9303562415426</v>
          </cell>
        </row>
        <row r="23">
          <cell r="P23">
            <v>852.5</v>
          </cell>
          <cell r="Q23">
            <v>1262.5999999999999</v>
          </cell>
          <cell r="R23">
            <v>1467</v>
          </cell>
          <cell r="S23">
            <v>329.05</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WACC"/>
      <sheetName val="DCF"/>
      <sheetName val="Relative Valuation"/>
      <sheetName val="Calc"/>
    </sheetNames>
    <sheetDataSet>
      <sheetData sheetId="0"/>
      <sheetData sheetId="1"/>
      <sheetData sheetId="2">
        <row r="8">
          <cell r="Z8">
            <v>150792.99</v>
          </cell>
          <cell r="AA8">
            <v>157189.78</v>
          </cell>
          <cell r="AB8">
            <v>244744.06000000003</v>
          </cell>
          <cell r="AC8">
            <v>244390.17</v>
          </cell>
          <cell r="AD8">
            <v>230979.63</v>
          </cell>
          <cell r="AE8">
            <v>220083.04</v>
          </cell>
          <cell r="AH8">
            <v>62569.950000000004</v>
          </cell>
          <cell r="AI8">
            <v>69974.28</v>
          </cell>
          <cell r="AJ8">
            <v>104335.39</v>
          </cell>
          <cell r="AK8">
            <v>105398.08</v>
          </cell>
          <cell r="AL8">
            <v>106445.29000000001</v>
          </cell>
          <cell r="AM8">
            <v>103354.09</v>
          </cell>
          <cell r="AP8">
            <v>12213.58</v>
          </cell>
          <cell r="AQ8">
            <v>15721.66</v>
          </cell>
          <cell r="AR8">
            <v>26683.31</v>
          </cell>
          <cell r="AS8">
            <v>18435.100000000002</v>
          </cell>
          <cell r="AT8">
            <v>22678.53</v>
          </cell>
          <cell r="AU8">
            <v>25498.84</v>
          </cell>
        </row>
        <row r="9">
          <cell r="B9">
            <v>102525.3</v>
          </cell>
          <cell r="C9">
            <v>93818.390000000014</v>
          </cell>
          <cell r="D9">
            <v>113596.83000000002</v>
          </cell>
          <cell r="E9">
            <v>144802.57</v>
          </cell>
          <cell r="F9">
            <v>152731.49999999997</v>
          </cell>
          <cell r="G9">
            <v>152838.97999999998</v>
          </cell>
          <cell r="J9">
            <v>20495</v>
          </cell>
          <cell r="K9">
            <v>24448</v>
          </cell>
          <cell r="L9">
            <v>30656</v>
          </cell>
          <cell r="M9">
            <v>35477</v>
          </cell>
          <cell r="N9">
            <v>30006</v>
          </cell>
          <cell r="O9">
            <v>35066</v>
          </cell>
        </row>
        <row r="11">
          <cell r="R11">
            <v>73872</v>
          </cell>
          <cell r="S11">
            <v>80431</v>
          </cell>
          <cell r="T11">
            <v>147902</v>
          </cell>
          <cell r="U11">
            <v>166990</v>
          </cell>
          <cell r="V11">
            <v>176010</v>
          </cell>
          <cell r="W11">
            <v>169518</v>
          </cell>
        </row>
      </sheetData>
      <sheetData sheetId="3">
        <row r="6">
          <cell r="J6">
            <v>-3637</v>
          </cell>
          <cell r="K6">
            <v>-2481</v>
          </cell>
          <cell r="L6">
            <v>-2998</v>
          </cell>
          <cell r="M6">
            <v>-3561</v>
          </cell>
          <cell r="N6">
            <v>-3866</v>
          </cell>
          <cell r="O6">
            <v>-4006</v>
          </cell>
          <cell r="R6">
            <v>-12810</v>
          </cell>
          <cell r="S6">
            <v>-9258</v>
          </cell>
          <cell r="T6">
            <v>-10091</v>
          </cell>
          <cell r="U6">
            <v>-14784</v>
          </cell>
          <cell r="V6">
            <v>-15801</v>
          </cell>
          <cell r="W6">
            <v>-12694</v>
          </cell>
          <cell r="Z6">
            <v>-10398</v>
          </cell>
          <cell r="AA6">
            <v>-6978.59</v>
          </cell>
          <cell r="AB6">
            <v>-10522.2</v>
          </cell>
          <cell r="AC6">
            <v>-14142.49</v>
          </cell>
          <cell r="AD6">
            <v>-18206.599999999999</v>
          </cell>
          <cell r="AE6">
            <v>-15670.52</v>
          </cell>
          <cell r="AH6">
            <v>-4754.3599999999997</v>
          </cell>
          <cell r="AI6">
            <v>-3672.7</v>
          </cell>
          <cell r="AJ6">
            <v>-3665.49</v>
          </cell>
          <cell r="AK6">
            <v>-3921.64</v>
          </cell>
          <cell r="AL6">
            <v>-4710.6899999999996</v>
          </cell>
          <cell r="AM6">
            <v>-6221.15</v>
          </cell>
          <cell r="AP6">
            <v>-2403.4899999999998</v>
          </cell>
          <cell r="AQ6">
            <v>-1622.11</v>
          </cell>
          <cell r="AR6">
            <v>-1198.3399999999999</v>
          </cell>
          <cell r="AS6">
            <v>-1401.28</v>
          </cell>
          <cell r="AT6">
            <v>-1847.09</v>
          </cell>
          <cell r="AU6">
            <v>-3230.34</v>
          </cell>
        </row>
        <row r="7">
          <cell r="B7">
            <v>-5213.8599999999997</v>
          </cell>
          <cell r="C7">
            <v>-10852.51</v>
          </cell>
          <cell r="D7">
            <v>-11679.27</v>
          </cell>
          <cell r="E7">
            <v>-14209.48</v>
          </cell>
          <cell r="F7">
            <v>-16379.95</v>
          </cell>
          <cell r="G7">
            <v>-12803.58</v>
          </cell>
        </row>
      </sheetData>
      <sheetData sheetId="4">
        <row r="9">
          <cell r="B9">
            <v>0.19741298270406438</v>
          </cell>
          <cell r="C9">
            <v>0.15897045438065024</v>
          </cell>
          <cell r="D9">
            <v>7.5536272249726893E-2</v>
          </cell>
          <cell r="E9">
            <v>7.0924581108140441E-2</v>
          </cell>
          <cell r="F9">
            <v>7.5243802785052744E-2</v>
          </cell>
          <cell r="G9">
            <v>8.9127948991647776E-2</v>
          </cell>
          <cell r="J9">
            <v>1.5157529149094517E-2</v>
          </cell>
          <cell r="K9">
            <v>0.20032185188623775</v>
          </cell>
          <cell r="L9">
            <v>8.2348822963157431E-2</v>
          </cell>
          <cell r="M9">
            <v>0.91563563253943703</v>
          </cell>
          <cell r="N9">
            <v>0.55649884830536356</v>
          </cell>
          <cell r="O9">
            <v>0.79926459552754014</v>
          </cell>
          <cell r="R9">
            <v>1.4711858760826115</v>
          </cell>
          <cell r="S9">
            <v>1.12103153104345</v>
          </cell>
          <cell r="T9">
            <v>1.0210111621799081</v>
          </cell>
          <cell r="U9">
            <v>1.1760616954310177</v>
          </cell>
          <cell r="V9">
            <v>1.0726910348977137</v>
          </cell>
          <cell r="W9">
            <v>1.174993265251145</v>
          </cell>
          <cell r="Z9">
            <v>1.4874623996722811</v>
          </cell>
          <cell r="AA9">
            <v>1.0566705952705802</v>
          </cell>
          <cell r="AB9">
            <v>0.58778467283002689</v>
          </cell>
          <cell r="AC9">
            <v>0.74178791751402251</v>
          </cell>
          <cell r="AD9">
            <v>0.88252192891825987</v>
          </cell>
          <cell r="AE9">
            <v>0.9738489622319102</v>
          </cell>
          <cell r="AH9">
            <v>1.2334501077324536</v>
          </cell>
          <cell r="AI9">
            <v>0.78351076493247718</v>
          </cell>
          <cell r="AJ9">
            <v>0.24691445701102477</v>
          </cell>
          <cell r="AK9">
            <v>0.46873673435539831</v>
          </cell>
          <cell r="AL9">
            <v>0.53590737012144918</v>
          </cell>
          <cell r="AM9">
            <v>0.50608295306388529</v>
          </cell>
          <cell r="AP9">
            <v>2.0431615483766555E-2</v>
          </cell>
          <cell r="AQ9">
            <v>6.6710059238888481E-2</v>
          </cell>
          <cell r="AR9">
            <v>9.9408264334477608E-2</v>
          </cell>
          <cell r="AS9">
            <v>1.837768488353908E-2</v>
          </cell>
          <cell r="AT9">
            <v>0.13074248302977731</v>
          </cell>
          <cell r="AU9">
            <v>0.1269204953146007</v>
          </cell>
        </row>
        <row r="14">
          <cell r="B14">
            <v>0.23970093235523346</v>
          </cell>
          <cell r="C14">
            <v>0.19886186492861371</v>
          </cell>
          <cell r="D14">
            <v>0.21273797869183506</v>
          </cell>
          <cell r="E14">
            <v>0.26721390373112847</v>
          </cell>
          <cell r="F14">
            <v>0.32216766024035631</v>
          </cell>
          <cell r="G14">
            <v>0.31004904638855874</v>
          </cell>
          <cell r="J14">
            <v>0.41483288606977309</v>
          </cell>
          <cell r="K14">
            <v>0.44829842931937175</v>
          </cell>
          <cell r="L14">
            <v>0.46940240083507306</v>
          </cell>
          <cell r="M14">
            <v>0.44031344251205007</v>
          </cell>
          <cell r="N14">
            <v>0.37532493501299741</v>
          </cell>
          <cell r="O14">
            <v>0.41772657274853137</v>
          </cell>
          <cell r="R14">
            <v>0.11063731860515487</v>
          </cell>
          <cell r="S14">
            <v>0.19959965684872749</v>
          </cell>
          <cell r="T14">
            <v>0.23351273140322645</v>
          </cell>
          <cell r="U14">
            <v>7.2477393855919517E-2</v>
          </cell>
          <cell r="V14">
            <v>0.11969774444633828</v>
          </cell>
          <cell r="W14">
            <v>8.4291933599971683E-2</v>
          </cell>
          <cell r="Z14">
            <v>7.3804160259704335E-2</v>
          </cell>
          <cell r="AA14">
            <v>0.14309810726880595</v>
          </cell>
          <cell r="AB14">
            <v>0.22808778280461645</v>
          </cell>
          <cell r="AC14">
            <v>9.9924477322471644E-2</v>
          </cell>
          <cell r="AD14">
            <v>6.1367359537289022E-2</v>
          </cell>
          <cell r="AE14">
            <v>7.5464515575575652E-2</v>
          </cell>
          <cell r="AH14">
            <v>0.11772072696238364</v>
          </cell>
          <cell r="AI14">
            <v>0.13571600879637483</v>
          </cell>
          <cell r="AJ14">
            <v>0.17180220441021979</v>
          </cell>
          <cell r="AK14">
            <v>3.8200411240887869E-2</v>
          </cell>
          <cell r="AL14">
            <v>6.5178083501862868E-2</v>
          </cell>
          <cell r="AM14">
            <v>5.6800461404091646E-2</v>
          </cell>
          <cell r="AP14">
            <v>0.5093797232261138</v>
          </cell>
          <cell r="AQ14">
            <v>0.56688225034760964</v>
          </cell>
          <cell r="AR14">
            <v>0.4892665115384861</v>
          </cell>
          <cell r="AS14">
            <v>0.35175127881053003</v>
          </cell>
          <cell r="AT14">
            <v>0.36656035466143533</v>
          </cell>
          <cell r="AU14">
            <v>0.3655683944838275</v>
          </cell>
        </row>
        <row r="15">
          <cell r="B15">
            <v>0.16288994033667809</v>
          </cell>
          <cell r="C15">
            <v>0.13539104646754227</v>
          </cell>
          <cell r="D15">
            <v>0.15298331828449796</v>
          </cell>
          <cell r="E15">
            <v>0.19422956374324016</v>
          </cell>
          <cell r="F15">
            <v>0.24467205520799562</v>
          </cell>
          <cell r="G15">
            <v>0.23097576285840166</v>
          </cell>
          <cell r="J15">
            <v>0.33203220297633568</v>
          </cell>
          <cell r="K15">
            <v>0.32640706806282721</v>
          </cell>
          <cell r="L15">
            <v>0.31409838204592899</v>
          </cell>
          <cell r="M15">
            <v>0.29627646080559233</v>
          </cell>
          <cell r="N15">
            <v>0.25858161700993132</v>
          </cell>
          <cell r="O15">
            <v>0.29524325557520104</v>
          </cell>
          <cell r="R15">
            <v>5.3051223738358244E-2</v>
          </cell>
          <cell r="S15">
            <v>9.7885143787842993E-2</v>
          </cell>
          <cell r="T15">
            <v>0.14156671309380536</v>
          </cell>
          <cell r="U15">
            <v>2.4785915324270914E-2</v>
          </cell>
          <cell r="V15">
            <v>5.0980057951252766E-2</v>
          </cell>
          <cell r="W15">
            <v>2.0593683266673747E-2</v>
          </cell>
          <cell r="Z15">
            <v>7.7705866831076983E-3</v>
          </cell>
          <cell r="AA15">
            <v>5.2101288009945741E-2</v>
          </cell>
          <cell r="AB15">
            <v>0.1705835884229428</v>
          </cell>
          <cell r="AC15">
            <v>3.3042859293399514E-2</v>
          </cell>
          <cell r="AD15">
            <v>-2.1255597300939521E-2</v>
          </cell>
          <cell r="AE15">
            <v>1.4420829519621505E-2</v>
          </cell>
          <cell r="AH15">
            <v>3.3893426477086798E-2</v>
          </cell>
          <cell r="AI15">
            <v>5.9280781452842324E-2</v>
          </cell>
          <cell r="AJ15">
            <v>0.11734723951288248</v>
          </cell>
          <cell r="AK15">
            <v>2.0650565930612767E-2</v>
          </cell>
          <cell r="AL15">
            <v>2.8809823337415941E-2</v>
          </cell>
          <cell r="AM15">
            <v>2.2948293579867173E-2</v>
          </cell>
          <cell r="AP15">
            <v>0.29487832396398106</v>
          </cell>
          <cell r="AQ15">
            <v>0.39737979322794159</v>
          </cell>
          <cell r="AR15">
            <v>0.3537949377344865</v>
          </cell>
          <cell r="AS15">
            <v>0.30039001686999273</v>
          </cell>
          <cell r="AT15">
            <v>0.24566186609096807</v>
          </cell>
          <cell r="AU15">
            <v>0.25643597904845866</v>
          </cell>
        </row>
        <row r="16">
          <cell r="B16">
            <v>0.11109306162785423</v>
          </cell>
          <cell r="C16">
            <v>7.8515232659921677E-2</v>
          </cell>
          <cell r="D16">
            <v>9.6419461235852627E-2</v>
          </cell>
          <cell r="E16">
            <v>0.13316313036719579</v>
          </cell>
          <cell r="F16">
            <v>0.1572296657590582</v>
          </cell>
          <cell r="G16">
            <v>0.13567379380585662</v>
          </cell>
          <cell r="J16">
            <v>0.14486428951569985</v>
          </cell>
          <cell r="K16">
            <v>0.17451396330395608</v>
          </cell>
          <cell r="L16">
            <v>0.21555854040743228</v>
          </cell>
          <cell r="M16">
            <v>0.30383003324179797</v>
          </cell>
          <cell r="N16">
            <v>0.2289128189998525</v>
          </cell>
          <cell r="O16">
            <v>0.30017396346767178</v>
          </cell>
          <cell r="R16">
            <v>2.9729934759520557E-2</v>
          </cell>
          <cell r="S16">
            <v>5.3082249506125397E-2</v>
          </cell>
          <cell r="T16">
            <v>0.10656284194722243</v>
          </cell>
          <cell r="U16">
            <v>1.9608864969347824E-2</v>
          </cell>
          <cell r="V16">
            <v>3.9321115873057609E-2</v>
          </cell>
          <cell r="W16">
            <v>1.4501001071686701E-2</v>
          </cell>
          <cell r="Z16">
            <v>4.6791676348792973E-3</v>
          </cell>
          <cell r="AA16">
            <v>3.3361371453934439E-2</v>
          </cell>
          <cell r="AB16">
            <v>0.14626016305733922</v>
          </cell>
          <cell r="AC16">
            <v>2.8037293295985186E-2</v>
          </cell>
          <cell r="AD16">
            <v>-1.7956064493359243E-2</v>
          </cell>
          <cell r="AE16">
            <v>1.135948127882137E-2</v>
          </cell>
          <cell r="AH16">
            <v>1.6708023563661922E-2</v>
          </cell>
          <cell r="AI16">
            <v>3.4786361993081993E-2</v>
          </cell>
          <cell r="AJ16">
            <v>0.10193622266152645</v>
          </cell>
          <cell r="AK16">
            <v>1.668080792396813E-2</v>
          </cell>
          <cell r="AL16">
            <v>2.1794477635976486E-2</v>
          </cell>
          <cell r="AM16">
            <v>1.7392268470100839E-2</v>
          </cell>
          <cell r="AP16">
            <v>0.11508501672661878</v>
          </cell>
          <cell r="AQ16">
            <v>0.1691715549966572</v>
          </cell>
          <cell r="AR16">
            <v>0.37894553462260078</v>
          </cell>
          <cell r="AS16">
            <v>0.19604137822145595</v>
          </cell>
          <cell r="AT16">
            <v>0.15622796088615507</v>
          </cell>
          <cell r="AU16">
            <v>0.15945665702925951</v>
          </cell>
        </row>
        <row r="17">
          <cell r="B17">
            <v>0.51305151915455816</v>
          </cell>
          <cell r="C17">
            <v>0.34368793704496198</v>
          </cell>
          <cell r="D17">
            <v>0.39661518188330858</v>
          </cell>
          <cell r="E17">
            <v>0.48478261956230018</v>
          </cell>
          <cell r="F17">
            <v>0.44709596216405678</v>
          </cell>
          <cell r="G17">
            <v>0.35319516053365907</v>
          </cell>
          <cell r="J17">
            <v>0.16881667080129001</v>
          </cell>
          <cell r="K17">
            <v>0.24695942809395599</v>
          </cell>
          <cell r="L17">
            <v>0.28088445494588837</v>
          </cell>
          <cell r="M17">
            <v>0.81278997834828337</v>
          </cell>
          <cell r="N17">
            <v>0.51062849621586048</v>
          </cell>
          <cell r="O17">
            <v>0.7769022962629446</v>
          </cell>
          <cell r="R17">
            <v>0.10878858538751943</v>
          </cell>
          <cell r="S17">
            <v>0.1706143677538195</v>
          </cell>
          <cell r="T17">
            <v>0.3055081345298023</v>
          </cell>
          <cell r="U17">
            <v>6.1740181088620054E-2</v>
          </cell>
          <cell r="V17">
            <v>0.1124774368231047</v>
          </cell>
          <cell r="W17">
            <v>4.2747287732961083E-2</v>
          </cell>
          <cell r="Z17">
            <v>1.5384787081374161E-2</v>
          </cell>
          <cell r="AA17">
            <v>0.10566318898133055</v>
          </cell>
          <cell r="AB17">
            <v>0.35653175968326156</v>
          </cell>
          <cell r="AC17">
            <v>7.6779975053056587E-2</v>
          </cell>
          <cell r="AD17">
            <v>-5.3115487001683705E-2</v>
          </cell>
          <cell r="AE17">
            <v>3.4742018797895811E-2</v>
          </cell>
          <cell r="AH17">
            <v>5.1088839765802301E-2</v>
          </cell>
          <cell r="AI17">
            <v>9.1355965910404707E-2</v>
          </cell>
          <cell r="AJ17">
            <v>0.22584556947034859</v>
          </cell>
          <cell r="AK17">
            <v>3.9756383400783371E-2</v>
          </cell>
          <cell r="AL17">
            <v>5.3705848367889934E-2</v>
          </cell>
          <cell r="AM17">
            <v>4.0264423076923316E-2</v>
          </cell>
          <cell r="AP17">
            <v>0.13010745229961793</v>
          </cell>
          <cell r="AQ17">
            <v>0.20896232773277043</v>
          </cell>
          <cell r="AR17">
            <v>0.52354575553053795</v>
          </cell>
          <cell r="AS17">
            <v>0.24465232254741115</v>
          </cell>
          <cell r="AT17">
            <v>0.2170089016009483</v>
          </cell>
          <cell r="AU17">
            <v>0.22010907800740426</v>
          </cell>
        </row>
        <row r="25">
          <cell r="B25">
            <v>5.0832253699625216</v>
          </cell>
          <cell r="C25">
            <v>6.2829690163176819</v>
          </cell>
          <cell r="D25">
            <v>6.899125046753384</v>
          </cell>
          <cell r="E25">
            <v>4.9411497037860359</v>
          </cell>
          <cell r="F25">
            <v>7.3708746405121071</v>
          </cell>
          <cell r="G25">
            <v>6.6721102251707425</v>
          </cell>
          <cell r="J25">
            <v>10.030863842027923</v>
          </cell>
          <cell r="K25">
            <v>16.353255302631581</v>
          </cell>
          <cell r="L25">
            <v>14.07050095908194</v>
          </cell>
          <cell r="M25">
            <v>12.851626717724288</v>
          </cell>
          <cell r="N25">
            <v>23.522703209820854</v>
          </cell>
          <cell r="O25">
            <v>19.996088515889113</v>
          </cell>
          <cell r="R25">
            <v>8.7587311737688189</v>
          </cell>
          <cell r="S25">
            <v>19.243041293026803</v>
          </cell>
          <cell r="T25">
            <v>8.8156330528226192</v>
          </cell>
          <cell r="U25">
            <v>40.558183380043488</v>
          </cell>
          <cell r="V25">
            <v>23.557445842527585</v>
          </cell>
          <cell r="W25">
            <v>80.030191039816671</v>
          </cell>
          <cell r="Z25">
            <v>30.357198250480252</v>
          </cell>
          <cell r="AA25">
            <v>13.158080848226863</v>
          </cell>
          <cell r="AB25">
            <v>3.9388871950489239</v>
          </cell>
          <cell r="AC25">
            <v>16.156940875627708</v>
          </cell>
          <cell r="AD25">
            <v>-41.579088257519359</v>
          </cell>
          <cell r="AE25">
            <v>67.640109679939144</v>
          </cell>
          <cell r="AH25">
            <v>5.1322120304049186</v>
          </cell>
          <cell r="AI25">
            <v>9.3949570951248003</v>
          </cell>
          <cell r="AJ25">
            <v>3.4461891012106856</v>
          </cell>
          <cell r="AK25">
            <v>15.694450225818169</v>
          </cell>
          <cell r="AL25">
            <v>19.691807563252599</v>
          </cell>
          <cell r="AM25">
            <v>22.93923404165599</v>
          </cell>
          <cell r="AP25">
            <v>6.4494936898864932</v>
          </cell>
          <cell r="AQ25">
            <v>6.4945066490915515</v>
          </cell>
          <cell r="AR25">
            <v>5.4154810755241805</v>
          </cell>
          <cell r="AS25">
            <v>5.8742086815512478</v>
          </cell>
          <cell r="AT25">
            <v>11.461515256181283</v>
          </cell>
          <cell r="AU25">
            <v>10.249558940451029</v>
          </cell>
        </row>
      </sheetData>
      <sheetData sheetId="5">
        <row r="7">
          <cell r="B7">
            <v>0.14072999999999999</v>
          </cell>
          <cell r="C7">
            <v>0.10557</v>
          </cell>
          <cell r="D7">
            <v>0.12721499999999999</v>
          </cell>
          <cell r="E7">
            <v>0.17700749999999998</v>
          </cell>
          <cell r="F7">
            <v>0.21354749999999997</v>
          </cell>
          <cell r="G7">
            <v>0.1434975</v>
          </cell>
        </row>
        <row r="19">
          <cell r="B19">
            <v>3.5000000000000003E-2</v>
          </cell>
        </row>
      </sheetData>
      <sheetData sheetId="6">
        <row r="5">
          <cell r="C5">
            <v>6.8810012693538036E-2</v>
          </cell>
          <cell r="D5">
            <v>163355.83215386738</v>
          </cell>
          <cell r="E5">
            <v>174596.34903793846</v>
          </cell>
          <cell r="F5">
            <v>186610.32603148441</v>
          </cell>
          <cell r="G5">
            <v>199450.98493445612</v>
          </cell>
          <cell r="H5">
            <v>213175.20973953471</v>
          </cell>
          <cell r="L5">
            <v>9.3636637585441607E-2</v>
          </cell>
          <cell r="M5">
            <v>38349.462333571093</v>
          </cell>
          <cell r="N5">
            <v>41940.377039696235</v>
          </cell>
          <cell r="O5">
            <v>45867.532924759049</v>
          </cell>
          <cell r="P5">
            <v>50162.414482173022</v>
          </cell>
          <cell r="Q5">
            <v>54859.454307450964</v>
          </cell>
          <cell r="U5">
            <v>0.14847794733219133</v>
          </cell>
          <cell r="V5">
            <v>194687.68467585841</v>
          </cell>
          <cell r="W5">
            <v>223594.51246738678</v>
          </cell>
          <cell r="X5">
            <v>256793.36671328644</v>
          </cell>
          <cell r="Y5">
            <v>294921.51869139785</v>
          </cell>
          <cell r="Z5">
            <v>338710.86041078909</v>
          </cell>
          <cell r="AD5">
            <v>6.5044050310158585E-2</v>
          </cell>
          <cell r="AE5">
            <v>234398.13232617266</v>
          </cell>
          <cell r="AF5">
            <v>249644.33623780345</v>
          </cell>
          <cell r="AG5">
            <v>265882.21500370128</v>
          </cell>
          <cell r="AH5">
            <v>283176.27117297845</v>
          </cell>
          <cell r="AI5">
            <v>301595.20280179678</v>
          </cell>
          <cell r="AM5">
            <v>8.7243892159845293E-2</v>
          </cell>
          <cell r="AN5">
            <v>112371.10308223894</v>
          </cell>
          <cell r="AO5">
            <v>122174.79548142866</v>
          </cell>
          <cell r="AP5">
            <v>132833.80016306159</v>
          </cell>
          <cell r="AQ5">
            <v>144422.73789967017</v>
          </cell>
          <cell r="AR5">
            <v>157022.73967041861</v>
          </cell>
          <cell r="AV5">
            <v>0.13052344626254819</v>
          </cell>
          <cell r="AW5">
            <v>28827.036472497315</v>
          </cell>
          <cell r="AX5">
            <v>32589.640618423837</v>
          </cell>
          <cell r="AY5">
            <v>36843.35282439844</v>
          </cell>
          <cell r="AZ5">
            <v>41652.27420690591</v>
          </cell>
          <cell r="BA5">
            <v>47088.872581063915</v>
          </cell>
        </row>
        <row r="6">
          <cell r="D6">
            <v>50453.826809084683</v>
          </cell>
          <cell r="E6">
            <v>53925.555272255369</v>
          </cell>
          <cell r="F6">
            <v>57636.173415045349</v>
          </cell>
          <cell r="G6">
            <v>61602.119239341584</v>
          </cell>
          <cell r="H6">
            <v>65840.961846149512</v>
          </cell>
          <cell r="M6">
            <v>20352.115481679572</v>
          </cell>
          <cell r="N6">
            <v>22257.819143134657</v>
          </cell>
          <cell r="O6">
            <v>24341.966487682661</v>
          </cell>
          <cell r="P6">
            <v>26621.26638180677</v>
          </cell>
          <cell r="Q6">
            <v>29113.99225406551</v>
          </cell>
          <cell r="V6">
            <v>34913.515599248203</v>
          </cell>
          <cell r="W6">
            <v>40097.40272957502</v>
          </cell>
          <cell r="X6">
            <v>46050.982780214523</v>
          </cell>
          <cell r="Y6">
            <v>52888.538176050861</v>
          </cell>
          <cell r="Z6">
            <v>60741.319761831124</v>
          </cell>
          <cell r="AE6">
            <v>26547.51777833658</v>
          </cell>
          <cell r="AF6">
            <v>28274.275860320533</v>
          </cell>
          <cell r="AG6">
            <v>30113.349281862524</v>
          </cell>
          <cell r="AH6">
            <v>32072.043487559367</v>
          </cell>
          <cell r="AI6">
            <v>34158.139097713778</v>
          </cell>
          <cell r="AN6">
            <v>11667.61560167192</v>
          </cell>
          <cell r="AO6">
            <v>12685.543798986713</v>
          </cell>
          <cell r="AP6">
            <v>13792.280014174507</v>
          </cell>
          <cell r="AQ6">
            <v>14995.572204369535</v>
          </cell>
          <cell r="AR6">
            <v>16303.844288642726</v>
          </cell>
          <cell r="AW6">
            <v>12894.322655283757</v>
          </cell>
          <cell r="AX6">
            <v>14577.334085472645</v>
          </cell>
          <cell r="AY6">
            <v>16480.017967629046</v>
          </cell>
          <cell r="AZ6">
            <v>18631.046707232705</v>
          </cell>
          <cell r="BA6">
            <v>21062.835130939216</v>
          </cell>
        </row>
        <row r="8">
          <cell r="D8">
            <v>37923.579481260633</v>
          </cell>
          <cell r="E8">
            <v>40533.101466750573</v>
          </cell>
          <cell r="F8">
            <v>43322.184693186151</v>
          </cell>
          <cell r="G8">
            <v>46303.184771836088</v>
          </cell>
          <cell r="H8">
            <v>49489.307503737364</v>
          </cell>
          <cell r="M8">
            <v>15546.775738347864</v>
          </cell>
          <cell r="N8">
            <v>17002.523543781681</v>
          </cell>
          <cell r="O8">
            <v>18594.582678888703</v>
          </cell>
          <cell r="P8">
            <v>20335.716878244337</v>
          </cell>
          <cell r="Q8">
            <v>22239.885029612647</v>
          </cell>
          <cell r="V8">
            <v>24006.910174704644</v>
          </cell>
          <cell r="W8">
            <v>27571.40691923309</v>
          </cell>
          <cell r="X8">
            <v>31665.152823661396</v>
          </cell>
          <cell r="Y8">
            <v>36366.729716878777</v>
          </cell>
          <cell r="Z8">
            <v>41766.387096425533</v>
          </cell>
          <cell r="AE8">
            <v>17294.010189120359</v>
          </cell>
          <cell r="AF8">
            <v>18418.8826579259</v>
          </cell>
          <cell r="AG8">
            <v>19616.921388184939</v>
          </cell>
          <cell r="AH8">
            <v>20892.885409888466</v>
          </cell>
          <cell r="AI8">
            <v>22251.843299613633</v>
          </cell>
          <cell r="AN8">
            <v>8510.8397228521662</v>
          </cell>
          <cell r="AO8">
            <v>9253.3585058224071</v>
          </cell>
          <cell r="AP8">
            <v>10060.657517420766</v>
          </cell>
          <cell r="AQ8">
            <v>10938.38843692776</v>
          </cell>
          <cell r="AR8">
            <v>11892.696018121584</v>
          </cell>
          <cell r="AW8">
            <v>9222.0757888482858</v>
          </cell>
          <cell r="AX8">
            <v>10425.772902503173</v>
          </cell>
          <cell r="AY8">
            <v>11786.580711688577</v>
          </cell>
          <cell r="AZ8">
            <v>13325.005845829848</v>
          </cell>
          <cell r="BA8">
            <v>15064.231530296158</v>
          </cell>
        </row>
        <row r="10">
          <cell r="D10">
            <v>15284.369275498684</v>
          </cell>
          <cell r="E10">
            <v>16336.086919358471</v>
          </cell>
          <cell r="F10">
            <v>17460.173267642269</v>
          </cell>
          <cell r="G10">
            <v>18661.608011820106</v>
          </cell>
          <cell r="H10">
            <v>19945.713495995278</v>
          </cell>
          <cell r="M10">
            <v>4473.7556003619247</v>
          </cell>
          <cell r="N10">
            <v>4892.6630321588545</v>
          </cell>
          <cell r="O10">
            <v>5350.7955473288011</v>
          </cell>
          <cell r="P10">
            <v>5851.8260507878231</v>
          </cell>
          <cell r="Q10">
            <v>6399.7713659184883</v>
          </cell>
          <cell r="V10">
            <v>18026.801203080566</v>
          </cell>
          <cell r="W10">
            <v>20703.383642679444</v>
          </cell>
          <cell r="X10">
            <v>23777.379548775356</v>
          </cell>
          <cell r="Y10">
            <v>27307.796057115942</v>
          </cell>
          <cell r="Z10">
            <v>31362.401561842624</v>
          </cell>
          <cell r="AE10">
            <v>14256.866697076794</v>
          </cell>
          <cell r="AF10">
            <v>15184.19105178668</v>
          </cell>
          <cell r="AG10">
            <v>16171.832338478152</v>
          </cell>
          <cell r="AH10">
            <v>17223.713814709576</v>
          </cell>
          <cell r="AI10">
            <v>18344.01392260132</v>
          </cell>
          <cell r="AN10">
            <v>5484.6600673715766</v>
          </cell>
          <cell r="AO10">
            <v>5963.1631588227528</v>
          </cell>
          <cell r="AP10">
            <v>6483.4127223826472</v>
          </cell>
          <cell r="AQ10">
            <v>7049.0508827619678</v>
          </cell>
          <cell r="AR10">
            <v>7664.0375178069162</v>
          </cell>
          <cell r="AW10">
            <v>2782.7260578593718</v>
          </cell>
          <cell r="AX10">
            <v>3145.9370529357725</v>
          </cell>
          <cell r="AY10">
            <v>3556.5555988099941</v>
          </cell>
          <cell r="AZ10">
            <v>4020.7694923910349</v>
          </cell>
          <cell r="BA10">
            <v>4545.5741831652294</v>
          </cell>
        </row>
        <row r="12">
          <cell r="D12">
            <v>14647.513082213147</v>
          </cell>
          <cell r="E12">
            <v>28608.750153447261</v>
          </cell>
          <cell r="F12">
            <v>30577.318614652228</v>
          </cell>
          <cell r="G12">
            <v>32681.344296660805</v>
          </cell>
          <cell r="H12">
            <v>34930.148012555917</v>
          </cell>
          <cell r="M12">
            <v>14137.35396987752</v>
          </cell>
          <cell r="N12">
            <v>16297.173772305401</v>
          </cell>
          <cell r="O12">
            <v>17823.186326489718</v>
          </cell>
          <cell r="P12">
            <v>19492.089565161041</v>
          </cell>
          <cell r="Q12">
            <v>21317.263291556992</v>
          </cell>
          <cell r="V12">
            <v>23049.977964702837</v>
          </cell>
          <cell r="W12">
            <v>17431.446378274515</v>
          </cell>
          <cell r="X12">
            <v>20019.631755551873</v>
          </cell>
          <cell r="Y12">
            <v>22992.10558496257</v>
          </cell>
          <cell r="Z12">
            <v>26405.92622706281</v>
          </cell>
          <cell r="AE12">
            <v>14951.847013863209</v>
          </cell>
          <cell r="AF12">
            <v>15805.295447735325</v>
          </cell>
          <cell r="AG12">
            <v>16833.335880004743</v>
          </cell>
          <cell r="AH12">
            <v>17928.244225871567</v>
          </cell>
          <cell r="AI12">
            <v>19094.369845271973</v>
          </cell>
          <cell r="AN12">
            <v>9586.1300196349475</v>
          </cell>
          <cell r="AO12">
            <v>9942.3043443507577</v>
          </cell>
          <cell r="AP12">
            <v>10809.709672389661</v>
          </cell>
          <cell r="AQ12">
            <v>11752.790817326862</v>
          </cell>
          <cell r="AR12">
            <v>12778.150031970945</v>
          </cell>
          <cell r="AW12">
            <v>6935.5698967137942</v>
          </cell>
          <cell r="AX12">
            <v>6011.5323091642749</v>
          </cell>
          <cell r="AY12">
            <v>6796.1782234750553</v>
          </cell>
          <cell r="AZ12">
            <v>7683.2388266175021</v>
          </cell>
          <cell r="BA12">
            <v>8686.0816367258303</v>
          </cell>
        </row>
        <row r="22">
          <cell r="B22">
            <v>452.24764991104757</v>
          </cell>
          <cell r="K22">
            <v>589.31731355362751</v>
          </cell>
          <cell r="T22">
            <v>866.4679803935154</v>
          </cell>
          <cell r="AC22">
            <v>67.953853452686232</v>
          </cell>
          <cell r="AL22">
            <v>131.50022609450448</v>
          </cell>
          <cell r="AU22">
            <v>75.958980818300674</v>
          </cell>
        </row>
        <row r="23">
          <cell r="B23">
            <v>382.2</v>
          </cell>
          <cell r="K23">
            <v>489.95</v>
          </cell>
          <cell r="T23">
            <v>1145.2</v>
          </cell>
          <cell r="AC23">
            <v>171.94</v>
          </cell>
          <cell r="AL23">
            <v>131.72</v>
          </cell>
          <cell r="AU23">
            <v>76.23</v>
          </cell>
        </row>
      </sheetData>
      <sheetData sheetId="7"/>
      <sheetData sheetId="8">
        <row r="7">
          <cell r="C7">
            <v>7.8343638700905507E-2</v>
          </cell>
        </row>
        <row r="8">
          <cell r="L8">
            <v>0.4338456935774932</v>
          </cell>
          <cell r="R8">
            <v>0.39999999999999997</v>
          </cell>
        </row>
        <row r="9">
          <cell r="G9">
            <v>11.87628915488275</v>
          </cell>
        </row>
        <row r="14">
          <cell r="C14">
            <v>8.482991040983219E-2</v>
          </cell>
        </row>
        <row r="28">
          <cell r="C28">
            <v>7.8343638700905507E-2</v>
          </cell>
        </row>
        <row r="35">
          <cell r="C35">
            <v>7.834363870090548E-2</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Key Assumptions-WACC"/>
      <sheetName val="Valuation-FCFF"/>
      <sheetName val="Valuation-Summary"/>
      <sheetName val="5b"/>
      <sheetName val="NAV"/>
      <sheetName val="5c"/>
    </sheetNames>
    <sheetDataSet>
      <sheetData sheetId="0" refreshError="1"/>
      <sheetData sheetId="1">
        <row r="35">
          <cell r="F35">
            <v>83982</v>
          </cell>
          <cell r="G35">
            <v>94046.7</v>
          </cell>
        </row>
        <row r="39">
          <cell r="N39">
            <v>77509.34</v>
          </cell>
          <cell r="O39">
            <v>89098</v>
          </cell>
        </row>
        <row r="40">
          <cell r="AB40">
            <v>5053.01</v>
          </cell>
          <cell r="AC40">
            <v>5909.85</v>
          </cell>
          <cell r="AD40">
            <v>7511.1100000000006</v>
          </cell>
        </row>
        <row r="41">
          <cell r="AJ41">
            <v>10623.949999999999</v>
          </cell>
          <cell r="AK41">
            <v>11141.300000000001</v>
          </cell>
          <cell r="AL41">
            <v>12901.5</v>
          </cell>
          <cell r="AM41">
            <v>13934.119999999999</v>
          </cell>
        </row>
        <row r="42">
          <cell r="V42">
            <v>93094</v>
          </cell>
          <cell r="W42">
            <v>122754</v>
          </cell>
        </row>
        <row r="43">
          <cell r="AR43">
            <v>22364.6</v>
          </cell>
          <cell r="AS43">
            <v>24376.899999999998</v>
          </cell>
          <cell r="AT43">
            <v>28215.499999999996</v>
          </cell>
        </row>
      </sheetData>
      <sheetData sheetId="2">
        <row r="24">
          <cell r="G24">
            <v>13955.199999999983</v>
          </cell>
        </row>
        <row r="26">
          <cell r="AM26">
            <v>800.49999999999818</v>
          </cell>
        </row>
        <row r="27">
          <cell r="AD27">
            <v>1686.3699999999994</v>
          </cell>
        </row>
        <row r="29">
          <cell r="O29">
            <v>14073.16999999998</v>
          </cell>
        </row>
        <row r="34">
          <cell r="AT34">
            <v>3019.6000000000145</v>
          </cell>
        </row>
        <row r="42">
          <cell r="W42">
            <v>28149</v>
          </cell>
        </row>
      </sheetData>
      <sheetData sheetId="3">
        <row r="36">
          <cell r="AM36">
            <v>-170</v>
          </cell>
        </row>
        <row r="40">
          <cell r="AT40">
            <v>-440.9</v>
          </cell>
        </row>
        <row r="52">
          <cell r="G52">
            <v>-7.9</v>
          </cell>
          <cell r="O52">
            <v>-2348.5500000000002</v>
          </cell>
          <cell r="AD52">
            <v>2345.400000000001</v>
          </cell>
        </row>
        <row r="74">
          <cell r="W74">
            <v>-2303</v>
          </cell>
        </row>
      </sheetData>
      <sheetData sheetId="4">
        <row r="4">
          <cell r="C4">
            <v>0.46231889185698871</v>
          </cell>
          <cell r="D4">
            <v>0.96121708383735016</v>
          </cell>
          <cell r="E4">
            <v>0.77898786970951928</v>
          </cell>
          <cell r="F4">
            <v>0.36464865993942497</v>
          </cell>
          <cell r="G4">
            <v>0.59500974760889203</v>
          </cell>
          <cell r="H4">
            <v>0.67847024965663338</v>
          </cell>
          <cell r="L4">
            <v>0.98007851208453611</v>
          </cell>
          <cell r="M4">
            <v>1.2153031887215353</v>
          </cell>
          <cell r="N4">
            <v>1.1290471754980114</v>
          </cell>
          <cell r="O4">
            <v>1.0551302426585885</v>
          </cell>
          <cell r="P4">
            <v>1.0546625781894789</v>
          </cell>
          <cell r="Q4">
            <v>1.1762619100261387</v>
          </cell>
          <cell r="U4">
            <v>0.58474533130230133</v>
          </cell>
          <cell r="V4">
            <v>0.70237480790708384</v>
          </cell>
          <cell r="W4">
            <v>0.74153913110593039</v>
          </cell>
          <cell r="X4">
            <v>0.71453904289005044</v>
          </cell>
          <cell r="Y4">
            <v>0.69465947838908859</v>
          </cell>
          <cell r="Z4">
            <v>0.67826546039211921</v>
          </cell>
          <cell r="AD4">
            <v>0.85290027969405247</v>
          </cell>
          <cell r="AE4">
            <v>0.84055859950443257</v>
          </cell>
          <cell r="AF4">
            <v>0.80897606939788003</v>
          </cell>
          <cell r="AG4">
            <v>0.78583723144645568</v>
          </cell>
          <cell r="AH4">
            <v>0.91429063473606142</v>
          </cell>
          <cell r="AM4">
            <v>0.92121911088557751</v>
          </cell>
          <cell r="AN4">
            <v>0.75321812933289767</v>
          </cell>
          <cell r="AO4">
            <v>0.80414785793373655</v>
          </cell>
          <cell r="AP4">
            <v>0.74546933431204265</v>
          </cell>
          <cell r="AQ4">
            <v>0.53579715619350843</v>
          </cell>
          <cell r="AR4">
            <v>0.44880679276984281</v>
          </cell>
          <cell r="AV4">
            <v>0.73113005089214533</v>
          </cell>
          <cell r="AW4">
            <v>0.75158542053680089</v>
          </cell>
          <cell r="AX4">
            <v>0.72579233844731716</v>
          </cell>
          <cell r="AY4">
            <v>0.68893783117817664</v>
          </cell>
          <cell r="AZ4">
            <v>0.74624404368126873</v>
          </cell>
        </row>
        <row r="5">
          <cell r="C5">
            <v>2.2596607069885625E-3</v>
          </cell>
          <cell r="D5">
            <v>9.363702510066553E-3</v>
          </cell>
          <cell r="E5">
            <v>6.9017864404022876E-3</v>
          </cell>
          <cell r="F5">
            <v>1.9675909068105055E-2</v>
          </cell>
          <cell r="G5">
            <v>3.9413207592103069E-4</v>
          </cell>
          <cell r="H5">
            <v>0</v>
          </cell>
          <cell r="L5">
            <v>1.3116702212813189</v>
          </cell>
          <cell r="M5">
            <v>1.1757261230157092</v>
          </cell>
          <cell r="N5">
            <v>1.3139786777922351</v>
          </cell>
          <cell r="O5">
            <v>1.3232590626621614</v>
          </cell>
          <cell r="P5">
            <v>1.3314941141286976</v>
          </cell>
          <cell r="Q5">
            <v>1.3599962962131587</v>
          </cell>
          <cell r="U5">
            <v>1.5601015712586643</v>
          </cell>
          <cell r="V5">
            <v>2.0199777508742049</v>
          </cell>
          <cell r="W5">
            <v>2.8603412085853015</v>
          </cell>
          <cell r="X5">
            <v>2.3890045743772141</v>
          </cell>
          <cell r="Y5">
            <v>1.0580810793391626</v>
          </cell>
          <cell r="Z5">
            <v>0.50914023168287792</v>
          </cell>
          <cell r="AD5">
            <v>2.4984263288778363</v>
          </cell>
          <cell r="AE5">
            <v>2.218409732092224</v>
          </cell>
          <cell r="AF5">
            <v>3.0273599300219076</v>
          </cell>
          <cell r="AG5">
            <v>3.6593534522872826</v>
          </cell>
          <cell r="AH5">
            <v>3.3665623323317058</v>
          </cell>
          <cell r="AM5">
            <v>1.0343461882086378E-2</v>
          </cell>
          <cell r="AN5">
            <v>1.8070667583066996E-2</v>
          </cell>
          <cell r="AO5">
            <v>1.9694181542646572E-2</v>
          </cell>
          <cell r="AP5">
            <v>2.5076068322368122E-2</v>
          </cell>
          <cell r="AQ5">
            <v>5.4021625392396237E-2</v>
          </cell>
          <cell r="AR5">
            <v>0.112039368112231</v>
          </cell>
          <cell r="AV5">
            <v>0.78707532089114329</v>
          </cell>
          <cell r="AW5">
            <v>0.53221497958863728</v>
          </cell>
          <cell r="AX5">
            <v>0.57058476342076325</v>
          </cell>
          <cell r="AY5">
            <v>0.49906673941313301</v>
          </cell>
          <cell r="AZ5">
            <v>0.61495631833566666</v>
          </cell>
        </row>
        <row r="6">
          <cell r="C6">
            <v>53.926974664679541</v>
          </cell>
          <cell r="D6">
            <v>53.26915520628684</v>
          </cell>
          <cell r="E6">
            <v>38.102685624012665</v>
          </cell>
          <cell r="F6">
            <v>56.203743315508007</v>
          </cell>
          <cell r="G6">
            <v>89.200310559006155</v>
          </cell>
          <cell r="H6">
            <v>100.34334541688234</v>
          </cell>
          <cell r="L6">
            <v>2.3617182764089906</v>
          </cell>
          <cell r="M6">
            <v>2.4105423927685341</v>
          </cell>
          <cell r="N6">
            <v>3.1122368250615242</v>
          </cell>
          <cell r="O6">
            <v>3.6866013688526031</v>
          </cell>
          <cell r="P6">
            <v>3.6147957923188585</v>
          </cell>
          <cell r="Q6">
            <v>3.5998938722217129</v>
          </cell>
          <cell r="U6">
            <v>-6.4225984457422086E-2</v>
          </cell>
          <cell r="V6">
            <v>1.4059121890734652</v>
          </cell>
          <cell r="W6">
            <v>0.31551483806672803</v>
          </cell>
          <cell r="X6">
            <v>1.143467103744765</v>
          </cell>
          <cell r="Y6">
            <v>4.775085593889913</v>
          </cell>
          <cell r="Z6">
            <v>7.6974227818217589</v>
          </cell>
          <cell r="AD6">
            <v>2.0699791700798134</v>
          </cell>
          <cell r="AE6">
            <v>1.9515025695129897</v>
          </cell>
          <cell r="AF6">
            <v>2.1746399778775163</v>
          </cell>
          <cell r="AG6">
            <v>2.4464832698535708</v>
          </cell>
          <cell r="AH6">
            <v>2.4246830452555348</v>
          </cell>
          <cell r="AM6">
            <v>11.286572108913953</v>
          </cell>
          <cell r="AN6">
            <v>8.5560165975103661</v>
          </cell>
          <cell r="AO6">
            <v>16.765796816018348</v>
          </cell>
          <cell r="AP6">
            <v>16.406148429035731</v>
          </cell>
          <cell r="AQ6">
            <v>11.613534482758611</v>
          </cell>
          <cell r="AR6">
            <v>8.6845063059530698</v>
          </cell>
          <cell r="AV6">
            <v>3.6396761133603173</v>
          </cell>
          <cell r="AW6">
            <v>3.2496578690127165</v>
          </cell>
          <cell r="AX6">
            <v>3.6839292296350954</v>
          </cell>
          <cell r="AY6">
            <v>4.2629017799974394</v>
          </cell>
          <cell r="AZ6">
            <v>3.1270428445229759</v>
          </cell>
        </row>
        <row r="27">
          <cell r="C27">
            <v>2.13484498961246E-3</v>
          </cell>
          <cell r="D27">
            <v>8.911899815453336E-3</v>
          </cell>
          <cell r="E27">
            <v>6.6265269294836201E-3</v>
          </cell>
          <cell r="F27">
            <v>1.8852652210588992E-2</v>
          </cell>
          <cell r="G27">
            <v>3.7890885696591301E-4</v>
          </cell>
          <cell r="H27">
            <v>0</v>
          </cell>
          <cell r="L27">
            <v>0.55324922382991293</v>
          </cell>
          <cell r="M27">
            <v>0.51777927823908365</v>
          </cell>
          <cell r="N27">
            <v>0.6337153903599142</v>
          </cell>
          <cell r="O27">
            <v>0.65601553324470874</v>
          </cell>
          <cell r="P27">
            <v>0.64199047395578424</v>
          </cell>
          <cell r="Q27">
            <v>0.64706928059844415</v>
          </cell>
          <cell r="U27">
            <v>0.54868699374662466</v>
          </cell>
          <cell r="V27">
            <v>0.6191479810129239</v>
          </cell>
          <cell r="W27">
            <v>0.77625472720692645</v>
          </cell>
          <cell r="X27">
            <v>0.69404948411814038</v>
          </cell>
          <cell r="Y27">
            <v>0.49988327717104464</v>
          </cell>
          <cell r="Z27">
            <v>0.29486502042857549</v>
          </cell>
          <cell r="AM27">
            <v>3.19093921019282E-3</v>
          </cell>
          <cell r="AN27">
            <v>5.5375738517646957E-3</v>
          </cell>
          <cell r="AO27">
            <v>1.8861835231416504E-2</v>
          </cell>
          <cell r="AP27">
            <v>2.3790607231874549E-2</v>
          </cell>
          <cell r="AQ27">
            <v>5.0863859482165964E-2</v>
          </cell>
          <cell r="AR27">
            <v>0.10061769054374038</v>
          </cell>
          <cell r="AV27">
            <v>0.45010993249758913</v>
          </cell>
          <cell r="AW27">
            <v>0.31759545459452276</v>
          </cell>
          <cell r="AX27">
            <v>0.37548845366163713</v>
          </cell>
          <cell r="AY27">
            <v>0.35431016154914768</v>
          </cell>
          <cell r="AZ27">
            <v>0.4007108331620528</v>
          </cell>
        </row>
        <row r="28">
          <cell r="AD28">
            <v>0.96446701051472195</v>
          </cell>
          <cell r="AE28">
            <v>0.84351559638324836</v>
          </cell>
          <cell r="AF28">
            <v>1.1571167390434465</v>
          </cell>
          <cell r="AG28">
            <v>1.3504400154612688</v>
          </cell>
          <cell r="AH28">
            <v>1.1960231290425571</v>
          </cell>
        </row>
      </sheetData>
      <sheetData sheetId="5">
        <row r="4">
          <cell r="B4">
            <v>0.28439999999999999</v>
          </cell>
          <cell r="C4">
            <v>0.87829999999999997</v>
          </cell>
          <cell r="D4">
            <v>1.2586999999999999</v>
          </cell>
          <cell r="E4">
            <v>0.19209999999999999</v>
          </cell>
          <cell r="F4">
            <v>1.0163</v>
          </cell>
          <cell r="G4">
            <v>1.8209</v>
          </cell>
        </row>
        <row r="9">
          <cell r="B9">
            <v>4.3500000000000004E-2</v>
          </cell>
          <cell r="C9">
            <v>5.8164847313804391E-2</v>
          </cell>
          <cell r="D9">
            <v>5.5659517307368844E-2</v>
          </cell>
          <cell r="E9">
            <v>5.5595924955285744E-2</v>
          </cell>
          <cell r="F9">
            <v>6.9000000000000006E-2</v>
          </cell>
          <cell r="G9">
            <v>5.0646613522968398E-2</v>
          </cell>
        </row>
        <row r="14">
          <cell r="B14">
            <v>5.5947554895767904E-3</v>
          </cell>
          <cell r="C14">
            <v>0.56734736564724331</v>
          </cell>
          <cell r="D14">
            <v>0.59399436585658028</v>
          </cell>
          <cell r="E14">
            <v>0.75394703138673858</v>
          </cell>
          <cell r="F14">
            <v>4.5065317385334563E-2</v>
          </cell>
          <cell r="G14">
            <v>0.37113160695282016</v>
          </cell>
        </row>
        <row r="15">
          <cell r="B15">
            <v>8.8295410587768616E-2</v>
          </cell>
          <cell r="C15">
            <v>8.9964700284710333E-2</v>
          </cell>
          <cell r="D15">
            <v>9.773067482236511E-2</v>
          </cell>
          <cell r="E15">
            <v>6.2054947030724145E-2</v>
          </cell>
          <cell r="F15">
            <v>0.13840788041166111</v>
          </cell>
          <cell r="G15">
            <v>0.14463145172231287</v>
          </cell>
        </row>
      </sheetData>
      <sheetData sheetId="6">
        <row r="3">
          <cell r="D3">
            <v>161753.61646641558</v>
          </cell>
          <cell r="E3">
            <v>180299.73731190301</v>
          </cell>
          <cell r="F3">
            <v>200972.29344786098</v>
          </cell>
          <cell r="G3">
            <v>224015.09472985068</v>
          </cell>
          <cell r="H3">
            <v>249699.90542424237</v>
          </cell>
          <cell r="M3">
            <v>179730.04496472565</v>
          </cell>
          <cell r="N3">
            <v>203483.08619712663</v>
          </cell>
          <cell r="O3">
            <v>230375.31858645895</v>
          </cell>
          <cell r="P3">
            <v>260821.61621235474</v>
          </cell>
          <cell r="Q3">
            <v>295291.68272465898</v>
          </cell>
          <cell r="V3">
            <v>476706.32996391284</v>
          </cell>
          <cell r="W3">
            <v>520233.5167669662</v>
          </cell>
          <cell r="X3">
            <v>567735.09172452823</v>
          </cell>
          <cell r="Y3">
            <v>619573.94898076158</v>
          </cell>
          <cell r="Z3">
            <v>676146.11788322311</v>
          </cell>
          <cell r="AE3">
            <v>45305.299316393772</v>
          </cell>
          <cell r="AF3">
            <v>52435.401184118993</v>
          </cell>
          <cell r="AG3">
            <v>60687.63122252695</v>
          </cell>
          <cell r="AH3">
            <v>70238.588820350007</v>
          </cell>
          <cell r="AI3">
            <v>81292.666398271307</v>
          </cell>
          <cell r="AJ3">
            <v>94086.423447988884</v>
          </cell>
          <cell r="AO3">
            <v>17747.906803958085</v>
          </cell>
          <cell r="AP3">
            <v>18273.055858009073</v>
          </cell>
          <cell r="AQ3">
            <v>18813.743732046943</v>
          </cell>
          <cell r="AR3">
            <v>19370.430209679267</v>
          </cell>
          <cell r="AS3">
            <v>19943.588679212426</v>
          </cell>
          <cell r="AX3">
            <v>107712.13703060281</v>
          </cell>
          <cell r="AY3">
            <v>118653.87253040374</v>
          </cell>
          <cell r="AZ3">
            <v>130707.10371720963</v>
          </cell>
          <cell r="BA3">
            <v>143984.73979653485</v>
          </cell>
          <cell r="BB3">
            <v>158611.15964385192</v>
          </cell>
          <cell r="BC3">
            <v>174723.3769295107</v>
          </cell>
        </row>
        <row r="4">
          <cell r="D4">
            <v>15520.791997518045</v>
          </cell>
          <cell r="E4">
            <v>17300.353347006694</v>
          </cell>
          <cell r="F4">
            <v>19283.953162902228</v>
          </cell>
          <cell r="G4">
            <v>21494.985803474814</v>
          </cell>
          <cell r="H4">
            <v>23959.527944738475</v>
          </cell>
          <cell r="M4">
            <v>30921.005751523382</v>
          </cell>
          <cell r="N4">
            <v>35909.386296632023</v>
          </cell>
          <cell r="O4">
            <v>41702.525285330179</v>
          </cell>
          <cell r="P4">
            <v>48430.251656423185</v>
          </cell>
          <cell r="Q4">
            <v>56243.339209233942</v>
          </cell>
          <cell r="V4">
            <v>40839.28830757011</v>
          </cell>
          <cell r="W4">
            <v>42627.59979217995</v>
          </cell>
          <cell r="X4">
            <v>44494.219643524833</v>
          </cell>
          <cell r="Y4">
            <v>46442.576906462709</v>
          </cell>
          <cell r="Z4">
            <v>48476.250780287482</v>
          </cell>
          <cell r="AE4">
            <v>5676.7404794120557</v>
          </cell>
          <cell r="AF4">
            <v>6894.4424651100244</v>
          </cell>
          <cell r="AG4">
            <v>8373.3503543278857</v>
          </cell>
          <cell r="AH4">
            <v>10169.49470695221</v>
          </cell>
          <cell r="AI4">
            <v>12350.925044152202</v>
          </cell>
          <cell r="AJ4">
            <v>15000.288002704887</v>
          </cell>
          <cell r="AO4">
            <v>1372.9551573313295</v>
          </cell>
          <cell r="AP4">
            <v>1418.9085834614477</v>
          </cell>
          <cell r="AQ4">
            <v>1466.4000914158848</v>
          </cell>
          <cell r="AR4">
            <v>1515.4811614845239</v>
          </cell>
          <cell r="AS4">
            <v>1566.204997025686</v>
          </cell>
          <cell r="AX4">
            <v>6869.5154200789293</v>
          </cell>
          <cell r="AY4">
            <v>8332.0518577435359</v>
          </cell>
          <cell r="AZ4">
            <v>10105.965838174048</v>
          </cell>
          <cell r="BA4">
            <v>12257.55039287521</v>
          </cell>
          <cell r="BB4">
            <v>14867.212500000101</v>
          </cell>
          <cell r="BC4">
            <v>18032.477977707265</v>
          </cell>
        </row>
        <row r="6">
          <cell r="D6">
            <v>11640.593998138535</v>
          </cell>
          <cell r="E6">
            <v>12975.265010255021</v>
          </cell>
          <cell r="F6">
            <v>14462.964872176672</v>
          </cell>
          <cell r="G6">
            <v>16121.23935260611</v>
          </cell>
          <cell r="H6">
            <v>17969.645958553854</v>
          </cell>
          <cell r="M6">
            <v>23190.754313642537</v>
          </cell>
          <cell r="N6">
            <v>26932.039722474015</v>
          </cell>
          <cell r="O6">
            <v>31276.893963997634</v>
          </cell>
          <cell r="P6">
            <v>36322.68874231739</v>
          </cell>
          <cell r="Q6">
            <v>42182.504406925458</v>
          </cell>
          <cell r="V6">
            <v>30629.466230677583</v>
          </cell>
          <cell r="W6">
            <v>31970.699844134964</v>
          </cell>
          <cell r="X6">
            <v>33370.664732643621</v>
          </cell>
          <cell r="Y6">
            <v>34831.932679847028</v>
          </cell>
          <cell r="Z6">
            <v>36357.18808521561</v>
          </cell>
          <cell r="AE6">
            <v>4257.5553595590418</v>
          </cell>
          <cell r="AF6">
            <v>5170.8318488325185</v>
          </cell>
          <cell r="AG6">
            <v>6280.0127657459143</v>
          </cell>
          <cell r="AH6">
            <v>7627.1210302141571</v>
          </cell>
          <cell r="AI6">
            <v>9263.1937831141513</v>
          </cell>
          <cell r="AJ6">
            <v>11250.216002028665</v>
          </cell>
          <cell r="AO6">
            <v>1029.7163679984972</v>
          </cell>
          <cell r="AP6">
            <v>1064.1814375960857</v>
          </cell>
          <cell r="AQ6">
            <v>1099.8000685619136</v>
          </cell>
          <cell r="AR6">
            <v>1136.6108711133929</v>
          </cell>
          <cell r="AS6">
            <v>1174.6537477692646</v>
          </cell>
          <cell r="AX6">
            <v>5152.136565059197</v>
          </cell>
          <cell r="AY6">
            <v>6249.038893307652</v>
          </cell>
          <cell r="AZ6">
            <v>7579.4743786305362</v>
          </cell>
          <cell r="BA6">
            <v>9193.1627946564076</v>
          </cell>
          <cell r="BB6">
            <v>11150.409375000076</v>
          </cell>
          <cell r="BC6">
            <v>13524.358483280448</v>
          </cell>
        </row>
        <row r="7">
          <cell r="D7">
            <v>3101.6518146549711</v>
          </cell>
          <cell r="E7">
            <v>3045.0555437446505</v>
          </cell>
          <cell r="F7">
            <v>2989.4919928404315</v>
          </cell>
          <cell r="G7">
            <v>2934.9423177571075</v>
          </cell>
          <cell r="H7">
            <v>2881.3880181619343</v>
          </cell>
          <cell r="M7">
            <v>6701.2797576822204</v>
          </cell>
          <cell r="N7">
            <v>7393.7665803464943</v>
          </cell>
          <cell r="O7">
            <v>8157.8125703495034</v>
          </cell>
          <cell r="P7">
            <v>9000.8124018750987</v>
          </cell>
          <cell r="Q7">
            <v>9930.9248888857092</v>
          </cell>
          <cell r="V7">
            <v>23640.470358203282</v>
          </cell>
          <cell r="W7">
            <v>24031.296816180256</v>
          </cell>
          <cell r="X7">
            <v>24428.584453564425</v>
          </cell>
          <cell r="Y7">
            <v>24832.440087175582</v>
          </cell>
          <cell r="Z7">
            <v>25242.972299739136</v>
          </cell>
          <cell r="AE7">
            <v>1091.075285671162</v>
          </cell>
          <cell r="AF7">
            <v>1220.8192622471158</v>
          </cell>
          <cell r="AG7">
            <v>1365.9915962231614</v>
          </cell>
          <cell r="AH7">
            <v>1528.426933170884</v>
          </cell>
          <cell r="AI7">
            <v>1710.1780834532367</v>
          </cell>
          <cell r="AJ7">
            <v>1913.5419650425595</v>
          </cell>
          <cell r="AO7">
            <v>615.5303111190251</v>
          </cell>
          <cell r="AP7">
            <v>650.61229506179177</v>
          </cell>
          <cell r="AQ7">
            <v>687.69376721030255</v>
          </cell>
          <cell r="AR7">
            <v>726.8886878551566</v>
          </cell>
          <cell r="AS7">
            <v>768.31751242295638</v>
          </cell>
          <cell r="AX7">
            <v>4075.9856917494199</v>
          </cell>
          <cell r="AY7">
            <v>4359.9683399412143</v>
          </cell>
          <cell r="AZ7">
            <v>4663.7366671252748</v>
          </cell>
          <cell r="BA7">
            <v>4988.6691839101813</v>
          </cell>
          <cell r="BB7">
            <v>5336.2404446894507</v>
          </cell>
          <cell r="BC7">
            <v>5708.0277392176249</v>
          </cell>
        </row>
        <row r="8">
          <cell r="C8">
            <v>4.4798674356883741E-2</v>
          </cell>
          <cell r="L8">
            <v>7.0737688104389962E-2</v>
          </cell>
          <cell r="U8">
            <v>4.2108331760354112E-2</v>
          </cell>
          <cell r="AD8">
            <v>2.3201546469194367E-2</v>
          </cell>
          <cell r="AN8">
            <v>0.21421873649663903</v>
          </cell>
          <cell r="AW8">
            <v>0.12650027274737941</v>
          </cell>
        </row>
        <row r="33">
          <cell r="C33">
            <v>0.14154823851860587</v>
          </cell>
        </row>
      </sheetData>
      <sheetData sheetId="7" refreshError="1"/>
      <sheetData sheetId="8">
        <row r="8">
          <cell r="C8">
            <v>9.1680897524922852E-2</v>
          </cell>
        </row>
        <row r="15">
          <cell r="C15">
            <v>7.1946331082550899E-2</v>
          </cell>
        </row>
      </sheetData>
      <sheetData sheetId="9" refreshError="1"/>
      <sheetData sheetId="10">
        <row r="2">
          <cell r="P2">
            <v>0.2</v>
          </cell>
        </row>
        <row r="3">
          <cell r="P3">
            <v>0.2</v>
          </cell>
        </row>
        <row r="4">
          <cell r="P4">
            <v>0.2</v>
          </cell>
        </row>
        <row r="5">
          <cell r="P5">
            <v>0.2</v>
          </cell>
        </row>
        <row r="6">
          <cell r="P6">
            <v>0.1</v>
          </cell>
        </row>
        <row r="7">
          <cell r="P7">
            <v>0.2</v>
          </cell>
        </row>
        <row r="8">
          <cell r="P8">
            <v>0.18333333333333335</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row r="10">
          <cell r="B10">
            <v>11.279500000000001</v>
          </cell>
          <cell r="C10">
            <v>13.438599999999999</v>
          </cell>
          <cell r="D10">
            <v>14.1732</v>
          </cell>
          <cell r="E10"/>
          <cell r="F10"/>
        </row>
      </sheetData>
      <sheetData sheetId="1"/>
      <sheetData sheetId="2">
        <row r="3">
          <cell r="B3">
            <v>7.7882486310618448E-2</v>
          </cell>
          <cell r="C3">
            <v>8.882178251995132E-2</v>
          </cell>
          <cell r="D3">
            <v>5.0497705183740971E-2</v>
          </cell>
          <cell r="E3">
            <v>5.8718129429319976E-2</v>
          </cell>
          <cell r="F3">
            <v>1.2252958180411389E-2</v>
          </cell>
          <cell r="G3">
            <v>0.25374351757370817</v>
          </cell>
        </row>
        <row r="6">
          <cell r="B6">
            <v>4.5680155865725512E-2</v>
          </cell>
          <cell r="C6">
            <v>5.7278304080427632E-2</v>
          </cell>
          <cell r="D6">
            <v>3.0832820164396212E-2</v>
          </cell>
          <cell r="E6">
            <v>0.47944589367635154</v>
          </cell>
          <cell r="F6">
            <v>6.1874351306702852E-2</v>
          </cell>
          <cell r="G6">
            <v>0.10251768691666389</v>
          </cell>
        </row>
        <row r="8">
          <cell r="B8">
            <v>1.6107</v>
          </cell>
          <cell r="C8">
            <v>1.4171</v>
          </cell>
          <cell r="D8">
            <v>1.3988</v>
          </cell>
          <cell r="E8">
            <v>1.8109</v>
          </cell>
          <cell r="F8">
            <v>1.4675</v>
          </cell>
          <cell r="G8">
            <v>2.0646</v>
          </cell>
        </row>
        <row r="11">
          <cell r="B11">
            <v>0.1071387</v>
          </cell>
          <cell r="C11">
            <v>9.92011E-2</v>
          </cell>
          <cell r="D11">
            <v>9.8450800000000005E-2</v>
          </cell>
          <cell r="E11">
            <v>0.1153469</v>
          </cell>
          <cell r="F11">
            <v>0.10126750000000001</v>
          </cell>
          <cell r="G11">
            <v>0.12574859999999999</v>
          </cell>
        </row>
        <row r="14">
          <cell r="B14">
            <v>1.0226057016375299E-2</v>
          </cell>
          <cell r="C14">
            <v>5.0212746276940149E-3</v>
          </cell>
          <cell r="D14">
            <v>3.2338014276405858E-3</v>
          </cell>
          <cell r="E14">
            <v>4.0063679428438297E-2</v>
          </cell>
          <cell r="F14">
            <v>1.0901361231166943E-2</v>
          </cell>
          <cell r="G14">
            <v>3.9879078256901665E-2</v>
          </cell>
        </row>
        <row r="18">
          <cell r="B18">
            <v>0.51470004562481109</v>
          </cell>
          <cell r="C18">
            <v>0.66559602758716541</v>
          </cell>
          <cell r="D18">
            <v>0.67973290306779033</v>
          </cell>
          <cell r="E18">
            <v>0.24646540866269331</v>
          </cell>
          <cell r="F18">
            <v>0.57649584310368385</v>
          </cell>
          <cell r="G18">
            <v>5.3333976122145561E-3</v>
          </cell>
        </row>
        <row r="19">
          <cell r="B19">
            <v>0.48529995437518886</v>
          </cell>
          <cell r="C19">
            <v>0.33440397241283459</v>
          </cell>
          <cell r="D19">
            <v>0.32026709693220956</v>
          </cell>
          <cell r="E19">
            <v>0.75353459133730671</v>
          </cell>
          <cell r="F19">
            <v>0.42350415689631626</v>
          </cell>
          <cell r="G19">
            <v>0.99466660238778548</v>
          </cell>
        </row>
        <row r="20">
          <cell r="B20">
            <v>5.7257758234707336E-2</v>
          </cell>
          <cell r="C20">
            <v>3.6515382353340203E-2</v>
          </cell>
          <cell r="D20">
            <v>3.3728673139008479E-2</v>
          </cell>
          <cell r="E20">
            <v>9.6792190276386358E-2</v>
          </cell>
          <cell r="F20">
            <v>4.9171796642437107E-2</v>
          </cell>
          <cell r="G20">
            <v>0.12529062369777336</v>
          </cell>
        </row>
      </sheetData>
      <sheetData sheetId="3">
        <row r="3">
          <cell r="B3">
            <v>199399.63690757393</v>
          </cell>
          <cell r="C3">
            <v>214929.37639937035</v>
          </cell>
          <cell r="D3">
            <v>231668.61061454407</v>
          </cell>
          <cell r="E3">
            <v>249711.5380093313</v>
          </cell>
          <cell r="F3">
            <v>269159.69344994653</v>
          </cell>
          <cell r="G3">
            <v>290122.51959043223</v>
          </cell>
          <cell r="J3">
            <v>204090.93255910472</v>
          </cell>
          <cell r="K3">
            <v>222218.65298516359</v>
          </cell>
          <cell r="L3">
            <v>241956.50985248832</v>
          </cell>
          <cell r="M3">
            <v>263447.51834989252</v>
          </cell>
          <cell r="N3">
            <v>286847.39653018757</v>
          </cell>
          <cell r="O3">
            <v>312325.69360120612</v>
          </cell>
          <cell r="R3">
            <v>5448.7235982424381</v>
          </cell>
          <cell r="S3">
            <v>5723.8716361341767</v>
          </cell>
          <cell r="T3">
            <v>6012.9140185252572</v>
          </cell>
          <cell r="U3">
            <v>6316.5523779279292</v>
          </cell>
          <cell r="V3">
            <v>6635.5237776861914</v>
          </cell>
          <cell r="W3">
            <v>6970.6025011514921</v>
          </cell>
          <cell r="Z3">
            <v>5261.8291032637198</v>
          </cell>
          <cell r="AA3">
            <v>5570.7938655841217</v>
          </cell>
          <cell r="AB3">
            <v>5897.900460807552</v>
          </cell>
          <cell r="AC3">
            <v>6244.2141434264959</v>
          </cell>
          <cell r="AD3">
            <v>6610.862717684603</v>
          </cell>
          <cell r="AE3">
            <v>6999.0402103810738</v>
          </cell>
          <cell r="AH3">
            <v>158800.21957342658</v>
          </cell>
          <cell r="AI3">
            <v>160745.99202289994</v>
          </cell>
          <cell r="AJ3">
            <v>162715.60594082528</v>
          </cell>
          <cell r="AK3">
            <v>164709.35345571852</v>
          </cell>
          <cell r="AL3">
            <v>166727.53027553402</v>
          </cell>
          <cell r="AM3">
            <v>168770.43573152341</v>
          </cell>
          <cell r="AP3">
            <v>122478.20423177555</v>
          </cell>
          <cell r="AQ3">
            <v>153556.25459965732</v>
          </cell>
          <cell r="AR3">
            <v>192520.15878721827</v>
          </cell>
          <cell r="AS3">
            <v>241370.90108173588</v>
          </cell>
          <cell r="AT3">
            <v>302617.20256215113</v>
          </cell>
          <cell r="AU3">
            <v>379404.35601858672</v>
          </cell>
        </row>
        <row r="4">
          <cell r="B4">
            <v>6532.0785718729767</v>
          </cell>
          <cell r="C4">
            <v>7040.813091826758</v>
          </cell>
          <cell r="D4">
            <v>7589.1691210665795</v>
          </cell>
          <cell r="E4">
            <v>8180.2324812470151</v>
          </cell>
          <cell r="F4">
            <v>8817.3293254854125</v>
          </cell>
          <cell r="G4">
            <v>9504.0448559737433</v>
          </cell>
          <cell r="J4">
            <v>12891.586963118541</v>
          </cell>
          <cell r="K4">
            <v>14036.640696693697</v>
          </cell>
          <cell r="L4">
            <v>15283.400143966124</v>
          </cell>
          <cell r="M4">
            <v>16640.898987718876</v>
          </cell>
          <cell r="N4">
            <v>18118.973298542522</v>
          </cell>
          <cell r="O4">
            <v>19728.33280435047</v>
          </cell>
          <cell r="R4">
            <v>611.74958266846045</v>
          </cell>
          <cell r="S4">
            <v>642.6415327403289</v>
          </cell>
          <cell r="T4">
            <v>675.09345539947753</v>
          </cell>
          <cell r="U4">
            <v>709.18412568171334</v>
          </cell>
          <cell r="V4">
            <v>744.99629658137758</v>
          </cell>
          <cell r="W4">
            <v>782.61689992912284</v>
          </cell>
          <cell r="Z4">
            <v>-4131.2680471031044</v>
          </cell>
          <cell r="AA4">
            <v>-3639.8753843069094</v>
          </cell>
          <cell r="AB4">
            <v>-3206.9313010501746</v>
          </cell>
          <cell r="AC4">
            <v>-2825.4836454005913</v>
          </cell>
          <cell r="AD4">
            <v>-2489.4071874292731</v>
          </cell>
          <cell r="AE4">
            <v>-2193.305261176235</v>
          </cell>
          <cell r="AH4">
            <v>12990.583878534049</v>
          </cell>
          <cell r="AI4">
            <v>13149.756959536855</v>
          </cell>
          <cell r="AJ4">
            <v>13310.880381644634</v>
          </cell>
          <cell r="AK4">
            <v>13473.978042305385</v>
          </cell>
          <cell r="AL4">
            <v>13639.074131781534</v>
          </cell>
          <cell r="AM4">
            <v>13806.193136737782</v>
          </cell>
          <cell r="AP4">
            <v>13149.123290596674</v>
          </cell>
          <cell r="AQ4">
            <v>16485.628087363046</v>
          </cell>
          <cell r="AR4">
            <v>20668.74934766247</v>
          </cell>
          <cell r="AS4">
            <v>25913.310510987631</v>
          </cell>
          <cell r="AT4">
            <v>32488.645072025382</v>
          </cell>
          <cell r="AU4">
            <v>40732.428153804816</v>
          </cell>
        </row>
        <row r="5">
          <cell r="B5">
            <v>5029.7005003421918</v>
          </cell>
          <cell r="C5">
            <v>5421.4260807066039</v>
          </cell>
          <cell r="D5">
            <v>5843.6602232212663</v>
          </cell>
          <cell r="E5">
            <v>6298.7790105602016</v>
          </cell>
          <cell r="F5">
            <v>6789.3435806237676</v>
          </cell>
          <cell r="G5">
            <v>7318.1145390997826</v>
          </cell>
          <cell r="J5">
            <v>9926.5219616012764</v>
          </cell>
          <cell r="K5">
            <v>10808.213336454148</v>
          </cell>
          <cell r="L5">
            <v>11768.218110853915</v>
          </cell>
          <cell r="M5">
            <v>12813.492220543534</v>
          </cell>
          <cell r="N5">
            <v>13951.609439877742</v>
          </cell>
          <cell r="O5">
            <v>15190.816259349862</v>
          </cell>
          <cell r="R5">
            <v>471.04717865471457</v>
          </cell>
          <cell r="S5">
            <v>494.83398021005326</v>
          </cell>
          <cell r="T5">
            <v>519.82196065759774</v>
          </cell>
          <cell r="U5">
            <v>546.07177677491927</v>
          </cell>
          <cell r="V5">
            <v>573.64714836766075</v>
          </cell>
          <cell r="W5">
            <v>602.61501294542461</v>
          </cell>
          <cell r="Z5">
            <v>-4131.2680471031044</v>
          </cell>
          <cell r="AA5">
            <v>-3639.8753843069094</v>
          </cell>
          <cell r="AB5">
            <v>-3206.9313010501746</v>
          </cell>
          <cell r="AC5">
            <v>-2825.4836454005913</v>
          </cell>
          <cell r="AD5">
            <v>-2489.4071874292731</v>
          </cell>
          <cell r="AE5">
            <v>-2193.305261176235</v>
          </cell>
          <cell r="AH5">
            <v>10002.749586471218</v>
          </cell>
          <cell r="AI5">
            <v>10125.312858843379</v>
          </cell>
          <cell r="AJ5">
            <v>10249.377893866369</v>
          </cell>
          <cell r="AK5">
            <v>10374.963092575146</v>
          </cell>
          <cell r="AL5">
            <v>10502.087081471782</v>
          </cell>
          <cell r="AM5">
            <v>10630.768715288092</v>
          </cell>
          <cell r="AP5">
            <v>10124.824933759439</v>
          </cell>
          <cell r="AQ5">
            <v>12693.933627269545</v>
          </cell>
          <cell r="AR5">
            <v>15914.936997700102</v>
          </cell>
          <cell r="AS5">
            <v>19953.249093460476</v>
          </cell>
          <cell r="AT5">
            <v>25016.256705459546</v>
          </cell>
          <cell r="AU5">
            <v>31363.969678429708</v>
          </cell>
        </row>
        <row r="6">
          <cell r="B6">
            <v>9927.1200626201316</v>
          </cell>
          <cell r="C6">
            <v>10700.268855001008</v>
          </cell>
          <cell r="D6">
            <v>11533.632397620562</v>
          </cell>
          <cell r="E6">
            <v>12431.900364939951</v>
          </cell>
          <cell r="F6">
            <v>13400.12767492736</v>
          </cell>
          <cell r="G6">
            <v>14443.762935130428</v>
          </cell>
          <cell r="J6">
            <v>8689.3039314629514</v>
          </cell>
          <cell r="K6">
            <v>9461.1033955131115</v>
          </cell>
          <cell r="L6">
            <v>10301.455463708149</v>
          </cell>
          <cell r="M6">
            <v>11216.4491005446</v>
          </cell>
          <cell r="N6">
            <v>12212.714103199278</v>
          </cell>
          <cell r="O6">
            <v>13297.469139251985</v>
          </cell>
          <cell r="R6">
            <v>271.26495407238986</v>
          </cell>
          <cell r="S6">
            <v>284.96321174981841</v>
          </cell>
          <cell r="T6">
            <v>299.35320000497268</v>
          </cell>
          <cell r="U6">
            <v>314.46984964463326</v>
          </cell>
          <cell r="V6">
            <v>330.34985540116327</v>
          </cell>
          <cell r="W6">
            <v>347.0317650067027</v>
          </cell>
          <cell r="Z6">
            <v>1333.3248703691554</v>
          </cell>
          <cell r="AA6">
            <v>1411.6152126788227</v>
          </cell>
          <cell r="AB6">
            <v>1494.5026174412949</v>
          </cell>
          <cell r="AC6">
            <v>1582.2570155646704</v>
          </cell>
          <cell r="AD6">
            <v>1675.164187795046</v>
          </cell>
          <cell r="AE6">
            <v>1773.5266953893574</v>
          </cell>
          <cell r="AH6">
            <v>7905.8762098275738</v>
          </cell>
          <cell r="AI6">
            <v>8002.7465804061012</v>
          </cell>
          <cell r="AJ6">
            <v>8100.8038995842471</v>
          </cell>
          <cell r="AK6">
            <v>8200.0627109935667</v>
          </cell>
          <cell r="AL6">
            <v>8300.5377364681208</v>
          </cell>
          <cell r="AM6">
            <v>8402.2438782279914</v>
          </cell>
          <cell r="AP6">
            <v>5214.5890471713274</v>
          </cell>
          <cell r="AQ6">
            <v>6537.7572147019109</v>
          </cell>
          <cell r="AR6">
            <v>8196.6707274032633</v>
          </cell>
          <cell r="AS6">
            <v>10276.522790168012</v>
          </cell>
          <cell r="AT6">
            <v>12884.123831371622</v>
          </cell>
          <cell r="AU6">
            <v>16153.3867331991</v>
          </cell>
        </row>
      </sheetData>
      <sheetData sheetId="4"/>
      <sheetData sheetId="5">
        <row r="8">
          <cell r="D8">
            <v>5694.8622333333333</v>
          </cell>
          <cell r="I8">
            <v>0.48659581580542222</v>
          </cell>
          <cell r="N8">
            <v>2.0495797521605965</v>
          </cell>
        </row>
        <row r="15">
          <cell r="D15">
            <v>8277.6111573522776</v>
          </cell>
        </row>
        <row r="19">
          <cell r="H19">
            <v>233.6281494527685</v>
          </cell>
          <cell r="I19">
            <v>246.3361221092687</v>
          </cell>
        </row>
        <row r="22">
          <cell r="D22">
            <v>7.4359630911576116E-2</v>
          </cell>
        </row>
        <row r="28">
          <cell r="I28">
            <v>0.492672244218537</v>
          </cell>
        </row>
        <row r="29">
          <cell r="D29">
            <v>7.4359630911576116E-2</v>
          </cell>
        </row>
        <row r="36">
          <cell r="D36">
            <v>7.4359630911576116E-2</v>
          </cell>
        </row>
        <row r="43">
          <cell r="D43">
            <v>0.1006275183444959</v>
          </cell>
        </row>
        <row r="50">
          <cell r="D50">
            <v>5.2073135305341876E-2</v>
          </cell>
        </row>
        <row r="64">
          <cell r="D64">
            <v>0.12184049490573057</v>
          </cell>
        </row>
        <row r="71">
          <cell r="D71">
            <v>5.2895448779041454E-2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Valuation"/>
      <sheetName val="Calc"/>
    </sheetNames>
    <sheetDataSet>
      <sheetData sheetId="0">
        <row r="3">
          <cell r="B3">
            <v>1.1312</v>
          </cell>
          <cell r="C3">
            <v>1.3394999999999999</v>
          </cell>
          <cell r="D3">
            <v>1.2789999999999999</v>
          </cell>
          <cell r="E3">
            <v>1.4883</v>
          </cell>
          <cell r="F3">
            <v>1.3975</v>
          </cell>
          <cell r="G3">
            <v>1.3311999999999999</v>
          </cell>
          <cell r="H3">
            <v>1.2174</v>
          </cell>
        </row>
        <row r="4">
          <cell r="B4">
            <v>15.192299999999999</v>
          </cell>
          <cell r="C4">
            <v>14.430999999999999</v>
          </cell>
          <cell r="D4">
            <v>24.219000000000001</v>
          </cell>
          <cell r="E4">
            <v>28.673100000000002</v>
          </cell>
          <cell r="F4">
            <v>16.1632</v>
          </cell>
          <cell r="G4">
            <v>16.9542</v>
          </cell>
          <cell r="H4">
            <v>14.305999999999999</v>
          </cell>
        </row>
      </sheetData>
      <sheetData sheetId="1"/>
      <sheetData sheetId="2">
        <row r="2">
          <cell r="J2">
            <v>4.7191300858955509E-2</v>
          </cell>
        </row>
        <row r="5">
          <cell r="B5">
            <v>0.106216</v>
          </cell>
          <cell r="C5">
            <v>0.1176725</v>
          </cell>
          <cell r="D5">
            <v>0.11434499999999999</v>
          </cell>
          <cell r="E5">
            <v>0.1208625</v>
          </cell>
          <cell r="F5">
            <v>0.117216</v>
          </cell>
          <cell r="G5">
            <v>0.110957</v>
          </cell>
          <cell r="J5">
            <v>1.8175276390675767E-2</v>
          </cell>
        </row>
        <row r="8">
          <cell r="B8">
            <v>6.0983973325424934E-2</v>
          </cell>
          <cell r="C8">
            <v>1.5322980004420117E-2</v>
          </cell>
          <cell r="D8">
            <v>0.11203279065265748</v>
          </cell>
          <cell r="E8">
            <v>0.11061142117584488</v>
          </cell>
          <cell r="F8">
            <v>9.5993421124643374E-2</v>
          </cell>
          <cell r="G8">
            <v>3.2551935859965742E-3</v>
          </cell>
        </row>
        <row r="9">
          <cell r="B9">
            <v>6.6444791959046734E-2</v>
          </cell>
          <cell r="C9">
            <v>5.0089067082744146E-2</v>
          </cell>
          <cell r="D9">
            <v>6.8067617652182957E-2</v>
          </cell>
          <cell r="E9">
            <v>3.995820141304178E-2</v>
          </cell>
          <cell r="F9">
            <v>4.0152222956497959E-2</v>
          </cell>
          <cell r="G9">
            <v>4.6426655954031011E-2</v>
          </cell>
        </row>
        <row r="11">
          <cell r="J11">
            <v>0.12585649999999998</v>
          </cell>
        </row>
        <row r="13">
          <cell r="B13">
            <v>6.0433376311174077E-3</v>
          </cell>
          <cell r="C13">
            <v>3.8766514915378812E-3</v>
          </cell>
          <cell r="D13">
            <v>1.9554070432756483E-2</v>
          </cell>
          <cell r="E13">
            <v>1.0252891048935779E-2</v>
          </cell>
          <cell r="F13">
            <v>1.8240201959954781E-3</v>
          </cell>
          <cell r="G13">
            <v>4.4675476547530657E-3</v>
          </cell>
        </row>
        <row r="14">
          <cell r="J14">
            <v>2.7227618040196168E-2</v>
          </cell>
        </row>
        <row r="18">
          <cell r="J18">
            <v>6.6445452341365285E-2</v>
          </cell>
        </row>
        <row r="19">
          <cell r="J19">
            <v>0.93355454765863477</v>
          </cell>
        </row>
        <row r="20">
          <cell r="B20">
            <v>0.87466945859189538</v>
          </cell>
          <cell r="C20">
            <v>0.86744901087407356</v>
          </cell>
          <cell r="D20">
            <v>0.82163758199402392</v>
          </cell>
          <cell r="E20">
            <v>0.20530861315815799</v>
          </cell>
          <cell r="F20">
            <v>0.80419767439700918</v>
          </cell>
          <cell r="G20">
            <v>0.69003885066626047</v>
          </cell>
          <cell r="J20">
            <v>0.11930305932425769</v>
          </cell>
        </row>
        <row r="21">
          <cell r="B21">
            <v>0.12533054140810457</v>
          </cell>
          <cell r="C21">
            <v>0.13255098912592647</v>
          </cell>
          <cell r="D21">
            <v>0.17836241800597605</v>
          </cell>
          <cell r="E21">
            <v>0.79469138684184204</v>
          </cell>
          <cell r="F21">
            <v>0.19580232560299085</v>
          </cell>
          <cell r="G21">
            <v>0.30996114933373953</v>
          </cell>
        </row>
      </sheetData>
      <sheetData sheetId="3">
        <row r="3">
          <cell r="B3">
            <v>1404364.0094043855</v>
          </cell>
          <cell r="C3">
            <v>1490007.7066930893</v>
          </cell>
          <cell r="D3">
            <v>1580874.2969327383</v>
          </cell>
          <cell r="E3">
            <v>1677282.2928877342</v>
          </cell>
          <cell r="F3">
            <v>1779569.6314964073</v>
          </cell>
          <cell r="G3">
            <v>1888094.8584343204</v>
          </cell>
          <cell r="J3">
            <v>1076324.5999660657</v>
          </cell>
          <cell r="K3">
            <v>1092817.1002896111</v>
          </cell>
          <cell r="L3">
            <v>1109562.3148658373</v>
          </cell>
          <cell r="M3">
            <v>1126564.1160301846</v>
          </cell>
          <cell r="N3">
            <v>1143826.4354538124</v>
          </cell>
          <cell r="O3">
            <v>1161353.2650527982</v>
          </cell>
          <cell r="R3">
            <v>215726.57715708099</v>
          </cell>
          <cell r="W3">
            <v>366852.61606137612</v>
          </cell>
          <cell r="Z3">
            <v>217901.96083470076</v>
          </cell>
          <cell r="AE3">
            <v>368189.85243739642</v>
          </cell>
          <cell r="AH3">
            <v>21370.032876628706</v>
          </cell>
          <cell r="AI3">
            <v>22378.512527475461</v>
          </cell>
          <cell r="AJ3">
            <v>23434.583644935461</v>
          </cell>
          <cell r="AK3">
            <v>24540.49213222797</v>
          </cell>
          <cell r="AL3">
            <v>25698.589879666772</v>
          </cell>
          <cell r="AM3">
            <v>26911.339766329034</v>
          </cell>
          <cell r="AP3">
            <v>261014.12122109719</v>
          </cell>
          <cell r="AU3">
            <v>412765.83206284296</v>
          </cell>
          <cell r="AX3">
            <v>968571.65828853508</v>
          </cell>
          <cell r="BC3">
            <v>984439.06678595534</v>
          </cell>
        </row>
        <row r="4">
          <cell r="B4">
            <v>93312.674439647148</v>
          </cell>
          <cell r="C4">
            <v>99003.252088598645</v>
          </cell>
          <cell r="D4">
            <v>105040.86377310006</v>
          </cell>
          <cell r="E4">
            <v>111446.67300751839</v>
          </cell>
          <cell r="F4">
            <v>118243.13394141625</v>
          </cell>
          <cell r="G4">
            <v>125454.07006761422</v>
          </cell>
          <cell r="J4">
            <v>53912.095090508024</v>
          </cell>
          <cell r="R4">
            <v>14683.994171342334</v>
          </cell>
          <cell r="Z4">
            <v>8706.9704393297143</v>
          </cell>
          <cell r="AH4">
            <v>7974.3275605946219</v>
          </cell>
          <cell r="AI4">
            <v>8350.6464516545038</v>
          </cell>
          <cell r="AJ4">
            <v>8744.7243207212996</v>
          </cell>
          <cell r="AK4">
            <v>9157.3992370690848</v>
          </cell>
          <cell r="AL4">
            <v>9589.5488195511825</v>
          </cell>
          <cell r="AM4">
            <v>10042.092102996263</v>
          </cell>
          <cell r="AP4">
            <v>10480.297190063879</v>
          </cell>
          <cell r="AX4">
            <v>44967.543146187105</v>
          </cell>
        </row>
        <row r="6">
          <cell r="B6">
            <v>182856.88890677574</v>
          </cell>
          <cell r="C6">
            <v>193364.59445070333</v>
          </cell>
          <cell r="D6">
            <v>204478.47663693267</v>
          </cell>
          <cell r="E6">
            <v>216233.63983672688</v>
          </cell>
          <cell r="F6">
            <v>228667.22902002398</v>
          </cell>
          <cell r="G6">
            <v>241818.54880859604</v>
          </cell>
          <cell r="J6">
            <v>100508.14616155552</v>
          </cell>
          <cell r="K6">
            <v>102116.19710666835</v>
          </cell>
          <cell r="L6">
            <v>103750.0287740975</v>
          </cell>
          <cell r="M6">
            <v>105410.05534227507</v>
          </cell>
          <cell r="N6">
            <v>107096.69765729687</v>
          </cell>
          <cell r="O6">
            <v>108810.38334048145</v>
          </cell>
          <cell r="R6">
            <v>71338.08000856961</v>
          </cell>
          <cell r="S6">
            <v>80005.737423536601</v>
          </cell>
          <cell r="T6">
            <v>89728.182627911287</v>
          </cell>
          <cell r="U6">
            <v>100633.9647070661</v>
          </cell>
          <cell r="V6">
            <v>112867.32089915925</v>
          </cell>
          <cell r="W6">
            <v>126590.09364360153</v>
          </cell>
          <cell r="Z6">
            <v>55385.074300757384</v>
          </cell>
          <cell r="AA6">
            <v>57603.125317856946</v>
          </cell>
          <cell r="AB6">
            <v>59961.445279749838</v>
          </cell>
          <cell r="AC6">
            <v>62472.724606104086</v>
          </cell>
          <cell r="AD6">
            <v>65150.98147256278</v>
          </cell>
          <cell r="AE6">
            <v>68011.706633788155</v>
          </cell>
          <cell r="AH6">
            <v>6219.9754972638057</v>
          </cell>
          <cell r="AI6">
            <v>6513.5042322905128</v>
          </cell>
          <cell r="AJ6">
            <v>6820.8849701626141</v>
          </cell>
          <cell r="AK6">
            <v>7142.7714049138867</v>
          </cell>
          <cell r="AL6">
            <v>7479.8480792499222</v>
          </cell>
          <cell r="AM6">
            <v>7832.8318403370849</v>
          </cell>
          <cell r="AP6">
            <v>66223.538574815277</v>
          </cell>
          <cell r="AQ6">
            <v>69949.346368705548</v>
          </cell>
          <cell r="AR6">
            <v>73904.427541096724</v>
          </cell>
          <cell r="AS6">
            <v>78104.527056706866</v>
          </cell>
          <cell r="AT6">
            <v>82566.595677650635</v>
          </cell>
          <cell r="AU6">
            <v>87308.890800765847</v>
          </cell>
          <cell r="AX6">
            <v>79642.806814627795</v>
          </cell>
          <cell r="AY6">
            <v>79844.536758110698</v>
          </cell>
          <cell r="AZ6">
            <v>80046.83154834414</v>
          </cell>
          <cell r="BA6">
            <v>80249.692877436828</v>
          </cell>
          <cell r="BB6">
            <v>80453.122442771564</v>
          </cell>
          <cell r="BC6">
            <v>80657.121947022126</v>
          </cell>
        </row>
        <row r="7">
          <cell r="AH7">
            <v>197.11559141747404</v>
          </cell>
          <cell r="AI7">
            <v>206.41773259604699</v>
          </cell>
          <cell r="AJ7">
            <v>216.15885391761049</v>
          </cell>
          <cell r="AK7">
            <v>226.35967142616346</v>
          </cell>
          <cell r="AL7">
            <v>237.04187878276986</v>
          </cell>
          <cell r="AM7">
            <v>248.22819340057961</v>
          </cell>
        </row>
        <row r="8">
          <cell r="B8">
            <v>8487.0458658204443</v>
          </cell>
          <cell r="C8">
            <v>9004.6196445132955</v>
          </cell>
          <cell r="D8">
            <v>9553.7571287198916</v>
          </cell>
          <cell r="E8">
            <v>10136.383198615335</v>
          </cell>
          <cell r="F8">
            <v>10754.540121215976</v>
          </cell>
          <cell r="G8">
            <v>11410.394709095423</v>
          </cell>
          <cell r="J8">
            <v>4172.5353658373624</v>
          </cell>
          <cell r="K8">
            <v>4236.4710418158229</v>
          </cell>
          <cell r="L8">
            <v>4301.3864028788721</v>
          </cell>
          <cell r="M8">
            <v>4367.2964607214699</v>
          </cell>
          <cell r="N8">
            <v>4434.21645706248</v>
          </cell>
          <cell r="O8">
            <v>4502.1618671693186</v>
          </cell>
        </row>
        <row r="11">
          <cell r="B11">
            <v>56586.482416723418</v>
          </cell>
          <cell r="C11">
            <v>59814.872158709695</v>
          </cell>
          <cell r="D11">
            <v>63228.17344727445</v>
          </cell>
          <cell r="E11">
            <v>66837.019065517146</v>
          </cell>
          <cell r="F11">
            <v>70652.655588875263</v>
          </cell>
          <cell r="G11">
            <v>74686.978953283775</v>
          </cell>
          <cell r="J11">
            <v>23600.308550319744</v>
          </cell>
          <cell r="K11">
            <v>23980.095687995017</v>
          </cell>
          <cell r="L11">
            <v>24366.007051885801</v>
          </cell>
          <cell r="M11">
            <v>24758.141597677375</v>
          </cell>
          <cell r="N11">
            <v>25156.599883177081</v>
          </cell>
          <cell r="O11">
            <v>25561.484094303847</v>
          </cell>
          <cell r="R11">
            <v>10433.001586514096</v>
          </cell>
          <cell r="S11">
            <v>11731.776756480203</v>
          </cell>
          <cell r="T11">
            <v>13192.163686093352</v>
          </cell>
          <cell r="U11">
            <v>14834.264657995542</v>
          </cell>
          <cell r="V11">
            <v>16680.681542020593</v>
          </cell>
          <cell r="W11">
            <v>18756.826506409801</v>
          </cell>
          <cell r="Z11">
            <v>13055.783582546472</v>
          </cell>
          <cell r="AA11">
            <v>13455.673758274601</v>
          </cell>
          <cell r="AB11">
            <v>13871.721825320961</v>
          </cell>
          <cell r="AC11">
            <v>14304.960235365403</v>
          </cell>
          <cell r="AD11">
            <v>14756.515348034027</v>
          </cell>
          <cell r="AE11">
            <v>15227.617272604652</v>
          </cell>
          <cell r="AP11">
            <v>14269.988394589003</v>
          </cell>
          <cell r="AQ11">
            <v>15058.078582878541</v>
          </cell>
          <cell r="AR11">
            <v>15893.436823938033</v>
          </cell>
          <cell r="AS11">
            <v>16779.21568453194</v>
          </cell>
          <cell r="AT11">
            <v>17718.802788624227</v>
          </cell>
          <cell r="AU11">
            <v>18715.840084590251</v>
          </cell>
          <cell r="AX11">
            <v>15892.79371965242</v>
          </cell>
          <cell r="AY11">
            <v>15930.61136168986</v>
          </cell>
          <cell r="AZ11">
            <v>15968.529892694529</v>
          </cell>
          <cell r="BA11">
            <v>16006.549605618255</v>
          </cell>
          <cell r="BB11">
            <v>16044.670794309868</v>
          </cell>
          <cell r="BC11">
            <v>16082.893753518021</v>
          </cell>
        </row>
      </sheetData>
      <sheetData sheetId="4"/>
      <sheetData sheetId="5">
        <row r="2">
          <cell r="I2">
            <v>0.12878554960222927</v>
          </cell>
          <cell r="L2">
            <v>5.735507242093052E-2</v>
          </cell>
        </row>
        <row r="3">
          <cell r="I3">
            <v>3.6936572355213242E-2</v>
          </cell>
          <cell r="L3">
            <v>8.0021956078697252E-3</v>
          </cell>
        </row>
        <row r="4">
          <cell r="I4">
            <v>0.33539272815208321</v>
          </cell>
          <cell r="L4">
            <v>0.27744963522103577</v>
          </cell>
        </row>
        <row r="5">
          <cell r="I5">
            <v>5.2073872237359979E-2</v>
          </cell>
          <cell r="L5">
            <v>4.0654793964396876E-2</v>
          </cell>
        </row>
        <row r="6">
          <cell r="I6">
            <v>5.2656117647896246E-2</v>
          </cell>
          <cell r="L6">
            <v>2.1044753892880817E-2</v>
          </cell>
        </row>
        <row r="7">
          <cell r="I7">
            <v>3.8139925792233742E-2</v>
          </cell>
          <cell r="L7">
            <v>4.8910009973678906E-2</v>
          </cell>
        </row>
        <row r="8">
          <cell r="I8">
            <v>0.11950388074648999</v>
          </cell>
          <cell r="L8">
            <v>1.3510348834215381E-3</v>
          </cell>
        </row>
        <row r="9">
          <cell r="D9">
            <v>3.954479741003742E-2</v>
          </cell>
          <cell r="I9">
            <v>0.10906980664764367</v>
          </cell>
        </row>
        <row r="17">
          <cell r="D17">
            <v>2358.0571428571429</v>
          </cell>
          <cell r="H17">
            <v>77.604742231905249</v>
          </cell>
          <cell r="I17">
            <v>55.713593256047936</v>
          </cell>
        </row>
        <row r="25">
          <cell r="D25">
            <v>3210.7784302116379</v>
          </cell>
        </row>
        <row r="41">
          <cell r="D41">
            <v>0.27856796628023972</v>
          </cell>
        </row>
        <row r="49">
          <cell r="D49">
            <v>5.7337119502362012E-2</v>
          </cell>
        </row>
        <row r="53">
          <cell r="D53">
            <v>0.38237859525938206</v>
          </cell>
        </row>
        <row r="57">
          <cell r="D57">
            <v>0.33851485177840035</v>
          </cell>
        </row>
        <row r="58">
          <cell r="D58">
            <v>0.34336081011061304</v>
          </cell>
        </row>
        <row r="59">
          <cell r="D59">
            <v>0.26629501310275111</v>
          </cell>
        </row>
        <row r="60">
          <cell r="D60">
            <v>0.15877026186902002</v>
          </cell>
        </row>
        <row r="61">
          <cell r="D61">
            <v>0.31262129571076563</v>
          </cell>
        </row>
        <row r="62">
          <cell r="D62">
            <v>0.27915914187471974</v>
          </cell>
        </row>
        <row r="63">
          <cell r="D63">
            <v>0.22091511471640679</v>
          </cell>
        </row>
        <row r="64">
          <cell r="D64">
            <v>0.23964712744240305</v>
          </cell>
        </row>
        <row r="65">
          <cell r="D65">
            <v>0.26010982354666845</v>
          </cell>
        </row>
        <row r="77">
          <cell r="D77">
            <v>7.1172233506629221E-3</v>
          </cell>
        </row>
        <row r="81">
          <cell r="D81">
            <v>5.0603282607969147E-2</v>
          </cell>
        </row>
        <row r="89">
          <cell r="D89">
            <v>0.13004115059435936</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row r="10">
          <cell r="B10">
            <v>36.847799999999999</v>
          </cell>
          <cell r="C10">
            <v>27.059799999999999</v>
          </cell>
          <cell r="D10">
            <v>22.9359</v>
          </cell>
          <cell r="E10">
            <v>32.090899999999998</v>
          </cell>
          <cell r="F10">
            <v>21.4194</v>
          </cell>
        </row>
      </sheetData>
      <sheetData sheetId="1"/>
      <sheetData sheetId="2">
        <row r="3">
          <cell r="B3">
            <v>7.3673572296934386E-2</v>
          </cell>
          <cell r="C3">
            <v>1.6696585738294134E-2</v>
          </cell>
          <cell r="D3">
            <v>4.7002426266817388E-2</v>
          </cell>
          <cell r="E3">
            <v>3.2267299634595181E-2</v>
          </cell>
          <cell r="F3">
            <v>2.2020131802067189E-2</v>
          </cell>
        </row>
        <row r="6">
          <cell r="B6">
            <v>3.3333629448012631E-2</v>
          </cell>
          <cell r="C6">
            <v>2.472703536672205E-2</v>
          </cell>
          <cell r="D6">
            <v>2.3266549718400885E-2</v>
          </cell>
          <cell r="E6">
            <v>1.9389430149018273E-2</v>
          </cell>
          <cell r="F6">
            <v>4.1248000168962629E-2</v>
          </cell>
        </row>
        <row r="8">
          <cell r="B8">
            <v>0.6361</v>
          </cell>
          <cell r="C8">
            <v>0.24210000000000001</v>
          </cell>
          <cell r="D8">
            <v>0.47010000000000002</v>
          </cell>
          <cell r="E8">
            <v>0.74280000000000002</v>
          </cell>
          <cell r="F8">
            <v>6.3700000000000007E-2</v>
          </cell>
        </row>
        <row r="11">
          <cell r="B11">
            <v>6.7180099999999993E-2</v>
          </cell>
          <cell r="C11">
            <v>5.1026099999999998E-2</v>
          </cell>
          <cell r="D11">
            <v>6.03741E-2</v>
          </cell>
          <cell r="E11">
            <v>7.1554800000000002E-2</v>
          </cell>
          <cell r="F11">
            <v>4.3711699999999999E-2</v>
          </cell>
        </row>
        <row r="14">
          <cell r="B14">
            <v>3.1306472186789419E-2</v>
          </cell>
          <cell r="C14">
            <v>3.7291399229781766E-2</v>
          </cell>
          <cell r="D14">
            <v>2.8062325511205011E-2</v>
          </cell>
          <cell r="E14">
            <v>3.3731594265387514E-2</v>
          </cell>
          <cell r="F14">
            <v>3.2265860578422782E-2</v>
          </cell>
        </row>
        <row r="18">
          <cell r="B18">
            <v>0.14653332433651417</v>
          </cell>
          <cell r="C18">
            <v>0.15277807064156448</v>
          </cell>
          <cell r="D18">
            <v>8.5551217767512483E-2</v>
          </cell>
          <cell r="E18">
            <v>0.1853846599816372</v>
          </cell>
          <cell r="F18">
            <v>0.14746919606159373</v>
          </cell>
        </row>
        <row r="19">
          <cell r="B19">
            <v>0.85346667566348577</v>
          </cell>
          <cell r="C19">
            <v>0.84722192935843554</v>
          </cell>
          <cell r="D19">
            <v>0.91444878223248749</v>
          </cell>
          <cell r="E19">
            <v>0.81461534001836289</v>
          </cell>
          <cell r="F19">
            <v>0.8525308039384063</v>
          </cell>
        </row>
        <row r="20">
          <cell r="B20">
            <v>6.192341806051941E-2</v>
          </cell>
          <cell r="C20">
            <v>4.8927738915486851E-2</v>
          </cell>
          <cell r="D20">
            <v>5.7609788344254342E-2</v>
          </cell>
          <cell r="E20">
            <v>6.4542957865473358E-2</v>
          </cell>
          <cell r="F20">
            <v>4.2023791262249914E-2</v>
          </cell>
        </row>
      </sheetData>
      <sheetData sheetId="3">
        <row r="3">
          <cell r="B3">
            <v>86686.256880109882</v>
          </cell>
          <cell r="C3">
            <v>93072.743093517289</v>
          </cell>
          <cell r="D3">
            <v>99929.744560691543</v>
          </cell>
          <cell r="E3">
            <v>107291.92582119783</v>
          </cell>
          <cell r="F3">
            <v>115196.50527506317</v>
          </cell>
          <cell r="G3">
            <v>123683.44333479973</v>
          </cell>
          <cell r="J3">
            <v>72229.175540605633</v>
          </cell>
          <cell r="K3">
            <v>73435.156162825646</v>
          </cell>
          <cell r="L3">
            <v>74661.27254390328</v>
          </cell>
          <cell r="M3">
            <v>75907.860882262714</v>
          </cell>
          <cell r="N3">
            <v>77175.262989693918</v>
          </cell>
          <cell r="O3">
            <v>78463.82638507674</v>
          </cell>
          <cell r="R3">
            <v>49958.767771747458</v>
          </cell>
          <cell r="S3">
            <v>52306.951070320072</v>
          </cell>
          <cell r="T3">
            <v>54765.504681244813</v>
          </cell>
          <cell r="U3">
            <v>57339.616276990062</v>
          </cell>
          <cell r="V3">
            <v>60034.717363216892</v>
          </cell>
          <cell r="W3">
            <v>62856.494739530717</v>
          </cell>
          <cell r="Z3">
            <v>22013.100164707743</v>
          </cell>
          <cell r="AA3">
            <v>22723.403463608724</v>
          </cell>
          <cell r="AB3">
            <v>23456.626331886786</v>
          </cell>
          <cell r="AC3">
            <v>24213.508322154514</v>
          </cell>
          <cell r="AD3">
            <v>24994.812850390237</v>
          </cell>
          <cell r="AE3">
            <v>25801.327965944409</v>
          </cell>
          <cell r="AH3">
            <v>41936.552068234225</v>
          </cell>
          <cell r="AI3">
            <v>42860.000472100997</v>
          </cell>
          <cell r="AJ3">
            <v>43803.783331533326</v>
          </cell>
          <cell r="AK3">
            <v>44768.348413922882</v>
          </cell>
          <cell r="AL3">
            <v>45754.153346558327</v>
          </cell>
          <cell r="AM3">
            <v>46761.665833741536</v>
          </cell>
        </row>
        <row r="4">
          <cell r="B4">
            <v>5232.1271812170908</v>
          </cell>
          <cell r="C4">
            <v>5617.5966813692439</v>
          </cell>
          <cell r="D4">
            <v>6031.4650966091194</v>
          </cell>
          <cell r="E4">
            <v>6475.8246764605874</v>
          </cell>
          <cell r="F4">
            <v>6952.9218139440782</v>
          </cell>
          <cell r="G4">
            <v>7465.16840187862</v>
          </cell>
          <cell r="J4">
            <v>8922.5662343731183</v>
          </cell>
          <cell r="K4">
            <v>9071.5426265109363</v>
          </cell>
          <cell r="L4">
            <v>9223.0064157530651</v>
          </cell>
          <cell r="M4">
            <v>9376.9991331385245</v>
          </cell>
          <cell r="N4">
            <v>9533.5630031328819</v>
          </cell>
          <cell r="O4">
            <v>9692.7409552061181</v>
          </cell>
          <cell r="R4">
            <v>5231.1422279403378</v>
          </cell>
          <cell r="S4">
            <v>5477.0186048003388</v>
          </cell>
          <cell r="T4">
            <v>5734.4517679344535</v>
          </cell>
          <cell r="U4">
            <v>6003.9849143374131</v>
          </cell>
          <cell r="V4">
            <v>6286.1867725806414</v>
          </cell>
          <cell r="W4">
            <v>6581.6528028583061</v>
          </cell>
          <cell r="Z4">
            <v>2282.6383951465336</v>
          </cell>
          <cell r="AA4">
            <v>2356.2929722001586</v>
          </cell>
          <cell r="AB4">
            <v>2432.324183561032</v>
          </cell>
          <cell r="AC4">
            <v>2510.8087168004681</v>
          </cell>
          <cell r="AD4">
            <v>2591.8257339906222</v>
          </cell>
          <cell r="AE4">
            <v>2675.456951549952</v>
          </cell>
          <cell r="AH4">
            <v>6258.6746160516623</v>
          </cell>
          <cell r="AI4">
            <v>6396.4914560033731</v>
          </cell>
          <cell r="AJ4">
            <v>6537.3430409353641</v>
          </cell>
          <cell r="AK4">
            <v>6681.2961963320877</v>
          </cell>
          <cell r="AL4">
            <v>6828.4192191839693</v>
          </cell>
          <cell r="AM4">
            <v>6978.7819103901693</v>
          </cell>
        </row>
        <row r="5">
          <cell r="B5">
            <v>4028.7379295371602</v>
          </cell>
          <cell r="C5">
            <v>4325.549444654318</v>
          </cell>
          <cell r="D5">
            <v>4644.228124389022</v>
          </cell>
          <cell r="E5">
            <v>4986.3850008746522</v>
          </cell>
          <cell r="F5">
            <v>5353.74979673694</v>
          </cell>
          <cell r="G5">
            <v>5748.1796694465374</v>
          </cell>
          <cell r="J5">
            <v>6870.3760004673013</v>
          </cell>
          <cell r="K5">
            <v>6985.0878224134212</v>
          </cell>
          <cell r="L5">
            <v>7101.7149401298602</v>
          </cell>
          <cell r="M5">
            <v>7220.2893325166642</v>
          </cell>
          <cell r="N5">
            <v>7340.8435124123189</v>
          </cell>
          <cell r="O5">
            <v>7463.4105355087113</v>
          </cell>
          <cell r="R5">
            <v>4027.97951551406</v>
          </cell>
          <cell r="S5">
            <v>4217.304325696261</v>
          </cell>
          <cell r="T5">
            <v>4415.5278613095297</v>
          </cell>
          <cell r="U5">
            <v>4623.0683840398078</v>
          </cell>
          <cell r="V5">
            <v>4840.3638148870941</v>
          </cell>
          <cell r="W5">
            <v>5067.8726582008958</v>
          </cell>
          <cell r="Z5">
            <v>1757.631564262831</v>
          </cell>
          <cell r="AA5">
            <v>1814.3455885941221</v>
          </cell>
          <cell r="AB5">
            <v>1872.8896213419946</v>
          </cell>
          <cell r="AC5">
            <v>1933.3227119363605</v>
          </cell>
          <cell r="AD5">
            <v>1995.7058151727792</v>
          </cell>
          <cell r="AE5">
            <v>2060.1018526934631</v>
          </cell>
          <cell r="AH5">
            <v>4819.1794543597798</v>
          </cell>
          <cell r="AI5">
            <v>4925.2984211225976</v>
          </cell>
          <cell r="AJ5">
            <v>5033.7541415202304</v>
          </cell>
          <cell r="AK5">
            <v>5144.5980711757074</v>
          </cell>
          <cell r="AL5">
            <v>5257.8827987716568</v>
          </cell>
          <cell r="AM5">
            <v>5373.6620710004308</v>
          </cell>
        </row>
        <row r="6">
          <cell r="B6">
            <v>5492.1548922789016</v>
          </cell>
          <cell r="C6">
            <v>5896.781562801174</v>
          </cell>
          <cell r="D6">
            <v>6331.2185255874365</v>
          </cell>
          <cell r="E6">
            <v>6797.662011359992</v>
          </cell>
          <cell r="F6">
            <v>7298.470055004047</v>
          </cell>
          <cell r="G6">
            <v>7836.1744162583991</v>
          </cell>
          <cell r="J6">
            <v>1510.2035367750057</v>
          </cell>
          <cell r="K6">
            <v>1535.4187796090446</v>
          </cell>
          <cell r="L6">
            <v>1561.0550309069738</v>
          </cell>
          <cell r="M6">
            <v>1587.1193200727078</v>
          </cell>
          <cell r="N6">
            <v>1613.6187938772048</v>
          </cell>
          <cell r="O6">
            <v>1640.5607184180983</v>
          </cell>
          <cell r="R6">
            <v>1068.4173447728524</v>
          </cell>
          <cell r="S6">
            <v>1118.6355522427273</v>
          </cell>
          <cell r="T6">
            <v>1171.2141373064567</v>
          </cell>
          <cell r="U6">
            <v>1226.2640434378575</v>
          </cell>
          <cell r="V6">
            <v>1283.9014287231946</v>
          </cell>
          <cell r="W6">
            <v>1344.2479109606181</v>
          </cell>
          <cell r="Z6">
            <v>1265.2123999414177</v>
          </cell>
          <cell r="AA6">
            <v>1306.0373875517328</v>
          </cell>
          <cell r="AB6">
            <v>1348.1796872698485</v>
          </cell>
          <cell r="AC6">
            <v>1391.6818052002595</v>
          </cell>
          <cell r="AD6">
            <v>1436.5876190046706</v>
          </cell>
          <cell r="AE6">
            <v>1482.9424221584441</v>
          </cell>
          <cell r="AH6">
            <v>1451.6847968453812</v>
          </cell>
          <cell r="AI6">
            <v>1483.6510874069738</v>
          </cell>
          <cell r="AJ6">
            <v>1516.3212798999557</v>
          </cell>
          <cell r="AK6">
            <v>1549.710874337632</v>
          </cell>
          <cell r="AL6">
            <v>1583.8357120456433</v>
          </cell>
          <cell r="AM6">
            <v>1618.7119831777093</v>
          </cell>
        </row>
      </sheetData>
      <sheetData sheetId="4"/>
      <sheetData sheetId="5">
        <row r="7">
          <cell r="D7">
            <v>1360.4</v>
          </cell>
          <cell r="I7">
            <v>1.6252268973253223</v>
          </cell>
          <cell r="N7">
            <v>2.5423157398735712</v>
          </cell>
        </row>
        <row r="13">
          <cell r="D13">
            <v>1787.54744067606</v>
          </cell>
        </row>
        <row r="16">
          <cell r="H16">
            <v>51.248020255620652</v>
          </cell>
          <cell r="I16">
            <v>26.460659360159287</v>
          </cell>
        </row>
        <row r="19">
          <cell r="D19">
            <v>3.1815083712192702E-2</v>
          </cell>
        </row>
        <row r="25">
          <cell r="D25">
            <v>3.1815083712192702E-2</v>
          </cell>
        </row>
        <row r="31">
          <cell r="D31">
            <v>3.1815083712192702E-2</v>
          </cell>
        </row>
        <row r="37">
          <cell r="D37">
            <v>0.14785529284400695</v>
          </cell>
        </row>
        <row r="43">
          <cell r="D43">
            <v>7.6912506524195984E-2</v>
          </cell>
        </row>
        <row r="55">
          <cell r="D55">
            <v>2.8392928970223295E-2</v>
          </cell>
        </row>
        <row r="67">
          <cell r="D67">
            <v>0.21168527488127431</v>
          </cell>
        </row>
        <row r="73">
          <cell r="D73">
            <v>4.8699146060824414E-2</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sheetName val="DCF"/>
      <sheetName val="Relative"/>
      <sheetName val="Calc"/>
    </sheetNames>
    <sheetDataSet>
      <sheetData sheetId="0">
        <row r="10">
          <cell r="B10">
            <v>31.247699999999998</v>
          </cell>
          <cell r="C10">
            <v>20.564599999999999</v>
          </cell>
          <cell r="D10">
            <v>2.75</v>
          </cell>
          <cell r="E10">
            <v>1.74</v>
          </cell>
          <cell r="F10">
            <v>0</v>
          </cell>
        </row>
      </sheetData>
      <sheetData sheetId="1"/>
      <sheetData sheetId="2">
        <row r="4">
          <cell r="B4">
            <v>6.5824121895231125E-2</v>
          </cell>
          <cell r="C4">
            <v>4.9273160896077695E-2</v>
          </cell>
          <cell r="D4">
            <v>4.0000000000000001E-3</v>
          </cell>
          <cell r="E4">
            <v>5.5749219753893797E-2</v>
          </cell>
          <cell r="F4">
            <v>3.1218256703844594E-2</v>
          </cell>
        </row>
        <row r="7">
          <cell r="B7">
            <v>0.37889961336774147</v>
          </cell>
          <cell r="C7">
            <v>0.4073860736419978</v>
          </cell>
          <cell r="D7">
            <v>0.4</v>
          </cell>
          <cell r="E7">
            <v>0.32867312255499265</v>
          </cell>
          <cell r="F7">
            <v>0.40446741467149633</v>
          </cell>
        </row>
        <row r="12">
          <cell r="B12">
            <v>0.69359999999999999</v>
          </cell>
          <cell r="C12">
            <v>0.44390000000000002</v>
          </cell>
          <cell r="D12">
            <v>0.62260000000000004</v>
          </cell>
          <cell r="E12">
            <v>0.43380000000000002</v>
          </cell>
          <cell r="F12">
            <v>0.3861</v>
          </cell>
        </row>
        <row r="13">
          <cell r="B13">
            <v>7.7173599999999995E-2</v>
          </cell>
          <cell r="C13">
            <v>6.4438899999999993E-2</v>
          </cell>
          <cell r="D13">
            <v>7.3552599999999996E-2</v>
          </cell>
          <cell r="E13">
            <v>6.3923800000000003E-2</v>
          </cell>
          <cell r="F13">
            <v>6.1491099999999993E-2</v>
          </cell>
        </row>
        <row r="16">
          <cell r="B16">
            <v>2.2293307938706607E-2</v>
          </cell>
          <cell r="C16">
            <v>2.7830921280053135E-2</v>
          </cell>
          <cell r="D16">
            <v>3.210528388489936E-2</v>
          </cell>
          <cell r="E16">
            <v>3.1964350506250308E-2</v>
          </cell>
          <cell r="F16">
            <v>5.3640920834869682E-2</v>
          </cell>
        </row>
        <row r="20">
          <cell r="B20">
            <v>0.32365274030642432</v>
          </cell>
          <cell r="C20">
            <v>0.459472901332593</v>
          </cell>
          <cell r="D20">
            <v>0.44022450374498323</v>
          </cell>
          <cell r="E20">
            <v>0.36260111163820036</v>
          </cell>
          <cell r="F20">
            <v>0.38146455282551694</v>
          </cell>
        </row>
        <row r="21">
          <cell r="B21">
            <v>0.67634725969357568</v>
          </cell>
          <cell r="C21">
            <v>0.540527098667407</v>
          </cell>
          <cell r="D21">
            <v>0.55977549625501666</v>
          </cell>
          <cell r="E21">
            <v>0.63739888836179981</v>
          </cell>
          <cell r="F21">
            <v>0.61853544717448306</v>
          </cell>
        </row>
        <row r="22">
          <cell r="B22">
            <v>5.9411443085545489E-2</v>
          </cell>
          <cell r="C22">
            <v>4.7618525805624187E-2</v>
          </cell>
          <cell r="D22">
            <v>5.5306475831668367E-2</v>
          </cell>
          <cell r="E22">
            <v>5.2335268086221458E-2</v>
          </cell>
          <cell r="F22">
            <v>5.849653491517337E-2</v>
          </cell>
        </row>
      </sheetData>
      <sheetData sheetId="3">
        <row r="3">
          <cell r="B3">
            <v>26382.344489272655</v>
          </cell>
          <cell r="C3">
            <v>28118.939148816517</v>
          </cell>
          <cell r="D3">
            <v>29969.8436269128</v>
          </cell>
          <cell r="E3">
            <v>31942.582266991725</v>
          </cell>
          <cell r="F3">
            <v>34045.17469578264</v>
          </cell>
          <cell r="G3">
            <v>36286.168424902273</v>
          </cell>
          <cell r="J3">
            <v>31852.785345322231</v>
          </cell>
          <cell r="K3">
            <v>33422.27276263052</v>
          </cell>
          <cell r="L3">
            <v>35069.093785976213</v>
          </cell>
          <cell r="M3">
            <v>36797.05888657226</v>
          </cell>
          <cell r="N3">
            <v>38610.16628959278</v>
          </cell>
          <cell r="O3">
            <v>40512.611225404202</v>
          </cell>
          <cell r="R3">
            <v>14516.835999999999</v>
          </cell>
          <cell r="S3">
            <v>14574.903344</v>
          </cell>
          <cell r="T3">
            <v>14633.202957376001</v>
          </cell>
          <cell r="U3">
            <v>14691.735769205505</v>
          </cell>
          <cell r="V3">
            <v>14750.502712282327</v>
          </cell>
          <cell r="W3">
            <v>14809.504723131457</v>
          </cell>
          <cell r="Z3">
            <v>28213.842148703057</v>
          </cell>
          <cell r="AA3">
            <v>29786.741834752775</v>
          </cell>
          <cell r="AB3">
            <v>31447.329451050908</v>
          </cell>
          <cell r="AC3">
            <v>33200.493531290638</v>
          </cell>
          <cell r="AD3">
            <v>35051.395141104287</v>
          </cell>
          <cell r="AE3">
            <v>37005.483071506278</v>
          </cell>
          <cell r="AH3">
            <v>13860.604588356375</v>
          </cell>
          <cell r="AI3">
            <v>14293.30850046617</v>
          </cell>
          <cell r="AJ3">
            <v>14739.520674380967</v>
          </cell>
          <cell r="AK3">
            <v>15199.662814485417</v>
          </cell>
          <cell r="AL3">
            <v>15674.169790039903</v>
          </cell>
          <cell r="AM3">
            <v>16163.490046165014</v>
          </cell>
        </row>
        <row r="4">
          <cell r="B4">
            <v>15038.001776264689</v>
          </cell>
          <cell r="C4">
            <v>16027.865038246238</v>
          </cell>
          <cell r="D4">
            <v>17082.885180244069</v>
          </cell>
          <cell r="E4">
            <v>18207.351096670696</v>
          </cell>
          <cell r="F4">
            <v>19405.833994647219</v>
          </cell>
          <cell r="G4">
            <v>20683.205976989495</v>
          </cell>
          <cell r="J4">
            <v>13154.050721023408</v>
          </cell>
          <cell r="K4">
            <v>13802.192378635562</v>
          </cell>
          <cell r="L4">
            <v>14482.270024426691</v>
          </cell>
          <cell r="M4">
            <v>15195.857245480713</v>
          </cell>
          <cell r="N4">
            <v>15944.605164491111</v>
          </cell>
          <cell r="O4">
            <v>16730.246260185511</v>
          </cell>
          <cell r="R4">
            <v>5929.309879399153</v>
          </cell>
          <cell r="S4">
            <v>5953.0271189167506</v>
          </cell>
          <cell r="T4">
            <v>5976.8392273924173</v>
          </cell>
          <cell r="U4">
            <v>6000.7465843019872</v>
          </cell>
          <cell r="V4">
            <v>6024.7495706391946</v>
          </cell>
          <cell r="W4">
            <v>6048.8485689217523</v>
          </cell>
          <cell r="Z4">
            <v>11481.493962328947</v>
          </cell>
          <cell r="AA4">
            <v>12121.578292337826</v>
          </cell>
          <cell r="AB4">
            <v>12797.346824321397</v>
          </cell>
          <cell r="AC4">
            <v>13510.788924697285</v>
          </cell>
          <cell r="AD4">
            <v>14264.004865508707</v>
          </cell>
          <cell r="AE4">
            <v>15059.212007326563</v>
          </cell>
          <cell r="AH4">
            <v>4932.0518668053746</v>
          </cell>
          <cell r="AI4">
            <v>5086.0219280599804</v>
          </cell>
          <cell r="AJ4">
            <v>5244.7986662115391</v>
          </cell>
          <cell r="AK4">
            <v>5408.5321373333127</v>
          </cell>
          <cell r="AL4">
            <v>5577.3770819875772</v>
          </cell>
          <cell r="AM4">
            <v>5751.4930714672055</v>
          </cell>
        </row>
        <row r="5">
          <cell r="B5">
            <v>11579.261367723811</v>
          </cell>
          <cell r="C5">
            <v>12341.456079449605</v>
          </cell>
          <cell r="D5">
            <v>13153.821588787934</v>
          </cell>
          <cell r="E5">
            <v>14019.660344436437</v>
          </cell>
          <cell r="F5">
            <v>14942.492175878358</v>
          </cell>
          <cell r="G5">
            <v>15926.068602281912</v>
          </cell>
          <cell r="J5">
            <v>10128.619055188025</v>
          </cell>
          <cell r="K5">
            <v>10627.688131549383</v>
          </cell>
          <cell r="L5">
            <v>11151.347918808553</v>
          </cell>
          <cell r="M5">
            <v>11700.81007902015</v>
          </cell>
          <cell r="N5">
            <v>12277.345976658156</v>
          </cell>
          <cell r="O5">
            <v>12882.289620342845</v>
          </cell>
          <cell r="R5">
            <v>5092.3587140210875</v>
          </cell>
          <cell r="S5">
            <v>5112.7281488771723</v>
          </cell>
          <cell r="T5">
            <v>5133.1790614726806</v>
          </cell>
          <cell r="U5">
            <v>5153.7117777185722</v>
          </cell>
          <cell r="V5">
            <v>5174.3266248294458</v>
          </cell>
          <cell r="W5">
            <v>5195.0239313287639</v>
          </cell>
          <cell r="Z5">
            <v>8840.7503509932885</v>
          </cell>
          <cell r="AA5">
            <v>9333.6152851001261</v>
          </cell>
          <cell r="AB5">
            <v>9853.9570547274761</v>
          </cell>
          <cell r="AC5">
            <v>10403.30747201691</v>
          </cell>
          <cell r="AD5">
            <v>10983.283746441704</v>
          </cell>
          <cell r="AE5">
            <v>11595.593245641454</v>
          </cell>
          <cell r="AH5">
            <v>6360.4991654046262</v>
          </cell>
          <cell r="AI5">
            <v>6559.0628611148168</v>
          </cell>
          <cell r="AJ5">
            <v>6763.8253692497519</v>
          </cell>
          <cell r="AK5">
            <v>6974.9802059269668</v>
          </cell>
          <cell r="AL5">
            <v>7192.7269284998301</v>
          </cell>
          <cell r="AM5">
            <v>7417.2713241543934</v>
          </cell>
        </row>
        <row r="6">
          <cell r="B6">
            <v>5771.2665717792861</v>
          </cell>
          <cell r="C6">
            <v>6151.1551260899578</v>
          </cell>
          <cell r="D6">
            <v>6556.0495109061785</v>
          </cell>
          <cell r="E6">
            <v>6987.5957130632378</v>
          </cell>
          <cell r="F6">
            <v>7447.548065034508</v>
          </cell>
          <cell r="G6">
            <v>7937.7763766879316</v>
          </cell>
          <cell r="J6">
            <v>5998.2638506280509</v>
          </cell>
          <cell r="K6">
            <v>6293.8172704371736</v>
          </cell>
          <cell r="L6">
            <v>6603.9335414539382</v>
          </cell>
          <cell r="M6">
            <v>6929.3302213890029</v>
          </cell>
          <cell r="N6">
            <v>7270.7602242895564</v>
          </cell>
          <cell r="O6">
            <v>7629.0135626577776</v>
          </cell>
          <cell r="R6">
            <v>2459.5351303902266</v>
          </cell>
          <cell r="S6">
            <v>2469.3732709117876</v>
          </cell>
          <cell r="T6">
            <v>2479.2507639954351</v>
          </cell>
          <cell r="U6">
            <v>2489.1677670514168</v>
          </cell>
          <cell r="V6">
            <v>2499.1244381196225</v>
          </cell>
          <cell r="W6">
            <v>2509.1209358721007</v>
          </cell>
          <cell r="Z6">
            <v>4529.3593509100829</v>
          </cell>
          <cell r="AA6">
            <v>4781.8676007083232</v>
          </cell>
          <cell r="AB6">
            <v>5048.4529884142357</v>
          </cell>
          <cell r="AC6">
            <v>5329.9003034825428</v>
          </cell>
          <cell r="AD6">
            <v>5627.0380867677359</v>
          </cell>
          <cell r="AE6">
            <v>5940.7410696304805</v>
          </cell>
          <cell r="AH6">
            <v>2382.5529046216147</v>
          </cell>
          <cell r="AI6">
            <v>2456.9320528085827</v>
          </cell>
          <cell r="AJ6">
            <v>2533.6331883370649</v>
          </cell>
          <cell r="AK6">
            <v>2612.7287996039518</v>
          </cell>
          <cell r="AL6">
            <v>2694.2936379675157</v>
          </cell>
          <cell r="AM6">
            <v>2778.4047883931207</v>
          </cell>
        </row>
      </sheetData>
      <sheetData sheetId="4"/>
      <sheetData sheetId="5">
        <row r="7">
          <cell r="D7">
            <v>8303.2000000000007</v>
          </cell>
          <cell r="I7">
            <v>0.14773808330800647</v>
          </cell>
          <cell r="N7">
            <v>0.50232486181030911</v>
          </cell>
        </row>
        <row r="13">
          <cell r="D13">
            <v>9813.9898038808642</v>
          </cell>
        </row>
        <row r="15">
          <cell r="H15">
            <v>29.435966980682341</v>
          </cell>
          <cell r="I15">
            <v>76.345352906427962</v>
          </cell>
        </row>
        <row r="19">
          <cell r="D19">
            <v>3.4196491755730071E-2</v>
          </cell>
        </row>
        <row r="25">
          <cell r="D25">
            <v>3.4196491755730071E-2</v>
          </cell>
        </row>
        <row r="31">
          <cell r="D31">
            <v>3.4196491755730071E-2</v>
          </cell>
        </row>
        <row r="37">
          <cell r="D37">
            <v>0.61262236948286564</v>
          </cell>
        </row>
        <row r="43">
          <cell r="D43">
            <v>0.14764992303983096</v>
          </cell>
        </row>
        <row r="55">
          <cell r="D55">
            <v>0.38388524484724568</v>
          </cell>
        </row>
        <row r="67">
          <cell r="D67">
            <v>0.22903605871928384</v>
          </cell>
        </row>
        <row r="73">
          <cell r="D73">
            <v>8.1082082583140161E-2</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row r="10">
          <cell r="B10">
            <v>22.096800000000002</v>
          </cell>
          <cell r="C10">
            <v>28.545400000000001</v>
          </cell>
          <cell r="D10">
            <v>23.232299999999999</v>
          </cell>
          <cell r="E10">
            <v>21.684200000000001</v>
          </cell>
          <cell r="F10">
            <v>38.923299999999998</v>
          </cell>
        </row>
      </sheetData>
      <sheetData sheetId="1"/>
      <sheetData sheetId="2">
        <row r="3">
          <cell r="B3">
            <v>3.4440928051111763E-2</v>
          </cell>
          <cell r="C3">
            <v>5.4725961063701867E-2</v>
          </cell>
          <cell r="D3">
            <v>7.3476646676616797E-2</v>
          </cell>
          <cell r="E3">
            <v>4.0637661431614625E-2</v>
          </cell>
          <cell r="F3">
            <v>4.0211589097020051E-2</v>
          </cell>
        </row>
        <row r="6">
          <cell r="B6">
            <v>3.915586066615815E-2</v>
          </cell>
          <cell r="C6">
            <v>5.9366531367160594E-2</v>
          </cell>
          <cell r="D6">
            <v>3.8286551511412706E-2</v>
          </cell>
          <cell r="E6">
            <v>3.2149381406084206E-2</v>
          </cell>
          <cell r="F6">
            <v>2.75415453679063E-2</v>
          </cell>
        </row>
        <row r="11">
          <cell r="B11">
            <v>0.36080000000000001</v>
          </cell>
          <cell r="C11">
            <v>0.4612</v>
          </cell>
          <cell r="D11">
            <v>0.42430000000000001</v>
          </cell>
          <cell r="E11">
            <v>0.34320000000000001</v>
          </cell>
          <cell r="F11">
            <v>0.67069999999999996</v>
          </cell>
        </row>
        <row r="12">
          <cell r="B12">
            <v>5.7908399999999999E-2</v>
          </cell>
          <cell r="C12">
            <v>6.2727599999999994E-2</v>
          </cell>
          <cell r="D12">
            <v>6.0956400000000001E-2</v>
          </cell>
          <cell r="E12">
            <v>5.7063600000000006E-2</v>
          </cell>
          <cell r="F12">
            <v>7.2783600000000004E-2</v>
          </cell>
        </row>
        <row r="15">
          <cell r="B15">
            <v>1.4470195047118124E-2</v>
          </cell>
          <cell r="C15">
            <v>2.0589905928309258E-2</v>
          </cell>
          <cell r="D15">
            <v>2.5870868810018502E-2</v>
          </cell>
          <cell r="E15">
            <v>2.0560209424083768E-2</v>
          </cell>
          <cell r="F15">
            <v>2.6319406367657269E-2</v>
          </cell>
        </row>
        <row r="19">
          <cell r="B19">
            <v>8.4055934359326456E-2</v>
          </cell>
          <cell r="C19">
            <v>0.17752858166890625</v>
          </cell>
          <cell r="D19">
            <v>0.12852440418924338</v>
          </cell>
          <cell r="E19">
            <v>0.11308684470587707</v>
          </cell>
          <cell r="F19">
            <v>6.8104493322559703E-2</v>
          </cell>
        </row>
        <row r="20">
          <cell r="B20">
            <v>0.91594406564067354</v>
          </cell>
          <cell r="C20">
            <v>0.82247141833109372</v>
          </cell>
          <cell r="D20">
            <v>0.87147559581075662</v>
          </cell>
          <cell r="E20">
            <v>0.88691315529412296</v>
          </cell>
          <cell r="F20">
            <v>0.93189550667744026</v>
          </cell>
        </row>
        <row r="21">
          <cell r="B21">
            <v>5.4257161095793593E-2</v>
          </cell>
          <cell r="C21">
            <v>5.5246954936654456E-2</v>
          </cell>
          <cell r="D21">
            <v>5.644705300814451E-2</v>
          </cell>
          <cell r="E21">
            <v>5.293554673870339E-2</v>
          </cell>
          <cell r="F21">
            <v>6.9619179635028006E-2</v>
          </cell>
        </row>
      </sheetData>
      <sheetData sheetId="3">
        <row r="3">
          <cell r="B3">
            <v>86933.381152487374</v>
          </cell>
          <cell r="C3">
            <v>89927.447478000075</v>
          </cell>
          <cell r="D3">
            <v>93024.632226410002</v>
          </cell>
          <cell r="E3">
            <v>96228.486891900917</v>
          </cell>
          <cell r="F3">
            <v>99542.685285412226</v>
          </cell>
          <cell r="G3">
            <v>102971.02774734158</v>
          </cell>
          <cell r="J3">
            <v>96880.798427545276</v>
          </cell>
          <cell r="K3">
            <v>102182.69323011147</v>
          </cell>
          <cell r="L3">
            <v>107774.73932120674</v>
          </cell>
          <cell r="M3">
            <v>113672.81550894972</v>
          </cell>
          <cell r="N3">
            <v>119893.66958449387</v>
          </cell>
          <cell r="O3">
            <v>126454.96587795921</v>
          </cell>
          <cell r="R3">
            <v>50518.88446924826</v>
          </cell>
          <cell r="S3">
            <v>54230.842693892038</v>
          </cell>
          <cell r="T3">
            <v>58215.543161486326</v>
          </cell>
          <cell r="U3">
            <v>62493.026057450195</v>
          </cell>
          <cell r="V3">
            <v>67084.804052826075</v>
          </cell>
          <cell r="W3">
            <v>72013.970497585644</v>
          </cell>
          <cell r="Z3">
            <v>20917.857632436884</v>
          </cell>
          <cell r="AA3">
            <v>21767.91044877857</v>
          </cell>
          <cell r="AB3">
            <v>22652.50742366974</v>
          </cell>
          <cell r="AC3">
            <v>23573.052350929967</v>
          </cell>
          <cell r="AD3">
            <v>24531.006071276788</v>
          </cell>
          <cell r="AE3">
            <v>25527.888790578218</v>
          </cell>
          <cell r="AH3">
            <v>708368.48900123418</v>
          </cell>
          <cell r="AI3">
            <v>736853.11161022878</v>
          </cell>
          <cell r="AJ3">
            <v>766483.14615915995</v>
          </cell>
          <cell r="AK3">
            <v>797304.65148230328</v>
          </cell>
          <cell r="AL3">
            <v>829365.53851285239</v>
          </cell>
          <cell r="AM3">
            <v>862715.64475876</v>
          </cell>
        </row>
        <row r="4">
          <cell r="B4">
            <v>19491.821214215473</v>
          </cell>
          <cell r="C4">
            <v>20163.137626239404</v>
          </cell>
          <cell r="D4">
            <v>20857.57479850938</v>
          </cell>
          <cell r="E4">
            <v>21575.929031465523</v>
          </cell>
          <cell r="F4">
            <v>22319.024050874119</v>
          </cell>
          <cell r="G4">
            <v>23087.711952381309</v>
          </cell>
          <cell r="J4">
            <v>13306.582732472003</v>
          </cell>
          <cell r="K4">
            <v>14034.798260980195</v>
          </cell>
          <cell r="L4">
            <v>14802.866084147507</v>
          </cell>
          <cell r="M4">
            <v>15612.967157099754</v>
          </cell>
          <cell r="N4">
            <v>16467.401789828051</v>
          </cell>
          <cell r="O4">
            <v>17368.596178998516</v>
          </cell>
          <cell r="R4">
            <v>16312.334702663411</v>
          </cell>
          <cell r="S4">
            <v>17510.910356081728</v>
          </cell>
          <cell r="T4">
            <v>18797.553329301452</v>
          </cell>
          <cell r="U4">
            <v>20178.734513663396</v>
          </cell>
          <cell r="V4">
            <v>21661.400259905098</v>
          </cell>
          <cell r="W4">
            <v>23253.00731332292</v>
          </cell>
          <cell r="Z4">
            <v>4020.1039275439316</v>
          </cell>
          <cell r="AA4">
            <v>4183.4715498713658</v>
          </cell>
          <cell r="AB4">
            <v>4353.4780503238308</v>
          </cell>
          <cell r="AC4">
            <v>4530.3932173828562</v>
          </cell>
          <cell r="AD4">
            <v>4714.4978031029441</v>
          </cell>
          <cell r="AE4">
            <v>4906.0839686455329</v>
          </cell>
          <cell r="AH4">
            <v>26450.287696052401</v>
          </cell>
          <cell r="AI4">
            <v>27513.895796384026</v>
          </cell>
          <cell r="AJ4">
            <v>28620.273268606448</v>
          </cell>
          <cell r="AK4">
            <v>29771.139937128079</v>
          </cell>
          <cell r="AL4">
            <v>30968.284783229756</v>
          </cell>
          <cell r="AM4">
            <v>32213.568725972487</v>
          </cell>
        </row>
        <row r="5">
          <cell r="B5">
            <v>15008.702334945914</v>
          </cell>
          <cell r="C5">
            <v>15525.615972204341</v>
          </cell>
          <cell r="D5">
            <v>16060.332594852223</v>
          </cell>
          <cell r="E5">
            <v>16613.465354228454</v>
          </cell>
          <cell r="F5">
            <v>17185.648519173072</v>
          </cell>
          <cell r="G5">
            <v>17777.53820333361</v>
          </cell>
          <cell r="J5">
            <v>10246.068704003443</v>
          </cell>
          <cell r="K5">
            <v>10806.794660954751</v>
          </cell>
          <cell r="L5">
            <v>11398.206884793581</v>
          </cell>
          <cell r="M5">
            <v>12021.984710966812</v>
          </cell>
          <cell r="N5">
            <v>12679.8993781676</v>
          </cell>
          <cell r="O5">
            <v>13373.819057828858</v>
          </cell>
          <cell r="R5">
            <v>12560.497721050826</v>
          </cell>
          <cell r="S5">
            <v>13483.40097418293</v>
          </cell>
          <cell r="T5">
            <v>14474.116063562118</v>
          </cell>
          <cell r="U5">
            <v>15537.625575520815</v>
          </cell>
          <cell r="V5">
            <v>16679.278200126926</v>
          </cell>
          <cell r="W5">
            <v>17904.815631258647</v>
          </cell>
          <cell r="Z5">
            <v>3095.4800242088272</v>
          </cell>
          <cell r="AA5">
            <v>3221.2730934009519</v>
          </cell>
          <cell r="AB5">
            <v>3352.1780987493498</v>
          </cell>
          <cell r="AC5">
            <v>3488.4027773847993</v>
          </cell>
          <cell r="AD5">
            <v>3630.1633083892671</v>
          </cell>
          <cell r="AE5">
            <v>3777.6846558570605</v>
          </cell>
          <cell r="AH5">
            <v>20366.721525960351</v>
          </cell>
          <cell r="AI5">
            <v>21185.6997632157</v>
          </cell>
          <cell r="AJ5">
            <v>22037.610416826967</v>
          </cell>
          <cell r="AK5">
            <v>22923.777751588623</v>
          </cell>
          <cell r="AL5">
            <v>23845.579283086914</v>
          </cell>
          <cell r="AM5">
            <v>24804.447918998816</v>
          </cell>
        </row>
        <row r="6">
          <cell r="B6">
            <v>3130.9721434655062</v>
          </cell>
          <cell r="C6">
            <v>3238.8057297886371</v>
          </cell>
          <cell r="D6">
            <v>3350.3532048998159</v>
          </cell>
          <cell r="E6">
            <v>3465.742478575582</v>
          </cell>
          <cell r="F6">
            <v>3585.1058659238852</v>
          </cell>
          <cell r="G6">
            <v>3708.5802391077887</v>
          </cell>
          <cell r="J6">
            <v>3262.5107575805951</v>
          </cell>
          <cell r="K6">
            <v>3441.054794269859</v>
          </cell>
          <cell r="L6">
            <v>3629.3698249591362</v>
          </cell>
          <cell r="M6">
            <v>3827.9905766856241</v>
          </cell>
          <cell r="N6">
            <v>4037.4810399375392</v>
          </cell>
          <cell r="O6">
            <v>4258.4360701245951</v>
          </cell>
          <cell r="R6">
            <v>1570.680346386878</v>
          </cell>
          <cell r="S6">
            <v>1686.0886712402528</v>
          </cell>
          <cell r="T6">
            <v>1809.9768128024189</v>
          </cell>
          <cell r="U6">
            <v>1942.9678395695714</v>
          </cell>
          <cell r="V6">
            <v>2085.7306010216544</v>
          </cell>
          <cell r="W6">
            <v>2238.98309145553</v>
          </cell>
          <cell r="Z6">
            <v>643.43629371355996</v>
          </cell>
          <cell r="AA6">
            <v>669.5840399703045</v>
          </cell>
          <cell r="AB6">
            <v>696.79436948663044</v>
          </cell>
          <cell r="AC6">
            <v>725.11046316128352</v>
          </cell>
          <cell r="AD6">
            <v>754.57725666375313</v>
          </cell>
          <cell r="AE6">
            <v>785.24151174405131</v>
          </cell>
          <cell r="AH6">
            <v>13276.214191427693</v>
          </cell>
          <cell r="AI6">
            <v>13810.071861257409</v>
          </cell>
          <cell r="AJ6">
            <v>14365.396796342611</v>
          </cell>
          <cell r="AK6">
            <v>14943.052229532788</v>
          </cell>
          <cell r="AL6">
            <v>15543.936105642069</v>
          </cell>
          <cell r="AM6">
            <v>16168.982477272484</v>
          </cell>
        </row>
      </sheetData>
      <sheetData sheetId="4"/>
      <sheetData sheetId="5">
        <row r="7">
          <cell r="D7">
            <v>5432.2800000000007</v>
          </cell>
          <cell r="I7">
            <v>0.69747693249774723</v>
          </cell>
          <cell r="O7">
            <v>0.35</v>
          </cell>
        </row>
        <row r="13">
          <cell r="D13">
            <v>6991.8330327173844</v>
          </cell>
        </row>
        <row r="19">
          <cell r="D19">
            <v>4.0407518259497087E-2</v>
          </cell>
        </row>
        <row r="20">
          <cell r="K20">
            <v>35.570611705833308</v>
          </cell>
          <cell r="L20">
            <v>67.675502209363515</v>
          </cell>
        </row>
        <row r="25">
          <cell r="D25">
            <v>4.0407518259497087E-2</v>
          </cell>
        </row>
        <row r="31">
          <cell r="D31">
            <v>4.0407518259497087E-2</v>
          </cell>
        </row>
        <row r="37">
          <cell r="D37">
            <v>0.21285415461225146</v>
          </cell>
        </row>
        <row r="43">
          <cell r="D43">
            <v>0.10344700465461103</v>
          </cell>
        </row>
        <row r="55">
          <cell r="D55">
            <v>3.9299974063744386E-2</v>
          </cell>
        </row>
        <row r="67">
          <cell r="D67">
            <v>0.27070200883745404</v>
          </cell>
        </row>
        <row r="73">
          <cell r="D73">
            <v>8.4515938674889962E-2</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le"/>
      <sheetName val="Financials"/>
      <sheetName val="Assumptions &amp; WACC"/>
      <sheetName val="DCF"/>
      <sheetName val="Relative"/>
      <sheetName val="Calc"/>
    </sheetNames>
    <sheetDataSet>
      <sheetData sheetId="0">
        <row r="10">
          <cell r="B10">
            <v>26.6678</v>
          </cell>
          <cell r="C10">
            <v>62.9739</v>
          </cell>
          <cell r="D10">
            <v>26.2317</v>
          </cell>
          <cell r="E10">
            <v>2.0539000000000001</v>
          </cell>
          <cell r="F10">
            <v>40.619399999999999</v>
          </cell>
        </row>
      </sheetData>
      <sheetData sheetId="1"/>
      <sheetData sheetId="2">
        <row r="3">
          <cell r="B3">
            <v>9.1942900819767415E-2</v>
          </cell>
          <cell r="C3">
            <v>-3.2502012842049788E-2</v>
          </cell>
          <cell r="D3">
            <v>3.9961812066319213E-2</v>
          </cell>
          <cell r="E3">
            <v>8.1196006987693803E-3</v>
          </cell>
          <cell r="F3">
            <v>8.8386995506243071E-2</v>
          </cell>
        </row>
        <row r="6">
          <cell r="B6">
            <v>2.4477580409485417E-2</v>
          </cell>
          <cell r="C6">
            <v>9.1984277211756109E-3</v>
          </cell>
          <cell r="D6">
            <v>8.7315350530184806E-3</v>
          </cell>
          <cell r="E6">
            <v>7.078819796474874E-3</v>
          </cell>
          <cell r="F6">
            <v>8.8148746746505122E-2</v>
          </cell>
        </row>
        <row r="11">
          <cell r="B11">
            <v>1.5013000000000001</v>
          </cell>
          <cell r="C11">
            <v>0.8367</v>
          </cell>
          <cell r="D11">
            <v>1.0593999999999999</v>
          </cell>
          <cell r="E11">
            <v>1.5931999999999999</v>
          </cell>
          <cell r="F11">
            <v>0.94399999999999995</v>
          </cell>
        </row>
        <row r="12">
          <cell r="B12">
            <v>0.10229342999999999</v>
          </cell>
          <cell r="C12">
            <v>7.4978370000000003E-2</v>
          </cell>
          <cell r="D12">
            <v>8.4131339999999999E-2</v>
          </cell>
          <cell r="E12">
            <v>0.10607052</v>
          </cell>
          <cell r="F12">
            <v>7.9388399999999998E-2</v>
          </cell>
        </row>
        <row r="15">
          <cell r="B15">
            <v>2.9404691504040997E-2</v>
          </cell>
          <cell r="C15">
            <v>3.3698042616891487E-2</v>
          </cell>
          <cell r="D15">
            <v>5.8669976141528156E-2</v>
          </cell>
          <cell r="E15">
            <v>3.9858291420389887E-2</v>
          </cell>
          <cell r="F15">
            <v>3.188394661209653E-2</v>
          </cell>
        </row>
        <row r="19">
          <cell r="B19">
            <v>0.13518958228937525</v>
          </cell>
          <cell r="C19">
            <v>0.10517946614823909</v>
          </cell>
          <cell r="D19">
            <v>0.12560397157557254</v>
          </cell>
          <cell r="E19">
            <v>0.12014578588910652</v>
          </cell>
          <cell r="F19">
            <v>0.12092787777885877</v>
          </cell>
        </row>
        <row r="20">
          <cell r="B20">
            <v>0.86481041771062472</v>
          </cell>
          <cell r="C20">
            <v>0.89482053385176097</v>
          </cell>
          <cell r="D20">
            <v>0.87439602842442743</v>
          </cell>
          <cell r="E20">
            <v>0.8798542141108936</v>
          </cell>
          <cell r="F20">
            <v>0.87907212222114117</v>
          </cell>
        </row>
        <row r="21">
          <cell r="B21">
            <v>9.243963188913179E-2</v>
          </cell>
          <cell r="C21">
            <v>7.0636527203420119E-2</v>
          </cell>
          <cell r="D21">
            <v>8.0933291577645186E-2</v>
          </cell>
          <cell r="E21">
            <v>9.8115399761833588E-2</v>
          </cell>
          <cell r="F21">
            <v>7.3643787266756119E-2</v>
          </cell>
        </row>
      </sheetData>
      <sheetData sheetId="3">
        <row r="3">
          <cell r="B3">
            <v>70767.727459228307</v>
          </cell>
          <cell r="C3">
            <v>77274.317606252473</v>
          </cell>
          <cell r="D3">
            <v>84379.142525839357</v>
          </cell>
          <cell r="E3">
            <v>92137.205658349631</v>
          </cell>
          <cell r="F3">
            <v>100608.56762000578</v>
          </cell>
          <cell r="G3">
            <v>109858.81117431083</v>
          </cell>
          <cell r="J3">
            <v>11127.137267922344</v>
          </cell>
          <cell r="K3">
            <v>10765.48290954508</v>
          </cell>
          <cell r="L3">
            <v>10415.583045768179</v>
          </cell>
          <cell r="M3">
            <v>10077.055631857185</v>
          </cell>
          <cell r="N3">
            <v>9749.5310403005133</v>
          </cell>
          <cell r="O3">
            <v>9432.6516572247037</v>
          </cell>
          <cell r="R3">
            <v>16749.10288431048</v>
          </cell>
          <cell r="S3">
            <v>17418.427386052739</v>
          </cell>
          <cell r="T3">
            <v>18114.499307745005</v>
          </cell>
          <cell r="U3">
            <v>18838.387524756581</v>
          </cell>
          <cell r="V3">
            <v>19591.203626653398</v>
          </cell>
          <cell r="W3">
            <v>20374.103624134714</v>
          </cell>
          <cell r="Z3">
            <v>16447.471285400421</v>
          </cell>
          <cell r="AA3">
            <v>16581.018184742348</v>
          </cell>
          <cell r="AB3">
            <v>16715.649431581489</v>
          </cell>
          <cell r="AC3">
            <v>16851.373830386543</v>
          </cell>
          <cell r="AD3">
            <v>16988.200257114975</v>
          </cell>
          <cell r="AE3">
            <v>17126.13765979348</v>
          </cell>
          <cell r="AH3">
            <v>8073.3282165666587</v>
          </cell>
          <cell r="AI3">
            <v>8786.9054413647609</v>
          </cell>
          <cell r="AJ3">
            <v>9563.5536131244517</v>
          </cell>
          <cell r="AK3">
            <v>10408.847383351398</v>
          </cell>
          <cell r="AL3">
            <v>11328.854130248848</v>
          </cell>
          <cell r="AM3">
            <v>12330.177509350036</v>
          </cell>
        </row>
        <row r="4">
          <cell r="B4">
            <v>12283.532307395866</v>
          </cell>
          <cell r="C4">
            <v>13412.915900051175</v>
          </cell>
          <cell r="D4">
            <v>14646.138296353462</v>
          </cell>
          <cell r="E4">
            <v>15992.746737127687</v>
          </cell>
          <cell r="F4">
            <v>17463.166264215077</v>
          </cell>
          <cell r="G4">
            <v>19068.780428044909</v>
          </cell>
          <cell r="J4">
            <v>601.61136709274388</v>
          </cell>
          <cell r="K4">
            <v>582.05778671357234</v>
          </cell>
          <cell r="L4">
            <v>563.13973705499268</v>
          </cell>
          <cell r="M4">
            <v>544.83656208936281</v>
          </cell>
          <cell r="N4">
            <v>527.12827715151604</v>
          </cell>
          <cell r="O4">
            <v>509.99554711812999</v>
          </cell>
          <cell r="R4">
            <v>710.14123598345373</v>
          </cell>
          <cell r="S4">
            <v>738.51976659636807</v>
          </cell>
          <cell r="T4">
            <v>768.03235471635401</v>
          </cell>
          <cell r="U4">
            <v>798.72431933638154</v>
          </cell>
          <cell r="V4">
            <v>830.64279047850084</v>
          </cell>
          <cell r="W4">
            <v>863.83678156584574</v>
          </cell>
          <cell r="Z4">
            <v>165.4554021544661</v>
          </cell>
          <cell r="AA4">
            <v>166.79883395341469</v>
          </cell>
          <cell r="AB4">
            <v>168.15317388213674</v>
          </cell>
          <cell r="AC4">
            <v>169.51851051029044</v>
          </cell>
          <cell r="AD4">
            <v>170.89493312668415</v>
          </cell>
          <cell r="AE4">
            <v>172.2825317451157</v>
          </cell>
          <cell r="AH4">
            <v>1427.665442326349</v>
          </cell>
          <cell r="AI4">
            <v>1553.8525013616663</v>
          </cell>
          <cell r="AJ4">
            <v>1691.1928554168846</v>
          </cell>
          <cell r="AK4">
            <v>1840.6723107288074</v>
          </cell>
          <cell r="AL4">
            <v>2003.3638059856607</v>
          </cell>
          <cell r="AM4">
            <v>2180.4351137026852</v>
          </cell>
        </row>
        <row r="5">
          <cell r="B5">
            <v>9458.3198766948171</v>
          </cell>
          <cell r="C5">
            <v>10327.945243039405</v>
          </cell>
          <cell r="D5">
            <v>11277.526488192165</v>
          </cell>
          <cell r="E5">
            <v>12314.414987588319</v>
          </cell>
          <cell r="F5">
            <v>13446.63802344561</v>
          </cell>
          <cell r="G5">
            <v>14682.960929594581</v>
          </cell>
          <cell r="J5">
            <v>463.24075266141278</v>
          </cell>
          <cell r="K5">
            <v>448.18449576945073</v>
          </cell>
          <cell r="L5">
            <v>433.61759753234435</v>
          </cell>
          <cell r="M5">
            <v>419.52415280880939</v>
          </cell>
          <cell r="N5">
            <v>405.88877340666738</v>
          </cell>
          <cell r="O5">
            <v>392.69657128096009</v>
          </cell>
          <cell r="R5">
            <v>546.80875170725938</v>
          </cell>
          <cell r="S5">
            <v>568.66022027920337</v>
          </cell>
          <cell r="T5">
            <v>591.38491313159261</v>
          </cell>
          <cell r="U5">
            <v>615.01772588901383</v>
          </cell>
          <cell r="V5">
            <v>639.59494866844568</v>
          </cell>
          <cell r="W5">
            <v>665.15432180570122</v>
          </cell>
          <cell r="Z5">
            <v>127.40065965893891</v>
          </cell>
          <cell r="AA5">
            <v>128.4351021441293</v>
          </cell>
          <cell r="AB5">
            <v>129.4779438892453</v>
          </cell>
          <cell r="AC5">
            <v>130.52925309292365</v>
          </cell>
          <cell r="AD5">
            <v>131.58909850754679</v>
          </cell>
          <cell r="AE5">
            <v>132.6575494437391</v>
          </cell>
          <cell r="AH5">
            <v>1099.3023905912887</v>
          </cell>
          <cell r="AI5">
            <v>1196.4664260484831</v>
          </cell>
          <cell r="AJ5">
            <v>1302.2184986710013</v>
          </cell>
          <cell r="AK5">
            <v>1417.3176792611816</v>
          </cell>
          <cell r="AL5">
            <v>1542.5901306089588</v>
          </cell>
          <cell r="AM5">
            <v>1678.9350375510676</v>
          </cell>
        </row>
        <row r="6">
          <cell r="B6">
            <v>2815.6094582655137</v>
          </cell>
          <cell r="C6">
            <v>3074.4847594340195</v>
          </cell>
          <cell r="D6">
            <v>3357.1618067425479</v>
          </cell>
          <cell r="E6">
            <v>3665.8290017757895</v>
          </cell>
          <cell r="F6">
            <v>4002.8759541082877</v>
          </cell>
          <cell r="G6">
            <v>4370.9119809506983</v>
          </cell>
          <cell r="J6">
            <v>231.24504609286808</v>
          </cell>
          <cell r="K6">
            <v>223.72911663509726</v>
          </cell>
          <cell r="L6">
            <v>216.45747001308288</v>
          </cell>
          <cell r="M6">
            <v>209.42216654296004</v>
          </cell>
          <cell r="N6">
            <v>202.61552459657088</v>
          </cell>
          <cell r="O6">
            <v>196.03011221413448</v>
          </cell>
          <cell r="R6">
            <v>224.04323451756494</v>
          </cell>
          <cell r="S6">
            <v>232.99640815008615</v>
          </cell>
          <cell r="T6">
            <v>242.30736682470729</v>
          </cell>
          <cell r="U6">
            <v>251.99040828004092</v>
          </cell>
          <cell r="V6">
            <v>262.06040161824296</v>
          </cell>
          <cell r="W6">
            <v>272.53281013773534</v>
          </cell>
          <cell r="Z6">
            <v>477.7414980057344</v>
          </cell>
          <cell r="AA6">
            <v>481.62056820677293</v>
          </cell>
          <cell r="AB6">
            <v>485.53113490892628</v>
          </cell>
          <cell r="AC6">
            <v>489.47345385120713</v>
          </cell>
          <cell r="AD6">
            <v>493.4477828491265</v>
          </cell>
          <cell r="AE6">
            <v>497.45438181155447</v>
          </cell>
          <cell r="AH6">
            <v>661.21652981464854</v>
          </cell>
          <cell r="AI6">
            <v>719.65947226402955</v>
          </cell>
          <cell r="AJ6">
            <v>783.26801080505561</v>
          </cell>
          <cell r="AK6">
            <v>852.49871695626609</v>
          </cell>
          <cell r="AL6">
            <v>927.84851722095755</v>
          </cell>
          <cell r="AM6">
            <v>1009.8582599430407</v>
          </cell>
        </row>
      </sheetData>
      <sheetData sheetId="4"/>
      <sheetData sheetId="5">
        <row r="7">
          <cell r="D7">
            <v>451.23785333333336</v>
          </cell>
          <cell r="I7">
            <v>0.62048033787314694</v>
          </cell>
          <cell r="N7">
            <v>2.323317177054089</v>
          </cell>
        </row>
        <row r="13">
          <cell r="D13">
            <v>689.25267901452582</v>
          </cell>
          <cell r="H13">
            <v>251.03649467757336</v>
          </cell>
          <cell r="I13">
            <v>47.402682041086791</v>
          </cell>
        </row>
        <row r="19">
          <cell r="D19">
            <v>3.2395580995385864E-2</v>
          </cell>
        </row>
        <row r="25">
          <cell r="D25">
            <v>3.2395580995385864E-2</v>
          </cell>
        </row>
        <row r="31">
          <cell r="D31">
            <v>3.2395580995385864E-2</v>
          </cell>
        </row>
        <row r="37">
          <cell r="D37">
            <v>0.10995861380374831</v>
          </cell>
        </row>
        <row r="43">
          <cell r="D43">
            <v>2.4139182988946524E-2</v>
          </cell>
        </row>
        <row r="55">
          <cell r="D55">
            <v>2.7527021945331898E-2</v>
          </cell>
        </row>
        <row r="67">
          <cell r="D67">
            <v>0.23701341020543384</v>
          </cell>
        </row>
        <row r="73">
          <cell r="D73">
            <v>4.7356803770383163E-2</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row r="10">
          <cell r="B10">
            <v>20.834399999999999</v>
          </cell>
          <cell r="C10">
            <v>38.766599999999997</v>
          </cell>
          <cell r="D10">
            <v>28.922699999999999</v>
          </cell>
          <cell r="E10">
            <v>39.477400000000003</v>
          </cell>
          <cell r="F10">
            <v>63.570099999999996</v>
          </cell>
        </row>
      </sheetData>
      <sheetData sheetId="1"/>
      <sheetData sheetId="2">
        <row r="3">
          <cell r="B3">
            <v>7.9221186375372676E-2</v>
          </cell>
          <cell r="C3">
            <v>2.6058525894077533E-2</v>
          </cell>
          <cell r="D3">
            <v>0.13907587180030045</v>
          </cell>
          <cell r="E3">
            <v>0.10881074858568485</v>
          </cell>
          <cell r="F3">
            <v>7.2345936007102374E-2</v>
          </cell>
        </row>
        <row r="6">
          <cell r="B6">
            <v>1.0305866601767176E-2</v>
          </cell>
          <cell r="C6">
            <v>2.7946867693300008E-2</v>
          </cell>
          <cell r="D6">
            <v>0.11821977786342049</v>
          </cell>
          <cell r="E6">
            <v>0.16436510457244877</v>
          </cell>
          <cell r="F6">
            <v>0.1194991228731018</v>
          </cell>
        </row>
        <row r="11">
          <cell r="B11">
            <v>1.2810999999999999</v>
          </cell>
          <cell r="C11">
            <v>0.70369999999999999</v>
          </cell>
          <cell r="D11">
            <v>1.0487</v>
          </cell>
          <cell r="E11">
            <v>1.0207999999999999</v>
          </cell>
          <cell r="F11">
            <v>1.5126999999999999</v>
          </cell>
        </row>
        <row r="12">
          <cell r="B12">
            <v>0.1020828</v>
          </cell>
          <cell r="C12">
            <v>7.4367600000000006E-2</v>
          </cell>
          <cell r="D12">
            <v>9.0927599999999997E-2</v>
          </cell>
          <cell r="E12">
            <v>8.9588399999999999E-2</v>
          </cell>
          <cell r="F12">
            <v>0.1131996</v>
          </cell>
        </row>
        <row r="15">
          <cell r="B15">
            <v>0.13998145733674819</v>
          </cell>
          <cell r="C15">
            <v>1.9488014624008471E-2</v>
          </cell>
          <cell r="D15">
            <v>1.6446082503814026E-2</v>
          </cell>
          <cell r="E15">
            <v>3.6290383884454581E-2</v>
          </cell>
          <cell r="F15">
            <v>2.8932598655197598E-2</v>
          </cell>
        </row>
        <row r="19">
          <cell r="B19">
            <v>6.4884487174674864E-3</v>
          </cell>
          <cell r="C19">
            <v>0.15822408499430801</v>
          </cell>
          <cell r="D19">
            <v>3.3477109876162685E-3</v>
          </cell>
          <cell r="E19">
            <v>1.0665154460603734E-2</v>
          </cell>
          <cell r="F19">
            <v>0.10572540797360239</v>
          </cell>
        </row>
        <row r="20">
          <cell r="B20">
            <v>0.99351155128253255</v>
          </cell>
          <cell r="C20">
            <v>0.84177591500569193</v>
          </cell>
          <cell r="D20">
            <v>0.99665228901238379</v>
          </cell>
          <cell r="E20">
            <v>0.98933484553939621</v>
          </cell>
          <cell r="F20">
            <v>0.89427459202639759</v>
          </cell>
        </row>
        <row r="21">
          <cell r="B21">
            <v>0.10232870349459038</v>
          </cell>
          <cell r="C21">
            <v>6.568432781901673E-2</v>
          </cell>
          <cell r="D21">
            <v>9.0678257405503684E-2</v>
          </cell>
          <cell r="E21">
            <v>8.9019968425683965E-2</v>
          </cell>
          <cell r="F21">
            <v>0.10429043690410866</v>
          </cell>
        </row>
      </sheetData>
      <sheetData sheetId="3">
        <row r="3">
          <cell r="B3">
            <v>70037.63886964666</v>
          </cell>
          <cell r="C3">
            <v>75586.103711829986</v>
          </cell>
          <cell r="D3">
            <v>81574.124521373116</v>
          </cell>
          <cell r="E3">
            <v>88036.523443488681</v>
          </cell>
          <cell r="F3">
            <v>95010.881275045162</v>
          </cell>
          <cell r="G3">
            <v>102537.75600822392</v>
          </cell>
          <cell r="J3">
            <v>64388.250675431045</v>
          </cell>
          <cell r="K3">
            <v>66066.113572931121</v>
          </cell>
          <cell r="L3">
            <v>67787.699104192419</v>
          </cell>
          <cell r="M3">
            <v>69554.146616598955</v>
          </cell>
          <cell r="N3">
            <v>71366.625147248065</v>
          </cell>
          <cell r="O3">
            <v>73226.334196620548</v>
          </cell>
          <cell r="R3">
            <v>398697.05849579757</v>
          </cell>
          <cell r="S3">
            <v>454146.19949031598</v>
          </cell>
          <cell r="T3">
            <v>517306.97810922482</v>
          </cell>
          <cell r="U3">
            <v>589251.89707814425</v>
          </cell>
          <cell r="V3">
            <v>671202.61837426806</v>
          </cell>
          <cell r="W3">
            <v>764550.70767931372</v>
          </cell>
          <cell r="Z3">
            <v>312378.59933455347</v>
          </cell>
          <cell r="AA3">
            <v>346368.74857029394</v>
          </cell>
          <cell r="AB3">
            <v>384057.39138891449</v>
          </cell>
          <cell r="AC3">
            <v>425846.96364580764</v>
          </cell>
          <cell r="AD3">
            <v>472183.6905430489</v>
          </cell>
          <cell r="AE3">
            <v>523562.35138098942</v>
          </cell>
          <cell r="AH3">
            <v>61551.584380871667</v>
          </cell>
          <cell r="AI3">
            <v>66004.591365625965</v>
          </cell>
          <cell r="AJ3">
            <v>70779.755308738488</v>
          </cell>
          <cell r="AK3">
            <v>75900.382956902846</v>
          </cell>
          <cell r="AL3">
            <v>81391.467205217501</v>
          </cell>
          <cell r="AM3">
            <v>87279.809083170345</v>
          </cell>
        </row>
        <row r="4">
          <cell r="B4">
            <v>10282.04800445394</v>
          </cell>
          <cell r="C4">
            <v>11096.604045735314</v>
          </cell>
          <cell r="D4">
            <v>11975.690182976226</v>
          </cell>
          <cell r="E4">
            <v>12924.418566935507</v>
          </cell>
          <cell r="F4">
            <v>13948.306339020031</v>
          </cell>
          <cell r="G4">
            <v>15053.307715124331</v>
          </cell>
          <cell r="J4">
            <v>6495.8866001299066</v>
          </cell>
          <cell r="K4">
            <v>6665.1598293043835</v>
          </cell>
          <cell r="L4">
            <v>6838.8440693044777</v>
          </cell>
          <cell r="M4">
            <v>7017.054264570007</v>
          </cell>
          <cell r="N4">
            <v>7199.9083548234512</v>
          </cell>
          <cell r="O4">
            <v>7387.527353122603</v>
          </cell>
          <cell r="R4">
            <v>120057.48898683809</v>
          </cell>
          <cell r="S4">
            <v>136754.58893383754</v>
          </cell>
          <cell r="T4">
            <v>155773.85261250273</v>
          </cell>
          <cell r="U4">
            <v>177438.23696827807</v>
          </cell>
          <cell r="V4">
            <v>202115.61446534962</v>
          </cell>
          <cell r="W4">
            <v>230225.01975157153</v>
          </cell>
          <cell r="Z4">
            <v>134419.42113324589</v>
          </cell>
          <cell r="AA4">
            <v>149045.69897120883</v>
          </cell>
          <cell r="AB4">
            <v>165263.47304974269</v>
          </cell>
          <cell r="AC4">
            <v>183245.91526615535</v>
          </cell>
          <cell r="AD4">
            <v>203185.04048153467</v>
          </cell>
          <cell r="AE4">
            <v>225293.75683774316</v>
          </cell>
          <cell r="AH4">
            <v>20991.253144012884</v>
          </cell>
          <cell r="AI4">
            <v>22509.885000678525</v>
          </cell>
          <cell r="AJ4">
            <v>24138.383700464849</v>
          </cell>
          <cell r="AK4">
            <v>25884.697662973562</v>
          </cell>
          <cell r="AL4">
            <v>27757.350343662241</v>
          </cell>
          <cell r="AM4">
            <v>29765.481835351551</v>
          </cell>
        </row>
        <row r="5">
          <cell r="B5">
            <v>7917.1769634295342</v>
          </cell>
          <cell r="C5">
            <v>8544.3851152161915</v>
          </cell>
          <cell r="D5">
            <v>9221.2814408916947</v>
          </cell>
          <cell r="E5">
            <v>9951.8022965403397</v>
          </cell>
          <cell r="F5">
            <v>10740.195881045425</v>
          </cell>
          <cell r="G5">
            <v>11591.046940645734</v>
          </cell>
          <cell r="J5">
            <v>5001.8326821000283</v>
          </cell>
          <cell r="K5">
            <v>5132.1730685643752</v>
          </cell>
          <cell r="L5">
            <v>5265.9099333644481</v>
          </cell>
          <cell r="M5">
            <v>5403.1317837189054</v>
          </cell>
          <cell r="N5">
            <v>5543.9294332140571</v>
          </cell>
          <cell r="O5">
            <v>5688.3960619044046</v>
          </cell>
          <cell r="R5">
            <v>92444.266519865327</v>
          </cell>
          <cell r="S5">
            <v>105301.03347905491</v>
          </cell>
          <cell r="T5">
            <v>119945.8665116271</v>
          </cell>
          <cell r="U5">
            <v>136627.44246557413</v>
          </cell>
          <cell r="V5">
            <v>155629.0231383192</v>
          </cell>
          <cell r="W5">
            <v>177273.26520871007</v>
          </cell>
          <cell r="Z5">
            <v>103502.95427259934</v>
          </cell>
          <cell r="AA5">
            <v>114765.1882078308</v>
          </cell>
          <cell r="AB5">
            <v>127252.87424830187</v>
          </cell>
          <cell r="AC5">
            <v>141099.35475493962</v>
          </cell>
          <cell r="AD5">
            <v>156452.48117078171</v>
          </cell>
          <cell r="AE5">
            <v>173476.19276506224</v>
          </cell>
          <cell r="AH5">
            <v>16163.264920889922</v>
          </cell>
          <cell r="AI5">
            <v>17332.611450522465</v>
          </cell>
          <cell r="AJ5">
            <v>18586.555449357933</v>
          </cell>
          <cell r="AK5">
            <v>19931.217200489642</v>
          </cell>
          <cell r="AL5">
            <v>21373.159764619926</v>
          </cell>
          <cell r="AM5">
            <v>22919.421013220694</v>
          </cell>
        </row>
        <row r="6">
          <cell r="B6">
            <v>2502.9635217753371</v>
          </cell>
          <cell r="C6">
            <v>2701.2512614246602</v>
          </cell>
          <cell r="D6">
            <v>2915.2475910526937</v>
          </cell>
          <cell r="E6">
            <v>3146.1969637938355</v>
          </cell>
          <cell r="F6">
            <v>3395.4424198361785</v>
          </cell>
          <cell r="G6">
            <v>3664.4333966048671</v>
          </cell>
          <cell r="J6">
            <v>5835.2879628285609</v>
          </cell>
          <cell r="K6">
            <v>5987.346965307328</v>
          </cell>
          <cell r="L6">
            <v>6143.3684012396152</v>
          </cell>
          <cell r="M6">
            <v>6303.4555258001756</v>
          </cell>
          <cell r="N6">
            <v>6467.714284841406</v>
          </cell>
          <cell r="O6">
            <v>6636.2533850084401</v>
          </cell>
          <cell r="R6">
            <v>20022.193508969911</v>
          </cell>
          <cell r="S6">
            <v>22806.797526584218</v>
          </cell>
          <cell r="T6">
            <v>25978.672775566851</v>
          </cell>
          <cell r="U6">
            <v>29591.679340043545</v>
          </cell>
          <cell r="V6">
            <v>33707.16794229504</v>
          </cell>
          <cell r="W6">
            <v>38395.02170978886</v>
          </cell>
          <cell r="Z6">
            <v>27262.203228810366</v>
          </cell>
          <cell r="AA6">
            <v>30228.623970232296</v>
          </cell>
          <cell r="AB6">
            <v>33517.823173148448</v>
          </cell>
          <cell r="AC6">
            <v>37164.922603581348</v>
          </cell>
          <cell r="AD6">
            <v>41208.86565320607</v>
          </cell>
          <cell r="AE6">
            <v>45692.833173298342</v>
          </cell>
          <cell r="AH6">
            <v>3416.7168769126647</v>
          </cell>
          <cell r="AI6">
            <v>3663.9024574441751</v>
          </cell>
          <cell r="AJ6">
            <v>3928.9709101666967</v>
          </cell>
          <cell r="AK6">
            <v>4213.2159882073829</v>
          </cell>
          <cell r="AL6">
            <v>4518.0250424743354</v>
          </cell>
          <cell r="AM6">
            <v>4844.8857930756694</v>
          </cell>
        </row>
      </sheetData>
      <sheetData sheetId="4"/>
      <sheetData sheetId="5">
        <row r="7">
          <cell r="D7">
            <v>15980.717719999997</v>
          </cell>
          <cell r="I7">
            <v>0.4961022135998302</v>
          </cell>
          <cell r="N7">
            <v>2.6943665706282287</v>
          </cell>
        </row>
        <row r="13">
          <cell r="D13">
            <v>29205.741494412407</v>
          </cell>
          <cell r="H13">
            <v>57.142902643449958</v>
          </cell>
          <cell r="I13">
            <v>65.324213541952517</v>
          </cell>
        </row>
        <row r="19">
          <cell r="D19">
            <v>7.0341074345790622E-2</v>
          </cell>
        </row>
        <row r="25">
          <cell r="D25">
            <v>7.0341074345790622E-2</v>
          </cell>
        </row>
        <row r="31">
          <cell r="D31">
            <v>7.0341074345790622E-2</v>
          </cell>
        </row>
        <row r="37">
          <cell r="D37">
            <v>0.32620049910275817</v>
          </cell>
        </row>
        <row r="43">
          <cell r="D43">
            <v>0.14707428596661398</v>
          </cell>
        </row>
        <row r="55">
          <cell r="D55">
            <v>8.8067347920807657E-2</v>
          </cell>
        </row>
        <row r="67">
          <cell r="D67">
            <v>0.52259370833562013</v>
          </cell>
        </row>
        <row r="73">
          <cell r="D73">
            <v>5.1141923769600542E-2</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row r="10">
          <cell r="B10">
            <v>21.369199999999999</v>
          </cell>
          <cell r="C10">
            <v>28.6938</v>
          </cell>
          <cell r="D10">
            <v>8.9566999999999997</v>
          </cell>
          <cell r="E10">
            <v>0</v>
          </cell>
          <cell r="F10"/>
          <cell r="G10">
            <v>12.3279</v>
          </cell>
        </row>
      </sheetData>
      <sheetData sheetId="1"/>
      <sheetData sheetId="2">
        <row r="3">
          <cell r="B3">
            <v>8.821172047127801E-2</v>
          </cell>
          <cell r="C3">
            <v>0.12385216334446469</v>
          </cell>
          <cell r="D3">
            <v>5.0768762284221447E-2</v>
          </cell>
          <cell r="E3">
            <v>7.5561002171716352E-2</v>
          </cell>
          <cell r="F3">
            <v>2.1960457756117657E-2</v>
          </cell>
          <cell r="G3">
            <v>0.1019649146473407</v>
          </cell>
        </row>
        <row r="6">
          <cell r="B6">
            <v>6.4187823332228749E-2</v>
          </cell>
          <cell r="C6">
            <v>0.15885067463216596</v>
          </cell>
          <cell r="D6">
            <v>4.1430726901570958E-2</v>
          </cell>
          <cell r="E6">
            <v>6.6627923870405351E-2</v>
          </cell>
          <cell r="F6">
            <v>4.1479340162522374E-2</v>
          </cell>
          <cell r="G6">
            <v>0.16867287684490687</v>
          </cell>
        </row>
        <row r="11">
          <cell r="B11">
            <v>1.8002</v>
          </cell>
          <cell r="C11">
            <v>1.6324000000000001</v>
          </cell>
          <cell r="D11">
            <v>2.2713999999999999</v>
          </cell>
          <cell r="E11">
            <v>0.94369999999999998</v>
          </cell>
          <cell r="F11">
            <v>0.87480000000000002</v>
          </cell>
          <cell r="G11">
            <v>0.34449999999999997</v>
          </cell>
        </row>
        <row r="12">
          <cell r="B12">
            <v>0.12699959999999999</v>
          </cell>
          <cell r="C12">
            <v>0.1189452</v>
          </cell>
          <cell r="D12">
            <v>0.14961720000000001</v>
          </cell>
          <cell r="E12">
            <v>8.5887600000000008E-2</v>
          </cell>
          <cell r="F12">
            <v>8.2580399999999998E-2</v>
          </cell>
          <cell r="G12">
            <v>5.7125999999999996E-2</v>
          </cell>
        </row>
        <row r="15">
          <cell r="B15">
            <v>1.4041026046624619E-2</v>
          </cell>
          <cell r="C15">
            <v>4.1481589167410848E-2</v>
          </cell>
          <cell r="D15">
            <v>5.2795750845002418E-2</v>
          </cell>
          <cell r="E15">
            <v>4.6115125535823635E-2</v>
          </cell>
          <cell r="F15">
            <v>3.7403734856084572E-2</v>
          </cell>
          <cell r="G15">
            <v>3.1753265518437171E-2</v>
          </cell>
        </row>
        <row r="19">
          <cell r="B19">
            <v>0.14474806714946295</v>
          </cell>
          <cell r="C19">
            <v>0.13141906984576743</v>
          </cell>
          <cell r="D19">
            <v>0.19999173308828516</v>
          </cell>
          <cell r="E19">
            <v>0.97262099464755047</v>
          </cell>
          <cell r="F19">
            <v>0.47316570821050546</v>
          </cell>
          <cell r="G19">
            <v>8.9177971420073901E-2</v>
          </cell>
        </row>
        <row r="20">
          <cell r="B20">
            <v>0.85525193285053702</v>
          </cell>
          <cell r="C20">
            <v>0.86858093015423243</v>
          </cell>
          <cell r="D20">
            <v>0.80000826691171478</v>
          </cell>
          <cell r="E20">
            <v>2.737900535244955E-2</v>
          </cell>
          <cell r="F20">
            <v>0.52683429178949448</v>
          </cell>
          <cell r="G20">
            <v>0.91082202857992611</v>
          </cell>
        </row>
        <row r="21">
          <cell r="B21">
            <v>0.11064906475228924</v>
          </cell>
          <cell r="C21">
            <v>0.1087650043174866</v>
          </cell>
          <cell r="D21">
            <v>0.13025371058337276</v>
          </cell>
          <cell r="E21">
            <v>4.7204056327058486E-2</v>
          </cell>
          <cell r="F21">
            <v>6.1204351242590396E-2</v>
          </cell>
          <cell r="G21">
            <v>5.4863311009554064E-2</v>
          </cell>
        </row>
      </sheetData>
      <sheetData sheetId="3">
        <row r="3">
          <cell r="B3">
            <v>33445.099016964261</v>
          </cell>
          <cell r="C3">
            <v>36395.34874258293</v>
          </cell>
          <cell r="D3">
            <v>39605.845072318334</v>
          </cell>
          <cell r="E3">
            <v>43099.544806866419</v>
          </cell>
          <cell r="F3">
            <v>46901.429805809043</v>
          </cell>
          <cell r="G3">
            <v>51038.68562154234</v>
          </cell>
          <cell r="J3">
            <v>28607.656817933348</v>
          </cell>
          <cell r="K3">
            <v>32150.777003050418</v>
          </cell>
          <cell r="L3">
            <v>36132.720288083678</v>
          </cell>
          <cell r="M3">
            <v>40607.835863283268</v>
          </cell>
          <cell r="N3">
            <v>45637.204183687842</v>
          </cell>
          <cell r="O3">
            <v>51289.470650830634</v>
          </cell>
          <cell r="R3">
            <v>12498.894427370815</v>
          </cell>
          <cell r="S3">
            <v>13133.447827369584</v>
          </cell>
          <cell r="T3">
            <v>13800.216718089536</v>
          </cell>
          <cell r="U3">
            <v>14500.836640120962</v>
          </cell>
          <cell r="V3">
            <v>15237.026168425591</v>
          </cell>
          <cell r="W3">
            <v>16010.591127888851</v>
          </cell>
          <cell r="Z3">
            <v>6384.5301088913084</v>
          </cell>
          <cell r="AA3">
            <v>6866.9516023146325</v>
          </cell>
          <cell r="AB3">
            <v>7385.8253472501992</v>
          </cell>
          <cell r="AC3">
            <v>7943.9057123536895</v>
          </cell>
          <cell r="AD3">
            <v>8544.1551891367562</v>
          </cell>
          <cell r="AE3">
            <v>9189.7601179386002</v>
          </cell>
          <cell r="AH3">
            <v>43907.509107033839</v>
          </cell>
          <cell r="AI3">
            <v>44871.738105955206</v>
          </cell>
          <cell r="AJ3">
            <v>45857.142015074613</v>
          </cell>
          <cell r="AK3">
            <v>46864.185845112945</v>
          </cell>
          <cell r="AL3">
            <v>47893.344818639394</v>
          </cell>
          <cell r="AM3">
            <v>48945.104594328302</v>
          </cell>
          <cell r="AP3">
            <v>20586.90853544162</v>
          </cell>
          <cell r="AQ3">
            <v>22686.050907110533</v>
          </cell>
          <cell r="AR3">
            <v>24999.232151539283</v>
          </cell>
          <cell r="AS3">
            <v>27548.276724120042</v>
          </cell>
          <cell r="AT3">
            <v>30357.234408976263</v>
          </cell>
          <cell r="AU3">
            <v>33452.607224416839</v>
          </cell>
        </row>
        <row r="4">
          <cell r="B4">
            <v>6108.7225375398348</v>
          </cell>
          <cell r="C4">
            <v>6647.5834624578956</v>
          </cell>
          <cell r="D4">
            <v>7233.978236657721</v>
          </cell>
          <cell r="E4">
            <v>7872.0999027650805</v>
          </cell>
          <cell r="F4">
            <v>8566.5113789097686</v>
          </cell>
          <cell r="G4">
            <v>9322.1780860801791</v>
          </cell>
          <cell r="J4">
            <v>10789.546835894462</v>
          </cell>
          <cell r="K4">
            <v>12125.855553026415</v>
          </cell>
          <cell r="L4">
            <v>13627.668995671227</v>
          </cell>
          <cell r="M4">
            <v>15315.485282127396</v>
          </cell>
          <cell r="N4">
            <v>17212.341266989184</v>
          </cell>
          <cell r="O4">
            <v>19344.126969129</v>
          </cell>
          <cell r="R4">
            <v>1263.9780163793653</v>
          </cell>
          <cell r="S4">
            <v>1328.1486158254111</v>
          </cell>
          <cell r="T4">
            <v>1395.5770771803691</v>
          </cell>
          <cell r="U4">
            <v>1466.4287980610479</v>
          </cell>
          <cell r="V4">
            <v>1540.8775731165458</v>
          </cell>
          <cell r="W4">
            <v>1619.1060203351876</v>
          </cell>
          <cell r="Z4">
            <v>2147.7177123531796</v>
          </cell>
          <cell r="AA4">
            <v>2310.0014150805318</v>
          </cell>
          <cell r="AB4">
            <v>2484.5474370221</v>
          </cell>
          <cell r="AC4">
            <v>2672.2823313066592</v>
          </cell>
          <cell r="AD4">
            <v>2874.2026623459606</v>
          </cell>
          <cell r="AE4">
            <v>3091.3802959574368</v>
          </cell>
          <cell r="AH4">
            <v>3492.4626583461609</v>
          </cell>
          <cell r="AI4">
            <v>3569.1587370195903</v>
          </cell>
          <cell r="AJ4">
            <v>3647.5390966887871</v>
          </cell>
          <cell r="AK4">
            <v>3727.6407249354088</v>
          </cell>
          <cell r="AL4">
            <v>3809.5014216053364</v>
          </cell>
          <cell r="AM4">
            <v>3893.1598166463709</v>
          </cell>
          <cell r="AP4">
            <v>5785.8652179286009</v>
          </cell>
          <cell r="AQ4">
            <v>6375.8204710357077</v>
          </cell>
          <cell r="AR4">
            <v>7025.9304611716307</v>
          </cell>
          <cell r="AS4">
            <v>7742.3288609631472</v>
          </cell>
          <cell r="AT4">
            <v>8531.7747624428957</v>
          </cell>
          <cell r="AU4">
            <v>9401.7164478857212</v>
          </cell>
        </row>
        <row r="5">
          <cell r="B5">
            <v>4703.7163539056728</v>
          </cell>
          <cell r="C5">
            <v>5118.6392660925794</v>
          </cell>
          <cell r="D5">
            <v>5570.1632422264456</v>
          </cell>
          <cell r="E5">
            <v>6061.5169251291118</v>
          </cell>
          <cell r="F5">
            <v>6596.2137617605222</v>
          </cell>
          <cell r="G5">
            <v>7178.0771262817379</v>
          </cell>
          <cell r="J5">
            <v>8307.9510636387349</v>
          </cell>
          <cell r="K5">
            <v>9336.9087758303394</v>
          </cell>
          <cell r="L5">
            <v>10493.305126666844</v>
          </cell>
          <cell r="M5">
            <v>11792.923667238096</v>
          </cell>
          <cell r="N5">
            <v>13253.502775581672</v>
          </cell>
          <cell r="O5">
            <v>14894.977766229331</v>
          </cell>
          <cell r="R5">
            <v>973.26307261211127</v>
          </cell>
          <cell r="S5">
            <v>1022.6744341855665</v>
          </cell>
          <cell r="T5">
            <v>1074.5943494288842</v>
          </cell>
          <cell r="U5">
            <v>1129.150174507007</v>
          </cell>
          <cell r="V5">
            <v>1186.4757312997403</v>
          </cell>
          <cell r="W5">
            <v>1246.7116356580946</v>
          </cell>
          <cell r="Z5">
            <v>1653.7426385119484</v>
          </cell>
          <cell r="AA5">
            <v>1778.7010896120096</v>
          </cell>
          <cell r="AB5">
            <v>1913.1015265070171</v>
          </cell>
          <cell r="AC5">
            <v>2057.6573951061278</v>
          </cell>
          <cell r="AD5">
            <v>2213.1360500063897</v>
          </cell>
          <cell r="AE5">
            <v>2380.3628278872266</v>
          </cell>
          <cell r="AH5">
            <v>2689.1962469265441</v>
          </cell>
          <cell r="AI5">
            <v>2748.2522275050846</v>
          </cell>
          <cell r="AJ5">
            <v>2808.6051044503661</v>
          </cell>
          <cell r="AK5">
            <v>2870.283358200265</v>
          </cell>
          <cell r="AL5">
            <v>2933.316094636109</v>
          </cell>
          <cell r="AM5">
            <v>2997.7330588177056</v>
          </cell>
          <cell r="AP5">
            <v>4455.1162178050226</v>
          </cell>
          <cell r="AQ5">
            <v>4909.3817626974951</v>
          </cell>
          <cell r="AR5">
            <v>5409.966455102156</v>
          </cell>
          <cell r="AS5">
            <v>5961.5932229416239</v>
          </cell>
          <cell r="AT5">
            <v>6569.46656708103</v>
          </cell>
          <cell r="AU5">
            <v>7239.3216648720054</v>
          </cell>
        </row>
        <row r="6">
          <cell r="B6">
            <v>1070.6465426453346</v>
          </cell>
          <cell r="C6">
            <v>1165.0901161887052</v>
          </cell>
          <cell r="D6">
            <v>1267.8647198417923</v>
          </cell>
          <cell r="E6">
            <v>1379.7052481038716</v>
          </cell>
          <cell r="F6">
            <v>1501.4114217823656</v>
          </cell>
          <cell r="G6">
            <v>1633.8535064330156</v>
          </cell>
          <cell r="J6">
            <v>2606.9733595101889</v>
          </cell>
          <cell r="K6">
            <v>2929.8526498669125</v>
          </cell>
          <cell r="L6">
            <v>3292.7212388334419</v>
          </cell>
          <cell r="M6">
            <v>3700.5318875532294</v>
          </cell>
          <cell r="N6">
            <v>4158.8507673518725</v>
          </cell>
          <cell r="O6">
            <v>4673.9334319151885</v>
          </cell>
          <cell r="R6">
            <v>711.75030306213853</v>
          </cell>
          <cell r="S6">
            <v>747.88498500402284</v>
          </cell>
          <cell r="T6">
            <v>785.85418002363065</v>
          </cell>
          <cell r="U6">
            <v>825.75102407931206</v>
          </cell>
          <cell r="V6">
            <v>867.67338152674711</v>
          </cell>
          <cell r="W6">
            <v>911.72408517382507</v>
          </cell>
          <cell r="Z6">
            <v>2147.7177123531796</v>
          </cell>
          <cell r="AA6">
            <v>2310.0014150805318</v>
          </cell>
          <cell r="AB6">
            <v>2484.5474370221</v>
          </cell>
          <cell r="AC6">
            <v>2672.2823313066592</v>
          </cell>
          <cell r="AD6">
            <v>2874.2026623459606</v>
          </cell>
          <cell r="AE6">
            <v>3091.3802959574368</v>
          </cell>
          <cell r="AH6">
            <v>324.51242665599091</v>
          </cell>
          <cell r="AI6">
            <v>331.63886809290506</v>
          </cell>
          <cell r="AJ6">
            <v>338.92180944594594</v>
          </cell>
          <cell r="AK6">
            <v>346.36468752491061</v>
          </cell>
          <cell r="AL6">
            <v>353.9710146135123</v>
          </cell>
          <cell r="AM6">
            <v>361.74438012682242</v>
          </cell>
          <cell r="AP6">
            <v>3577.6789391679031</v>
          </cell>
          <cell r="AQ6">
            <v>3942.4766668357465</v>
          </cell>
          <cell r="AR6">
            <v>4344.4709636687849</v>
          </cell>
          <cell r="AS6">
            <v>4787.4545746671229</v>
          </cell>
          <cell r="AT6">
            <v>5275.6069717510763</v>
          </cell>
          <cell r="AU6">
            <v>5813.5337863385903</v>
          </cell>
        </row>
      </sheetData>
      <sheetData sheetId="4"/>
      <sheetData sheetId="5">
        <row r="8">
          <cell r="D8">
            <v>1777.6701666666668</v>
          </cell>
          <cell r="I8">
            <v>9.5009697766282805E-2</v>
          </cell>
          <cell r="N8">
            <v>2.4293572904622245</v>
          </cell>
        </row>
        <row r="15">
          <cell r="D15">
            <v>2733.401052980194</v>
          </cell>
          <cell r="H15">
            <v>-21.22160339002275</v>
          </cell>
          <cell r="I15">
            <v>231.57661548600566</v>
          </cell>
        </row>
        <row r="22">
          <cell r="D22">
            <v>6.3739524514394907E-2</v>
          </cell>
        </row>
        <row r="29">
          <cell r="D29">
            <v>6.3739524514394907E-2</v>
          </cell>
        </row>
        <row r="36">
          <cell r="D36">
            <v>6.3739524514394907E-2</v>
          </cell>
        </row>
        <row r="43">
          <cell r="D43">
            <v>0.30631185195703642</v>
          </cell>
        </row>
        <row r="50">
          <cell r="D50">
            <v>7.3424220412320315E-2</v>
          </cell>
        </row>
        <row r="64">
          <cell r="D64">
            <v>9.0208227623966727E-2</v>
          </cell>
        </row>
        <row r="78">
          <cell r="D78">
            <v>0.46315323097201094</v>
          </cell>
        </row>
        <row r="85">
          <cell r="D85">
            <v>-4.5829060977813141E-2</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row r="10">
          <cell r="B10">
            <v>16.539200000000001</v>
          </cell>
          <cell r="C10">
            <v>20.140999999999998</v>
          </cell>
          <cell r="D10">
            <v>11.8278</v>
          </cell>
          <cell r="E10">
            <v>28.726900000000001</v>
          </cell>
          <cell r="F10">
            <v>32.461599999999997</v>
          </cell>
        </row>
      </sheetData>
      <sheetData sheetId="1"/>
      <sheetData sheetId="2">
        <row r="3">
          <cell r="B3">
            <v>0.14007723800913618</v>
          </cell>
          <cell r="C3">
            <v>0.16452148572836967</v>
          </cell>
          <cell r="D3">
            <v>4.1795020680702732E-2</v>
          </cell>
          <cell r="E3">
            <v>3.8048255990775548E-2</v>
          </cell>
          <cell r="F3">
            <v>6.0908973631583763E-2</v>
          </cell>
        </row>
        <row r="6">
          <cell r="B6">
            <v>5.9676607265193603E-2</v>
          </cell>
          <cell r="C6">
            <v>6.749600396847269E-2</v>
          </cell>
          <cell r="D6">
            <v>0.16421398630921866</v>
          </cell>
          <cell r="E6">
            <v>1.6792984909927297E-2</v>
          </cell>
          <cell r="F6">
            <v>1.6879683897371028E-2</v>
          </cell>
        </row>
        <row r="11">
          <cell r="B11">
            <v>0.46429999999999999</v>
          </cell>
          <cell r="C11">
            <v>0.80179999999999996</v>
          </cell>
          <cell r="D11">
            <v>0.57630000000000003</v>
          </cell>
          <cell r="E11">
            <v>0.87790000000000001</v>
          </cell>
          <cell r="F11">
            <v>1.0603</v>
          </cell>
        </row>
        <row r="12">
          <cell r="B12">
            <v>7.2857999999999992E-2</v>
          </cell>
          <cell r="C12">
            <v>9.3107999999999996E-2</v>
          </cell>
          <cell r="D12">
            <v>7.9577999999999996E-2</v>
          </cell>
          <cell r="E12">
            <v>9.7673999999999997E-2</v>
          </cell>
          <cell r="F12">
            <v>0.10861799999999999</v>
          </cell>
        </row>
        <row r="15">
          <cell r="B15">
            <v>1.5640563756150447E-2</v>
          </cell>
          <cell r="C15">
            <v>1.6347091412742383E-2</v>
          </cell>
          <cell r="D15">
            <v>3.3672103941937037E-2</v>
          </cell>
          <cell r="E15">
            <v>2.971043460064797E-2</v>
          </cell>
          <cell r="F15">
            <v>3.1826409973318613E-2</v>
          </cell>
        </row>
        <row r="19">
          <cell r="B19">
            <v>7.7436616616584034E-2</v>
          </cell>
          <cell r="C19">
            <v>7.1345215827698247E-2</v>
          </cell>
          <cell r="D19">
            <v>0.18094077591846555</v>
          </cell>
          <cell r="E19">
            <v>0.31791561605124691</v>
          </cell>
          <cell r="F19">
            <v>0.26788786507947393</v>
          </cell>
        </row>
        <row r="20">
          <cell r="B20">
            <v>0.92256338338341604</v>
          </cell>
          <cell r="C20">
            <v>0.92865478417230174</v>
          </cell>
          <cell r="D20">
            <v>0.81905922408153442</v>
          </cell>
          <cell r="E20">
            <v>0.68208438394875315</v>
          </cell>
          <cell r="F20">
            <v>0.73211213492052596</v>
          </cell>
        </row>
        <row r="21">
          <cell r="B21">
            <v>6.8427275325801173E-2</v>
          </cell>
          <cell r="C21">
            <v>8.7631476409711889E-2</v>
          </cell>
          <cell r="D21">
            <v>7.127175154802165E-2</v>
          </cell>
          <cell r="E21">
            <v>7.6067321237025795E-2</v>
          </cell>
          <cell r="F21">
            <v>8.8046464891694071E-2</v>
          </cell>
        </row>
      </sheetData>
      <sheetData sheetId="3">
        <row r="3">
          <cell r="B3">
            <v>398553.90124942386</v>
          </cell>
          <cell r="C3">
            <v>446380.36939935473</v>
          </cell>
          <cell r="D3">
            <v>491018.40633929026</v>
          </cell>
          <cell r="E3">
            <v>530299.87884643348</v>
          </cell>
          <cell r="F3">
            <v>556814.87278875522</v>
          </cell>
          <cell r="G3">
            <v>573519.31897241785</v>
          </cell>
          <cell r="J3">
            <v>236155.64113382754</v>
          </cell>
          <cell r="K3">
            <v>264494.31806988688</v>
          </cell>
          <cell r="L3">
            <v>290943.7498768756</v>
          </cell>
          <cell r="M3">
            <v>314219.24986702565</v>
          </cell>
          <cell r="N3">
            <v>329930.21236037696</v>
          </cell>
          <cell r="O3">
            <v>339828.1187311883</v>
          </cell>
          <cell r="R3">
            <v>59333.351812828063</v>
          </cell>
          <cell r="S3">
            <v>61813.190478900622</v>
          </cell>
          <cell r="T3">
            <v>64396.674053306488</v>
          </cell>
          <cell r="U3">
            <v>67088.134377132912</v>
          </cell>
          <cell r="V3">
            <v>69892.084340854941</v>
          </cell>
          <cell r="W3">
            <v>72813.225451298393</v>
          </cell>
          <cell r="Z3">
            <v>145754.43172017677</v>
          </cell>
          <cell r="AA3">
            <v>151300.13365005606</v>
          </cell>
          <cell r="AB3">
            <v>157056.83986661193</v>
          </cell>
          <cell r="AC3">
            <v>163032.57871495903</v>
          </cell>
          <cell r="AD3">
            <v>169235.68400474207</v>
          </cell>
          <cell r="AE3">
            <v>175674.80663252849</v>
          </cell>
          <cell r="AH3">
            <v>154358.01202750092</v>
          </cell>
          <cell r="AI3">
            <v>163759.80011190768</v>
          </cell>
          <cell r="AJ3">
            <v>173734.24145883729</v>
          </cell>
          <cell r="AK3">
            <v>184316.21579075683</v>
          </cell>
          <cell r="AL3">
            <v>195542.72731822936</v>
          </cell>
          <cell r="AM3">
            <v>207453.03414030335</v>
          </cell>
        </row>
        <row r="4">
          <cell r="B4">
            <v>81292.151954504865</v>
          </cell>
          <cell r="C4">
            <v>91047.210189045451</v>
          </cell>
          <cell r="D4">
            <v>100151.93120795001</v>
          </cell>
          <cell r="E4">
            <v>108164.08570458602</v>
          </cell>
          <cell r="F4">
            <v>113572.28998981533</v>
          </cell>
          <cell r="G4">
            <v>116979.45868950977</v>
          </cell>
          <cell r="J4">
            <v>55266.902167700289</v>
          </cell>
          <cell r="K4">
            <v>61898.930427824329</v>
          </cell>
          <cell r="L4">
            <v>68088.823470606774</v>
          </cell>
          <cell r="M4">
            <v>73535.929348255318</v>
          </cell>
          <cell r="N4">
            <v>77212.725815668091</v>
          </cell>
          <cell r="O4">
            <v>79529.107590138141</v>
          </cell>
          <cell r="R4">
            <v>25739.849446570275</v>
          </cell>
          <cell r="S4">
            <v>26815.646986507854</v>
          </cell>
          <cell r="T4">
            <v>27936.40750687537</v>
          </cell>
          <cell r="U4">
            <v>29104.01023636977</v>
          </cell>
          <cell r="V4">
            <v>30320.412946090226</v>
          </cell>
          <cell r="W4">
            <v>31587.655232219513</v>
          </cell>
          <cell r="Z4">
            <v>14856.776343498574</v>
          </cell>
          <cell r="AA4">
            <v>15422.050773013703</v>
          </cell>
          <cell r="AB4">
            <v>16008.832908728065</v>
          </cell>
          <cell r="AC4">
            <v>16617.941081352903</v>
          </cell>
          <cell r="AD4">
            <v>17250.224757655847</v>
          </cell>
          <cell r="AE4">
            <v>17906.565725133551</v>
          </cell>
          <cell r="AH4">
            <v>13649.803842217158</v>
          </cell>
          <cell r="AI4">
            <v>14481.199384519055</v>
          </cell>
          <cell r="AJ4">
            <v>15363.234375984433</v>
          </cell>
          <cell r="AK4">
            <v>16298.993213487111</v>
          </cell>
          <cell r="AL4">
            <v>17291.748161348762</v>
          </cell>
          <cell r="AM4">
            <v>18344.970794152337</v>
          </cell>
        </row>
        <row r="5">
          <cell r="B5">
            <v>64220.800044058844</v>
          </cell>
          <cell r="C5">
            <v>71927.29604934591</v>
          </cell>
          <cell r="D5">
            <v>79120.025654280515</v>
          </cell>
          <cell r="E5">
            <v>85449.627706622952</v>
          </cell>
          <cell r="F5">
            <v>89722.109091954117</v>
          </cell>
          <cell r="G5">
            <v>92413.772364712728</v>
          </cell>
          <cell r="J5">
            <v>43660.852712483233</v>
          </cell>
          <cell r="K5">
            <v>48900.155037981225</v>
          </cell>
          <cell r="L5">
            <v>53790.170541779356</v>
          </cell>
          <cell r="M5">
            <v>58093.384185121708</v>
          </cell>
          <cell r="N5">
            <v>60998.053394377792</v>
          </cell>
          <cell r="O5">
            <v>62827.994996209134</v>
          </cell>
          <cell r="R5">
            <v>20334.481062790517</v>
          </cell>
          <cell r="S5">
            <v>21184.361119341207</v>
          </cell>
          <cell r="T5">
            <v>22069.761930431545</v>
          </cell>
          <cell r="U5">
            <v>22992.168086732119</v>
          </cell>
          <cell r="V5">
            <v>23953.126227411278</v>
          </cell>
          <cell r="W5">
            <v>24954.247633453415</v>
          </cell>
          <cell r="Z5">
            <v>11736.853311363873</v>
          </cell>
          <cell r="AA5">
            <v>12183.420110680827</v>
          </cell>
          <cell r="AB5">
            <v>12646.977997895172</v>
          </cell>
          <cell r="AC5">
            <v>13128.173454268794</v>
          </cell>
          <cell r="AD5">
            <v>13627.677558548121</v>
          </cell>
          <cell r="AE5">
            <v>14146.186922855506</v>
          </cell>
          <cell r="AH5">
            <v>10783.345035351555</v>
          </cell>
          <cell r="AI5">
            <v>11440.147513770055</v>
          </cell>
          <cell r="AJ5">
            <v>12136.955157027704</v>
          </cell>
          <cell r="AK5">
            <v>12876.204638654817</v>
          </cell>
          <cell r="AL5">
            <v>13660.481047465522</v>
          </cell>
          <cell r="AM5">
            <v>14492.526927380348</v>
          </cell>
        </row>
        <row r="6">
          <cell r="B6">
            <v>34095.955019651643</v>
          </cell>
          <cell r="C6">
            <v>38187.469622009841</v>
          </cell>
          <cell r="D6">
            <v>42006.21658421083</v>
          </cell>
          <cell r="E6">
            <v>45366.713910947692</v>
          </cell>
          <cell r="F6">
            <v>47635.049606495086</v>
          </cell>
          <cell r="G6">
            <v>49064.101094689933</v>
          </cell>
          <cell r="J6">
            <v>23002.494020377006</v>
          </cell>
          <cell r="K6">
            <v>25762.793302822254</v>
          </cell>
          <cell r="L6">
            <v>28339.072633104483</v>
          </cell>
          <cell r="M6">
            <v>30606.198443752837</v>
          </cell>
          <cell r="N6">
            <v>32136.508365940485</v>
          </cell>
          <cell r="O6">
            <v>33100.603616918699</v>
          </cell>
          <cell r="R6">
            <v>8521.7551143375313</v>
          </cell>
          <cell r="S6">
            <v>8877.9220455771519</v>
          </cell>
          <cell r="T6">
            <v>9248.9749810737158</v>
          </cell>
          <cell r="U6">
            <v>9635.5360816829943</v>
          </cell>
          <cell r="V6">
            <v>10038.253511486591</v>
          </cell>
          <cell r="W6">
            <v>10457.802524597311</v>
          </cell>
          <cell r="Z6">
            <v>3661.9909354989741</v>
          </cell>
          <cell r="AA6">
            <v>3801.3233040487385</v>
          </cell>
          <cell r="AB6">
            <v>3945.9570262248853</v>
          </cell>
          <cell r="AC6">
            <v>4096.0938092872893</v>
          </cell>
          <cell r="AD6">
            <v>4251.9430351052833</v>
          </cell>
          <cell r="AE6">
            <v>4413.7220521631643</v>
          </cell>
          <cell r="AH6">
            <v>2125.2145418793857</v>
          </cell>
          <cell r="AI6">
            <v>2254.6591783721756</v>
          </cell>
          <cell r="AJ6">
            <v>2391.9881548158551</v>
          </cell>
          <cell r="AK6">
            <v>2537.6816982645946</v>
          </cell>
          <cell r="AL6">
            <v>2692.249285909546</v>
          </cell>
          <cell r="AM6">
            <v>2856.2314266746603</v>
          </cell>
        </row>
      </sheetData>
      <sheetData sheetId="4"/>
      <sheetData sheetId="5">
        <row r="7">
          <cell r="D7">
            <v>8834.92</v>
          </cell>
          <cell r="I7">
            <v>1.8279365413665041</v>
          </cell>
          <cell r="N7">
            <v>1.2060376709368792</v>
          </cell>
        </row>
        <row r="13">
          <cell r="D13">
            <v>13265.387341893138</v>
          </cell>
          <cell r="H13">
            <v>172.37070877847438</v>
          </cell>
          <cell r="I13">
            <v>41.361066452791349</v>
          </cell>
        </row>
        <row r="19">
          <cell r="D19">
            <v>4.837892064557394E-2</v>
          </cell>
        </row>
        <row r="25">
          <cell r="D25">
            <v>4.837892064557394E-2</v>
          </cell>
        </row>
        <row r="31">
          <cell r="D31">
            <v>4.837892064557394E-2</v>
          </cell>
        </row>
        <row r="37">
          <cell r="D37">
            <v>0.27019357533553434</v>
          </cell>
        </row>
        <row r="43">
          <cell r="D43">
            <v>8.1548228871893141E-2</v>
          </cell>
        </row>
        <row r="55">
          <cell r="D55">
            <v>6.501185327003664E-2</v>
          </cell>
        </row>
        <row r="67">
          <cell r="D67">
            <v>0.33088853162233078</v>
          </cell>
        </row>
        <row r="73">
          <cell r="D73">
            <v>8.7477259771006427E-2</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row r="10">
          <cell r="B10">
            <v>17.784600000000001</v>
          </cell>
          <cell r="C10">
            <v>13.4154</v>
          </cell>
          <cell r="D10">
            <v>23.892600000000002</v>
          </cell>
          <cell r="E10">
            <v>53.587499999999999</v>
          </cell>
          <cell r="F10">
            <v>18.040900000000001</v>
          </cell>
        </row>
      </sheetData>
      <sheetData sheetId="1"/>
      <sheetData sheetId="2">
        <row r="3">
          <cell r="B3">
            <v>8.709851457268436E-2</v>
          </cell>
          <cell r="C3">
            <v>5.9805847057205153E-2</v>
          </cell>
          <cell r="D3">
            <v>5.6240725441895068E-2</v>
          </cell>
          <cell r="E3">
            <v>0.12914750527061325</v>
          </cell>
          <cell r="F3">
            <v>1.4667964366531505E-2</v>
          </cell>
        </row>
        <row r="6">
          <cell r="B6">
            <v>4.3232594763286475E-2</v>
          </cell>
          <cell r="C6">
            <v>7.3145320126737648E-2</v>
          </cell>
          <cell r="D6">
            <v>3.3242428591933403E-2</v>
          </cell>
          <cell r="E6">
            <v>8.1320874105665936E-2</v>
          </cell>
          <cell r="F6">
            <v>4.485921281345305E-2</v>
          </cell>
        </row>
        <row r="11">
          <cell r="B11">
            <v>0.50390000000000001</v>
          </cell>
          <cell r="C11">
            <v>0.35370000000000001</v>
          </cell>
          <cell r="D11">
            <v>0.43840000000000001</v>
          </cell>
          <cell r="E11">
            <v>0.42180000000000001</v>
          </cell>
          <cell r="F11">
            <v>0.371</v>
          </cell>
        </row>
        <row r="12">
          <cell r="B12">
            <v>6.578500000000001E-2</v>
          </cell>
          <cell r="C12">
            <v>5.8275000000000007E-2</v>
          </cell>
          <cell r="D12">
            <v>6.251000000000001E-2</v>
          </cell>
          <cell r="E12">
            <v>6.1679999999999999E-2</v>
          </cell>
          <cell r="F12">
            <v>5.9139999999999998E-2</v>
          </cell>
        </row>
        <row r="15">
          <cell r="B15">
            <v>3.3587920428217628E-2</v>
          </cell>
          <cell r="C15">
            <v>2.3024262295081969E-2</v>
          </cell>
          <cell r="D15">
            <v>3.3133653979961035E-2</v>
          </cell>
          <cell r="E15">
            <v>1.9308837708736044E-2</v>
          </cell>
          <cell r="F15">
            <v>9.6425258528876207E-3</v>
          </cell>
        </row>
        <row r="19">
          <cell r="B19">
            <v>0.31577251019867103</v>
          </cell>
          <cell r="C19">
            <v>0.14582323307160522</v>
          </cell>
          <cell r="D19">
            <v>0.2765090466520031</v>
          </cell>
          <cell r="E19">
            <v>4.1528576678128259E-2</v>
          </cell>
          <cell r="F19">
            <v>7.5228859029092376E-2</v>
          </cell>
        </row>
        <row r="20">
          <cell r="B20">
            <v>0.68422748980132897</v>
          </cell>
          <cell r="C20">
            <v>0.85417676692839473</v>
          </cell>
          <cell r="D20">
            <v>0.72349095334799696</v>
          </cell>
          <cell r="E20">
            <v>0.95847142332187174</v>
          </cell>
          <cell r="F20">
            <v>0.92477114097090762</v>
          </cell>
        </row>
        <row r="21">
          <cell r="B21">
            <v>5.5618047362551937E-2</v>
          </cell>
          <cell r="C21">
            <v>5.3134623459709721E-2</v>
          </cell>
          <cell r="D21">
            <v>5.438717456787967E-2</v>
          </cell>
          <cell r="E21">
            <v>5.9920385937845828E-2</v>
          </cell>
          <cell r="F21">
            <v>5.5416361495090737E-2</v>
          </cell>
        </row>
      </sheetData>
      <sheetData sheetId="3">
        <row r="3">
          <cell r="B3">
            <v>69168.817186716187</v>
          </cell>
          <cell r="C3">
            <v>75193.318418428724</v>
          </cell>
          <cell r="D3">
            <v>81742.544758464734</v>
          </cell>
          <cell r="E3">
            <v>88862.19898431818</v>
          </cell>
          <cell r="F3">
            <v>96601.9645175146</v>
          </cell>
          <cell r="G3">
            <v>105015.85213179328</v>
          </cell>
          <cell r="J3">
            <v>68005.621593966745</v>
          </cell>
          <cell r="K3">
            <v>72072.755398045687</v>
          </cell>
          <cell r="L3">
            <v>76383.12758437256</v>
          </cell>
          <cell r="M3">
            <v>80951.285230434529</v>
          </cell>
          <cell r="N3">
            <v>85792.645414010083</v>
          </cell>
          <cell r="O3">
            <v>90923.547244273403</v>
          </cell>
          <cell r="R3">
            <v>35303.790007169904</v>
          </cell>
          <cell r="S3">
            <v>37289.300768021465</v>
          </cell>
          <cell r="T3">
            <v>39386.47809443601</v>
          </cell>
          <cell r="U3">
            <v>41601.602195068401</v>
          </cell>
          <cell r="V3">
            <v>43941.306482064181</v>
          </cell>
          <cell r="W3">
            <v>46412.597435480115</v>
          </cell>
          <cell r="Z3">
            <v>50859.852335652649</v>
          </cell>
          <cell r="AA3">
            <v>57428.275383233959</v>
          </cell>
          <cell r="AB3">
            <v>64844.993880972397</v>
          </cell>
          <cell r="AC3">
            <v>73219.563069988159</v>
          </cell>
          <cell r="AD3">
            <v>82675.686977481455</v>
          </cell>
          <cell r="AE3">
            <v>93353.045697157315</v>
          </cell>
          <cell r="AH3">
            <v>90123.823262999693</v>
          </cell>
          <cell r="AI3">
            <v>91445.756291196958</v>
          </cell>
          <cell r="AJ3">
            <v>92787.079385946752</v>
          </cell>
          <cell r="AK3">
            <v>94148.076960054343</v>
          </cell>
          <cell r="AL3">
            <v>95529.037598081879</v>
          </cell>
          <cell r="AM3">
            <v>96930.254117539589</v>
          </cell>
        </row>
        <row r="4">
          <cell r="B4">
            <v>19227.880197165665</v>
          </cell>
          <cell r="C4">
            <v>20902.600000720326</v>
          </cell>
          <cell r="D4">
            <v>22723.18541149006</v>
          </cell>
          <cell r="E4">
            <v>24702.341107190536</v>
          </cell>
          <cell r="F4">
            <v>26853.878324094589</v>
          </cell>
          <cell r="G4">
            <v>29192.811236638834</v>
          </cell>
          <cell r="J4">
            <v>14786.753112475164</v>
          </cell>
          <cell r="K4">
            <v>15671.087407592504</v>
          </cell>
          <cell r="L4">
            <v>16608.310064311074</v>
          </cell>
          <cell r="M4">
            <v>17601.584115895901</v>
          </cell>
          <cell r="N4">
            <v>18654.261763495702</v>
          </cell>
          <cell r="O4">
            <v>19769.8956894884</v>
          </cell>
          <cell r="R4">
            <v>11284.595257136072</v>
          </cell>
          <cell r="S4">
            <v>11919.249080715572</v>
          </cell>
          <cell r="T4">
            <v>12589.596295737658</v>
          </cell>
          <cell r="U4">
            <v>13297.644324430539</v>
          </cell>
          <cell r="V4">
            <v>14045.513487904811</v>
          </cell>
          <cell r="W4">
            <v>14835.443355668498</v>
          </cell>
          <cell r="Z4">
            <v>12488.538699701425</v>
          </cell>
          <cell r="AA4">
            <v>14101.402317243372</v>
          </cell>
          <cell r="AB4">
            <v>15922.563247332599</v>
          </cell>
          <cell r="AC4">
            <v>17978.922568239155</v>
          </cell>
          <cell r="AD4">
            <v>20300.855565380771</v>
          </cell>
          <cell r="AE4">
            <v>22922.660416508741</v>
          </cell>
          <cell r="AH4">
            <v>19214.374346256111</v>
          </cell>
          <cell r="AI4">
            <v>19496.210104492191</v>
          </cell>
          <cell r="AJ4">
            <v>19782.179819587294</v>
          </cell>
          <cell r="AK4">
            <v>20072.344128273318</v>
          </cell>
          <cell r="AL4">
            <v>20366.764556699585</v>
          </cell>
          <cell r="AM4">
            <v>20665.503533478794</v>
          </cell>
        </row>
        <row r="5">
          <cell r="B5">
            <v>14805.467751817563</v>
          </cell>
          <cell r="C5">
            <v>16095.00200055465</v>
          </cell>
          <cell r="D5">
            <v>17496.852766847347</v>
          </cell>
          <cell r="E5">
            <v>19020.802652536713</v>
          </cell>
          <cell r="F5">
            <v>20677.486309552834</v>
          </cell>
          <cell r="G5">
            <v>22478.464652211904</v>
          </cell>
          <cell r="J5">
            <v>11385.799896605877</v>
          </cell>
          <cell r="K5">
            <v>12066.737303846228</v>
          </cell>
          <cell r="L5">
            <v>12788.398749519527</v>
          </cell>
          <cell r="M5">
            <v>13553.219769239844</v>
          </cell>
          <cell r="N5">
            <v>14363.781557891691</v>
          </cell>
          <cell r="O5">
            <v>15222.819680906068</v>
          </cell>
          <cell r="R5">
            <v>8689.1383479947763</v>
          </cell>
          <cell r="S5">
            <v>9177.8217921509913</v>
          </cell>
          <cell r="T5">
            <v>9693.9891477179972</v>
          </cell>
          <cell r="U5">
            <v>10239.186129811515</v>
          </cell>
          <cell r="V5">
            <v>10815.045385686704</v>
          </cell>
          <cell r="W5">
            <v>11423.291383864744</v>
          </cell>
          <cell r="Z5">
            <v>9616.1747987700965</v>
          </cell>
          <cell r="AA5">
            <v>10858.079784277397</v>
          </cell>
          <cell r="AB5">
            <v>12260.373700446102</v>
          </cell>
          <cell r="AC5">
            <v>13843.77037754415</v>
          </cell>
          <cell r="AD5">
            <v>15631.658785343194</v>
          </cell>
          <cell r="AE5">
            <v>17650.448520711732</v>
          </cell>
          <cell r="AH5">
            <v>14795.068246617206</v>
          </cell>
          <cell r="AI5">
            <v>15012.081780458988</v>
          </cell>
          <cell r="AJ5">
            <v>15232.278461082216</v>
          </cell>
          <cell r="AK5">
            <v>15455.704978770456</v>
          </cell>
          <cell r="AL5">
            <v>15682.408708658681</v>
          </cell>
          <cell r="AM5">
            <v>15912.437720778671</v>
          </cell>
        </row>
        <row r="6">
          <cell r="B6">
            <v>4142.4761038602592</v>
          </cell>
          <cell r="C6">
            <v>4503.2796191593288</v>
          </cell>
          <cell r="D6">
            <v>4895.5085846935499</v>
          </cell>
          <cell r="E6">
            <v>5321.9001104981826</v>
          </cell>
          <cell r="F6">
            <v>5785.429704826779</v>
          </cell>
          <cell r="G6">
            <v>6289.3320382818747</v>
          </cell>
          <cell r="J6">
            <v>4639.1954701818649</v>
          </cell>
          <cell r="K6">
            <v>4916.6464849400409</v>
          </cell>
          <cell r="L6">
            <v>5210.6906926527099</v>
          </cell>
          <cell r="M6">
            <v>5522.3204632798997</v>
          </cell>
          <cell r="N6">
            <v>5852.5875163076917</v>
          </cell>
          <cell r="O6">
            <v>6202.6064701968971</v>
          </cell>
          <cell r="R6">
            <v>5086.5429035735824</v>
          </cell>
          <cell r="S6">
            <v>5372.6137664618836</v>
          </cell>
          <cell r="T6">
            <v>5674.7734622068128</v>
          </cell>
          <cell r="U6">
            <v>5993.9268384397383</v>
          </cell>
          <cell r="V6">
            <v>6331.029632079234</v>
          </cell>
          <cell r="W6">
            <v>6687.0913313815036</v>
          </cell>
          <cell r="Z6">
            <v>2435.19531331896</v>
          </cell>
          <cell r="AA6">
            <v>2749.6947128807933</v>
          </cell>
          <cell r="AB6">
            <v>3104.810925305143</v>
          </cell>
          <cell r="AC6">
            <v>3505.7895106452461</v>
          </cell>
          <cell r="AD6">
            <v>3958.5534799489637</v>
          </cell>
          <cell r="AE6">
            <v>4469.7907863646769</v>
          </cell>
          <cell r="AH6">
            <v>7370.495883384905</v>
          </cell>
          <cell r="AI6">
            <v>7478.6060543660615</v>
          </cell>
          <cell r="AJ6">
            <v>7588.3019814828294</v>
          </cell>
          <cell r="AK6">
            <v>7699.6069245496992</v>
          </cell>
          <cell r="AL6">
            <v>7812.5444845552929</v>
          </cell>
          <cell r="AM6">
            <v>7927.1386086666917</v>
          </cell>
        </row>
      </sheetData>
      <sheetData sheetId="4"/>
      <sheetData sheetId="5">
        <row r="7">
          <cell r="D7">
            <v>2926.136</v>
          </cell>
          <cell r="I7">
            <v>0.32835714542638827</v>
          </cell>
          <cell r="N7">
            <v>3.7408165988906199</v>
          </cell>
        </row>
        <row r="13">
          <cell r="D13">
            <v>4154.5146032618959</v>
          </cell>
        </row>
        <row r="14">
          <cell r="G14">
            <v>40.863202671431331</v>
          </cell>
          <cell r="H14">
            <v>52.023423761755353</v>
          </cell>
        </row>
        <row r="19">
          <cell r="D19">
            <v>5.7409506245921761E-2</v>
          </cell>
        </row>
        <row r="25">
          <cell r="D25">
            <v>5.7409506245921761E-2</v>
          </cell>
        </row>
        <row r="31">
          <cell r="D31">
            <v>5.7409506245921761E-2</v>
          </cell>
        </row>
        <row r="37">
          <cell r="D37">
            <v>0.33446566898393537</v>
          </cell>
        </row>
        <row r="43">
          <cell r="D43">
            <v>0.15013469913282151</v>
          </cell>
        </row>
        <row r="55">
          <cell r="D55">
            <v>5.5160086080215297E-2</v>
          </cell>
        </row>
        <row r="67">
          <cell r="D67">
            <v>0.41618739009404282</v>
          </cell>
        </row>
        <row r="73">
          <cell r="D73">
            <v>6.0219412333401487E-2</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le"/>
      <sheetName val="Financials"/>
      <sheetName val="Assumptions &amp; WACC"/>
      <sheetName val="DCF"/>
      <sheetName val="Relative"/>
      <sheetName val="Calc"/>
    </sheetNames>
    <sheetDataSet>
      <sheetData sheetId="0">
        <row r="10">
          <cell r="B10">
            <v>8.3416999999999994</v>
          </cell>
          <cell r="C10">
            <v>9.1361000000000008</v>
          </cell>
          <cell r="D10">
            <v>6.6387</v>
          </cell>
          <cell r="E10">
            <v>4.8357000000000001</v>
          </cell>
          <cell r="F10">
            <v>21.223600000000001</v>
          </cell>
        </row>
      </sheetData>
      <sheetData sheetId="1"/>
      <sheetData sheetId="2">
        <row r="3">
          <cell r="B3">
            <v>-6.5613728387193815E-2</v>
          </cell>
          <cell r="C3">
            <v>9.9278085192266996E-3</v>
          </cell>
          <cell r="D3">
            <v>2.7502939629613365E-2</v>
          </cell>
          <cell r="E3">
            <v>3.6224702934730901E-2</v>
          </cell>
          <cell r="F3">
            <v>3.5422195395887535E-2</v>
          </cell>
        </row>
        <row r="6">
          <cell r="B6">
            <v>0.13252138006235634</v>
          </cell>
          <cell r="C6">
            <v>0.14595012449400901</v>
          </cell>
          <cell r="D6">
            <v>0.17765177822560752</v>
          </cell>
          <cell r="E6">
            <v>9.1024222786225517E-2</v>
          </cell>
          <cell r="F6">
            <v>0.1442387976621208</v>
          </cell>
        </row>
        <row r="11">
          <cell r="B11">
            <v>0.38450000000000001</v>
          </cell>
          <cell r="C11">
            <v>0.34520000000000001</v>
          </cell>
          <cell r="D11">
            <v>1.0430999999999999</v>
          </cell>
          <cell r="E11">
            <v>0.91769999999999996</v>
          </cell>
          <cell r="F11">
            <v>0.55920000000000003</v>
          </cell>
        </row>
        <row r="12">
          <cell r="B12">
            <v>5.9046000000000001E-2</v>
          </cell>
          <cell r="C12">
            <v>5.7159600000000005E-2</v>
          </cell>
          <cell r="D12">
            <v>9.0658799999999998E-2</v>
          </cell>
          <cell r="E12">
            <v>8.4639600000000009E-2</v>
          </cell>
          <cell r="F12">
            <v>6.7431600000000008E-2</v>
          </cell>
        </row>
        <row r="15">
          <cell r="B15">
            <v>3.610497937993145E-2</v>
          </cell>
          <cell r="C15">
            <v>2.4968886891129631E-2</v>
          </cell>
          <cell r="D15">
            <v>3.7963056429104497E-2</v>
          </cell>
          <cell r="E15">
            <v>3.3004673164434929E-2</v>
          </cell>
          <cell r="F15">
            <v>3.3625071175865787E-2</v>
          </cell>
        </row>
        <row r="19">
          <cell r="B19">
            <v>0.40334497620872933</v>
          </cell>
          <cell r="C19">
            <v>0.46486135232729697</v>
          </cell>
          <cell r="D19">
            <v>0.73426591747663983</v>
          </cell>
          <cell r="E19">
            <v>0.47824617460917229</v>
          </cell>
          <cell r="F19">
            <v>0.24074353193046999</v>
          </cell>
        </row>
        <row r="20">
          <cell r="B20">
            <v>0.59665502379127078</v>
          </cell>
          <cell r="C20">
            <v>0.53513864767270314</v>
          </cell>
          <cell r="D20">
            <v>0.26573408252336017</v>
          </cell>
          <cell r="E20">
            <v>0.52175382539082782</v>
          </cell>
          <cell r="F20">
            <v>0.75925646806953007</v>
          </cell>
        </row>
        <row r="21">
          <cell r="B21">
            <v>4.9792854583794489E-2</v>
          </cell>
          <cell r="C21">
            <v>4.2195381571830483E-2</v>
          </cell>
          <cell r="D21">
            <v>5.1966111499802667E-2</v>
          </cell>
          <cell r="E21">
            <v>5.9945393764666524E-2</v>
          </cell>
          <cell r="F21">
            <v>5.9292896848568699E-2</v>
          </cell>
        </row>
      </sheetData>
      <sheetData sheetId="3">
        <row r="3">
          <cell r="B3">
            <v>114309.07892402426</v>
          </cell>
          <cell r="C3">
            <v>106808.83406731303</v>
          </cell>
          <cell r="D3">
            <v>99800.708239467494</v>
          </cell>
          <cell r="E3">
            <v>93252.4116761935</v>
          </cell>
          <cell r="F3">
            <v>87133.773265020965</v>
          </cell>
          <cell r="G3">
            <v>81416.601532658548</v>
          </cell>
          <cell r="J3">
            <v>136126.14945468953</v>
          </cell>
          <cell r="K3">
            <v>137477.58380093533</v>
          </cell>
          <cell r="L3">
            <v>138842.43492859695</v>
          </cell>
          <cell r="M3">
            <v>140220.83603691126</v>
          </cell>
          <cell r="N3">
            <v>141612.9216474916</v>
          </cell>
          <cell r="O3">
            <v>143018.82761745615</v>
          </cell>
          <cell r="R3">
            <v>56599.999429497249</v>
          </cell>
          <cell r="S3">
            <v>58156.665796842863</v>
          </cell>
          <cell r="T3">
            <v>59756.14506531303</v>
          </cell>
          <cell r="U3">
            <v>61399.614715542753</v>
          </cell>
          <cell r="V3">
            <v>63088.284612345844</v>
          </cell>
          <cell r="W3">
            <v>64823.397895375056</v>
          </cell>
          <cell r="Z3">
            <v>128213.11871881719</v>
          </cell>
          <cell r="AA3">
            <v>132857.60085674172</v>
          </cell>
          <cell r="AB3">
            <v>137670.32798039823</v>
          </cell>
          <cell r="AC3">
            <v>142657.39471441513</v>
          </cell>
          <cell r="AD3">
            <v>147825.11645938747</v>
          </cell>
          <cell r="AE3">
            <v>153180.03738942079</v>
          </cell>
          <cell r="AH3">
            <v>84283.366705225242</v>
          </cell>
          <cell r="AI3">
            <v>87268.868589280974</v>
          </cell>
          <cell r="AJ3">
            <v>90360.123504428513</v>
          </cell>
          <cell r="AK3">
            <v>93560.877455198904</v>
          </cell>
          <cell r="AL3">
            <v>96875.009137827656</v>
          </cell>
          <cell r="AM3">
            <v>100306.53464048618</v>
          </cell>
        </row>
        <row r="4">
          <cell r="B4">
            <v>29623.679276707273</v>
          </cell>
          <cell r="C4">
            <v>27679.959230816061</v>
          </cell>
          <cell r="D4">
            <v>25863.773904076694</v>
          </cell>
          <cell r="E4">
            <v>24166.755268066816</v>
          </cell>
          <cell r="F4">
            <v>22581.084351908095</v>
          </cell>
          <cell r="G4">
            <v>21099.455216553684</v>
          </cell>
          <cell r="J4">
            <v>46663.496348735578</v>
          </cell>
          <cell r="K4">
            <v>47126.762605323464</v>
          </cell>
          <cell r="L4">
            <v>47594.628080600167</v>
          </cell>
          <cell r="M4">
            <v>48067.138434728178</v>
          </cell>
          <cell r="N4">
            <v>48544.339781175324</v>
          </cell>
          <cell r="O4">
            <v>49026.278691215106</v>
          </cell>
          <cell r="R4">
            <v>21628.218368449219</v>
          </cell>
          <cell r="S4">
            <v>22223.057952532774</v>
          </cell>
          <cell r="T4">
            <v>22834.257373786681</v>
          </cell>
          <cell r="U4">
            <v>23462.26657582499</v>
          </cell>
          <cell r="V4">
            <v>24107.547877033798</v>
          </cell>
          <cell r="W4">
            <v>24770.576310913872</v>
          </cell>
          <cell r="Z4">
            <v>35289.700496516627</v>
          </cell>
          <cell r="AA4">
            <v>36568.059413658564</v>
          </cell>
          <cell r="AB4">
            <v>37892.726502817939</v>
          </cell>
          <cell r="AC4">
            <v>39265.379263769522</v>
          </cell>
          <cell r="AD4">
            <v>40687.755963219119</v>
          </cell>
          <cell r="AE4">
            <v>42161.657836067556</v>
          </cell>
          <cell r="AH4">
            <v>26464.148308176533</v>
          </cell>
          <cell r="AI4">
            <v>27401.566540534506</v>
          </cell>
          <cell r="AJ4">
            <v>28372.190184686733</v>
          </cell>
          <cell r="AK4">
            <v>29377.19544921799</v>
          </cell>
          <cell r="AL4">
            <v>30417.80020660337</v>
          </cell>
          <cell r="AM4">
            <v>31495.265469034741</v>
          </cell>
        </row>
        <row r="5">
          <cell r="B5">
            <v>22810.2330430646</v>
          </cell>
          <cell r="C5">
            <v>21313.568607728368</v>
          </cell>
          <cell r="D5">
            <v>19915.105906139055</v>
          </cell>
          <cell r="E5">
            <v>18608.401556411449</v>
          </cell>
          <cell r="F5">
            <v>17387.434950969233</v>
          </cell>
          <cell r="G5">
            <v>16246.580516746337</v>
          </cell>
          <cell r="J5">
            <v>35930.892188526399</v>
          </cell>
          <cell r="K5">
            <v>36287.60720609907</v>
          </cell>
          <cell r="L5">
            <v>36647.863622062127</v>
          </cell>
          <cell r="M5">
            <v>37011.696594740701</v>
          </cell>
          <cell r="N5">
            <v>37379.141631505001</v>
          </cell>
          <cell r="O5">
            <v>37750.234592235633</v>
          </cell>
          <cell r="R5">
            <v>16653.728143705899</v>
          </cell>
          <cell r="S5">
            <v>17111.754623450237</v>
          </cell>
          <cell r="T5">
            <v>17582.378177815743</v>
          </cell>
          <cell r="U5">
            <v>18065.945263385242</v>
          </cell>
          <cell r="V5">
            <v>18562.811865316024</v>
          </cell>
          <cell r="W5">
            <v>19073.34375940368</v>
          </cell>
          <cell r="Z5">
            <v>27173.069382317804</v>
          </cell>
          <cell r="AA5">
            <v>28157.405748517096</v>
          </cell>
          <cell r="AB5">
            <v>29177.399407169814</v>
          </cell>
          <cell r="AC5">
            <v>30234.342033102534</v>
          </cell>
          <cell r="AD5">
            <v>31329.572091678721</v>
          </cell>
          <cell r="AE5">
            <v>32464.47653377202</v>
          </cell>
          <cell r="AH5">
            <v>20377.394197295929</v>
          </cell>
          <cell r="AI5">
            <v>21099.206236211568</v>
          </cell>
          <cell r="AJ5">
            <v>21846.586442208783</v>
          </cell>
          <cell r="AK5">
            <v>22620.440495897852</v>
          </cell>
          <cell r="AL5">
            <v>23421.706159084595</v>
          </cell>
          <cell r="AM5">
            <v>24251.35441115675</v>
          </cell>
        </row>
        <row r="6">
          <cell r="B6">
            <v>17665.807693473471</v>
          </cell>
          <cell r="C6">
            <v>16506.688185733503</v>
          </cell>
          <cell r="D6">
            <v>15423.622830542683</v>
          </cell>
          <cell r="E6">
            <v>14411.621431392934</v>
          </cell>
          <cell r="F6">
            <v>13466.021217174457</v>
          </cell>
          <cell r="G6">
            <v>12582.465358574584</v>
          </cell>
          <cell r="J6">
            <v>17444.69222639572</v>
          </cell>
          <cell r="K6">
            <v>17617.879790496223</v>
          </cell>
          <cell r="L6">
            <v>17792.78672757102</v>
          </cell>
          <cell r="M6">
            <v>17969.430107225784</v>
          </cell>
          <cell r="N6">
            <v>18147.827168529951</v>
          </cell>
          <cell r="O6">
            <v>18327.995321699134</v>
          </cell>
          <cell r="R6">
            <v>9735.2437223920388</v>
          </cell>
          <cell r="S6">
            <v>10002.991542768559</v>
          </cell>
          <cell r="T6">
            <v>10278.103215284855</v>
          </cell>
          <cell r="U6">
            <v>10560.78126752177</v>
          </cell>
          <cell r="V6">
            <v>10851.233797163972</v>
          </cell>
          <cell r="W6">
            <v>11149.674625194193</v>
          </cell>
          <cell r="Z6">
            <v>15267.676020334811</v>
          </cell>
          <cell r="AA6">
            <v>15820.743048675153</v>
          </cell>
          <cell r="AB6">
            <v>16393.844765820118</v>
          </cell>
          <cell r="AC6">
            <v>16987.706922420046</v>
          </cell>
          <cell r="AD6">
            <v>17603.081559226983</v>
          </cell>
          <cell r="AE6">
            <v>18240.74795944582</v>
          </cell>
          <cell r="AH6">
            <v>15187.096223012748</v>
          </cell>
          <cell r="AI6">
            <v>15725.056512920451</v>
          </cell>
          <cell r="AJ6">
            <v>16282.072537332493</v>
          </cell>
          <cell r="AK6">
            <v>16858.819292199896</v>
          </cell>
          <cell r="AL6">
            <v>17455.995683312161</v>
          </cell>
          <cell r="AM6">
            <v>18074.325373236214</v>
          </cell>
        </row>
      </sheetData>
      <sheetData sheetId="4"/>
      <sheetData sheetId="5">
        <row r="7">
          <cell r="D7">
            <v>13702.680000000002</v>
          </cell>
          <cell r="I7">
            <v>0.48162409583426535</v>
          </cell>
          <cell r="N7">
            <v>0.8244819399711304</v>
          </cell>
        </row>
        <row r="13">
          <cell r="D13">
            <v>14015.143190513947</v>
          </cell>
        </row>
        <row r="14">
          <cell r="H14">
            <v>100.16319394923526</v>
          </cell>
          <cell r="I14">
            <v>7.3253593505463108</v>
          </cell>
        </row>
        <row r="19">
          <cell r="D19">
            <v>7.135686617619319E-3</v>
          </cell>
        </row>
        <row r="25">
          <cell r="D25">
            <v>7.135686617619319E-3</v>
          </cell>
        </row>
        <row r="31">
          <cell r="D31">
            <v>7.135686617619319E-3</v>
          </cell>
        </row>
        <row r="37">
          <cell r="D37">
            <v>0.49602236955745588</v>
          </cell>
        </row>
        <row r="43">
          <cell r="D43">
            <v>0.11283500100671877</v>
          </cell>
        </row>
        <row r="55">
          <cell r="D55">
            <v>0.13827726064606383</v>
          </cell>
        </row>
        <row r="67">
          <cell r="D67">
            <v>5.8602874804370486E-2</v>
          </cell>
        </row>
        <row r="73">
          <cell r="D73">
            <v>7.7495415166203424E-2</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Banks"/>
      <sheetName val="Balance Sheet-NBFCs"/>
      <sheetName val="Income Statement-Banks"/>
      <sheetName val="Income Statement-NBFCs"/>
      <sheetName val="Cash Flow Statement-Banks"/>
      <sheetName val="Cash Flow Statement-NBFCs"/>
      <sheetName val="Financial Ratios-Banks"/>
      <sheetName val="Financial Ratios-NBFCs"/>
      <sheetName val="Dupont Analysis"/>
      <sheetName val="Input &amp; Assumptions-Banks"/>
      <sheetName val="Financial Projections"/>
      <sheetName val="Calc"/>
      <sheetName val="WACC"/>
      <sheetName val="DCF-DDM-RIM"/>
      <sheetName val="Intrinsic Value"/>
      <sheetName val="Senstivity Analysis-Intrinsic "/>
      <sheetName val="Senstivity Analysis"/>
      <sheetName val="Data"/>
      <sheetName val="Axis"/>
      <sheetName val="HDFC"/>
      <sheetName val="ICICI"/>
      <sheetName val="BankData"/>
      <sheetName val="ChartData"/>
      <sheetName val="Holdings"/>
      <sheetName val="Transactions"/>
      <sheetName val="DashBoard"/>
    </sheetNames>
    <sheetDataSet>
      <sheetData sheetId="0">
        <row r="7">
          <cell r="B7">
            <v>1.0147999999999999</v>
          </cell>
          <cell r="C7">
            <v>1.0835999999999999</v>
          </cell>
          <cell r="D7">
            <v>1.1969000000000001</v>
          </cell>
          <cell r="E7">
            <v>1.4097</v>
          </cell>
          <cell r="F7">
            <v>1.5570999999999999</v>
          </cell>
          <cell r="G7">
            <v>1.4239999999999999</v>
          </cell>
          <cell r="H7">
            <v>0.7621</v>
          </cell>
        </row>
      </sheetData>
      <sheetData sheetId="1">
        <row r="9">
          <cell r="B9">
            <v>86453.97</v>
          </cell>
          <cell r="C9">
            <v>103767.45</v>
          </cell>
          <cell r="D9">
            <v>118522.01000000001</v>
          </cell>
          <cell r="E9">
            <v>130175.09999999999</v>
          </cell>
          <cell r="F9">
            <v>157522.96</v>
          </cell>
          <cell r="J9">
            <v>290297.76</v>
          </cell>
          <cell r="K9">
            <v>469778.65</v>
          </cell>
          <cell r="L9">
            <v>129754.79999999999</v>
          </cell>
          <cell r="M9">
            <v>147509.18000000002</v>
          </cell>
          <cell r="N9">
            <v>170511.96</v>
          </cell>
          <cell r="O9">
            <v>221184.52</v>
          </cell>
          <cell r="P9">
            <v>270032.21999999997</v>
          </cell>
          <cell r="Q9">
            <v>259003.94</v>
          </cell>
          <cell r="R9">
            <v>285187.46000000002</v>
          </cell>
          <cell r="S9">
            <v>316795.46000000002</v>
          </cell>
          <cell r="T9">
            <v>371767.92</v>
          </cell>
          <cell r="U9">
            <v>430557.13000000006</v>
          </cell>
        </row>
        <row r="13">
          <cell r="D13">
            <v>820914.16</v>
          </cell>
          <cell r="E13">
            <v>945824.72</v>
          </cell>
          <cell r="F13">
            <v>1067102.4000000001</v>
          </cell>
          <cell r="I13">
            <v>1558003.03</v>
          </cell>
          <cell r="J13">
            <v>1882663.25</v>
          </cell>
          <cell r="K13">
            <v>2376887.2799999998</v>
          </cell>
          <cell r="N13">
            <v>1064571.6099999999</v>
          </cell>
          <cell r="O13">
            <v>1210832.1399999999</v>
          </cell>
          <cell r="P13">
            <v>1443579.94</v>
          </cell>
          <cell r="Q13">
            <v>3274160.6100000003</v>
          </cell>
          <cell r="R13">
            <v>3715331.23</v>
          </cell>
          <cell r="S13">
            <v>4087410.5971999997</v>
          </cell>
          <cell r="T13">
            <v>4468535.4899999993</v>
          </cell>
          <cell r="U13">
            <v>4966537.47</v>
          </cell>
        </row>
        <row r="79">
          <cell r="B79">
            <v>927871.69</v>
          </cell>
          <cell r="C79">
            <v>1001104.5399999999</v>
          </cell>
          <cell r="D79">
            <v>1195528.5100000002</v>
          </cell>
          <cell r="E79">
            <v>1344417.96</v>
          </cell>
          <cell r="F79">
            <v>1518238.53</v>
          </cell>
          <cell r="G79">
            <v>1580820.31</v>
          </cell>
          <cell r="H79">
            <v>1799506.5589999997</v>
          </cell>
          <cell r="I79">
            <v>2122785.5100000002</v>
          </cell>
          <cell r="J79">
            <v>2530283.65</v>
          </cell>
          <cell r="K79">
            <v>4030194.25</v>
          </cell>
          <cell r="L79">
            <v>1377292.1347999997</v>
          </cell>
          <cell r="M79">
            <v>1230432.55</v>
          </cell>
          <cell r="N79">
            <v>1411297.62</v>
          </cell>
          <cell r="O79">
            <v>1958490.34</v>
          </cell>
          <cell r="P79">
            <v>2364062.88</v>
          </cell>
          <cell r="Q79">
            <v>4197492.2200000007</v>
          </cell>
          <cell r="R79">
            <v>4845618.4465000005</v>
          </cell>
          <cell r="S79">
            <v>5360883.4185000006</v>
          </cell>
          <cell r="T79">
            <v>5954418.2489</v>
          </cell>
          <cell r="U79">
            <v>6733778.7447999995</v>
          </cell>
        </row>
        <row r="84">
          <cell r="D84">
            <v>721356</v>
          </cell>
          <cell r="E84">
            <v>851335</v>
          </cell>
          <cell r="F84">
            <v>1039313</v>
          </cell>
          <cell r="I84">
            <v>1353510.85</v>
          </cell>
          <cell r="J84">
            <v>1586634.96</v>
          </cell>
          <cell r="K84">
            <v>2468028.06</v>
          </cell>
          <cell r="M84">
            <v>883591</v>
          </cell>
          <cell r="N84">
            <v>785400</v>
          </cell>
          <cell r="Q84">
            <v>2188803.87</v>
          </cell>
          <cell r="R84">
            <v>2353096.02</v>
          </cell>
          <cell r="S84">
            <v>2608922.9900000002</v>
          </cell>
          <cell r="T84">
            <v>2941677.94</v>
          </cell>
          <cell r="U84">
            <v>3423514.85</v>
          </cell>
        </row>
      </sheetData>
      <sheetData sheetId="2">
        <row r="9">
          <cell r="E9">
            <v>10503.19</v>
          </cell>
          <cell r="F9">
            <v>12233.5</v>
          </cell>
          <cell r="J9">
            <v>54371.979999999996</v>
          </cell>
          <cell r="K9">
            <v>76695.350000000006</v>
          </cell>
          <cell r="N9">
            <v>191378.96000000002</v>
          </cell>
          <cell r="O9">
            <v>221528.04</v>
          </cell>
          <cell r="P9">
            <v>257540.4</v>
          </cell>
        </row>
        <row r="13">
          <cell r="B13">
            <v>17776.849999999999</v>
          </cell>
          <cell r="C13">
            <v>20268.52</v>
          </cell>
          <cell r="D13">
            <v>24493.17</v>
          </cell>
          <cell r="E13">
            <v>33654.699999999997</v>
          </cell>
          <cell r="F13">
            <v>42299.73</v>
          </cell>
          <cell r="J13">
            <v>81549.399999999994</v>
          </cell>
          <cell r="K13">
            <v>111617.47</v>
          </cell>
          <cell r="L13">
            <v>300115.44</v>
          </cell>
          <cell r="M13">
            <v>351009.78</v>
          </cell>
          <cell r="N13">
            <v>408553.24</v>
          </cell>
          <cell r="O13">
            <v>405974.58</v>
          </cell>
          <cell r="P13">
            <v>500519.53</v>
          </cell>
        </row>
        <row r="27">
          <cell r="D27">
            <v>46482.07</v>
          </cell>
          <cell r="E27">
            <v>62113.89</v>
          </cell>
          <cell r="F27">
            <v>79300.75</v>
          </cell>
          <cell r="I27">
            <v>191423.25</v>
          </cell>
          <cell r="J27">
            <v>242268.93</v>
          </cell>
          <cell r="K27">
            <v>326293.32</v>
          </cell>
          <cell r="M27">
            <v>588085.17000000004</v>
          </cell>
          <cell r="N27">
            <v>645276.41</v>
          </cell>
          <cell r="O27">
            <v>705543.84</v>
          </cell>
          <cell r="P27">
            <v>881871.71</v>
          </cell>
        </row>
        <row r="37">
          <cell r="E37">
            <v>64654.140000000007</v>
          </cell>
          <cell r="F37">
            <v>81827.090000000011</v>
          </cell>
          <cell r="J37">
            <v>275226.31000000006</v>
          </cell>
          <cell r="K37">
            <v>375741.62</v>
          </cell>
          <cell r="L37">
            <v>548816.92000000004</v>
          </cell>
          <cell r="M37">
            <v>686414.35</v>
          </cell>
          <cell r="N37">
            <v>763164.73999999987</v>
          </cell>
          <cell r="O37">
            <v>801489.2</v>
          </cell>
          <cell r="P37">
            <v>964694.2</v>
          </cell>
        </row>
      </sheetData>
      <sheetData sheetId="3">
        <row r="5">
          <cell r="D5">
            <v>68846.06</v>
          </cell>
          <cell r="E5">
            <v>87448.37</v>
          </cell>
          <cell r="F5">
            <v>112759.05</v>
          </cell>
          <cell r="I5">
            <v>135936.41</v>
          </cell>
          <cell r="J5">
            <v>170754.05</v>
          </cell>
          <cell r="K5">
            <v>283649.02</v>
          </cell>
          <cell r="N5">
            <v>86374.545199999993</v>
          </cell>
          <cell r="O5">
            <v>121066.8098</v>
          </cell>
          <cell r="P5">
            <v>159515.9252</v>
          </cell>
          <cell r="Q5">
            <v>269851.65000000002</v>
          </cell>
          <cell r="R5">
            <v>278115.4767</v>
          </cell>
          <cell r="S5">
            <v>289972.68599999999</v>
          </cell>
          <cell r="T5">
            <v>350844.58010000002</v>
          </cell>
          <cell r="U5">
            <v>439188.5123</v>
          </cell>
        </row>
        <row r="9">
          <cell r="B9">
            <v>37995.94</v>
          </cell>
          <cell r="C9">
            <v>34627.379999999997</v>
          </cell>
          <cell r="D9">
            <v>34922.660000000003</v>
          </cell>
          <cell r="E9">
            <v>43389.15</v>
          </cell>
          <cell r="F9">
            <v>61390.74</v>
          </cell>
          <cell r="G9">
            <v>62137.421600000001</v>
          </cell>
          <cell r="H9">
            <v>59247.579899999997</v>
          </cell>
          <cell r="I9">
            <v>58584.33</v>
          </cell>
          <cell r="J9">
            <v>77779.94</v>
          </cell>
          <cell r="K9">
            <v>154138.54999999999</v>
          </cell>
          <cell r="L9">
            <v>44665.522199999999</v>
          </cell>
          <cell r="M9">
            <v>40128.837399999997</v>
          </cell>
          <cell r="N9">
            <v>38908.450700000001</v>
          </cell>
          <cell r="O9">
            <v>50543.387900000002</v>
          </cell>
          <cell r="P9">
            <v>74108.162700000001</v>
          </cell>
          <cell r="Q9">
            <v>161123.79860000001</v>
          </cell>
          <cell r="R9">
            <v>156010.16709999999</v>
          </cell>
          <cell r="S9">
            <v>156194.34409999999</v>
          </cell>
          <cell r="T9">
            <v>189980.8167</v>
          </cell>
          <cell r="U9">
            <v>259736.04810000001</v>
          </cell>
        </row>
      </sheetData>
      <sheetData sheetId="4">
        <row r="6">
          <cell r="B6">
            <v>2303.08</v>
          </cell>
          <cell r="C6">
            <v>2877.43</v>
          </cell>
          <cell r="D6">
            <v>3481.75</v>
          </cell>
          <cell r="E6">
            <v>5269.24</v>
          </cell>
          <cell r="F6">
            <v>7202.36</v>
          </cell>
          <cell r="G6">
            <v>22970.39</v>
          </cell>
          <cell r="H6">
            <v>23303.38</v>
          </cell>
          <cell r="I6">
            <v>27269.759999999998</v>
          </cell>
          <cell r="J6">
            <v>35548.57</v>
          </cell>
          <cell r="K6">
            <v>48306.6</v>
          </cell>
          <cell r="L6">
            <v>94177.36</v>
          </cell>
          <cell r="M6">
            <v>112102.79</v>
          </cell>
          <cell r="N6">
            <v>119251.52</v>
          </cell>
          <cell r="O6">
            <v>115555.35</v>
          </cell>
          <cell r="P6">
            <v>145457.01</v>
          </cell>
        </row>
        <row r="17">
          <cell r="B17">
            <v>1616.03</v>
          </cell>
          <cell r="C17">
            <v>1965.87</v>
          </cell>
          <cell r="D17">
            <v>2155.31</v>
          </cell>
          <cell r="E17">
            <v>3211.32</v>
          </cell>
          <cell r="F17">
            <v>4692.6099999999997</v>
          </cell>
          <cell r="G17">
            <v>9473.2099999999991</v>
          </cell>
          <cell r="H17">
            <v>9414</v>
          </cell>
          <cell r="I17">
            <v>9748.24</v>
          </cell>
          <cell r="J17">
            <v>12559.89</v>
          </cell>
          <cell r="K17">
            <v>18724.689999999999</v>
          </cell>
          <cell r="L17">
            <v>31728.400000000001</v>
          </cell>
          <cell r="M17">
            <v>40999.29</v>
          </cell>
          <cell r="N17">
            <v>42558.52</v>
          </cell>
          <cell r="O17">
            <v>42091.78</v>
          </cell>
          <cell r="P17">
            <v>54300.78</v>
          </cell>
        </row>
      </sheetData>
      <sheetData sheetId="5"/>
      <sheetData sheetId="6"/>
      <sheetData sheetId="7">
        <row r="5">
          <cell r="G5">
            <v>3.6084396918160164E-2</v>
          </cell>
          <cell r="M5">
            <v>4.0995448133371762E-2</v>
          </cell>
          <cell r="S5">
            <v>3.9154551247689455E-2</v>
          </cell>
          <cell r="Y5">
            <v>3.0150827354556421E-2</v>
          </cell>
        </row>
        <row r="6">
          <cell r="G6">
            <v>1.4458888982016993E-2</v>
          </cell>
          <cell r="M6">
            <v>1.4752046220297643E-2</v>
          </cell>
          <cell r="S6">
            <v>1.250265519598869E-2</v>
          </cell>
          <cell r="Y6">
            <v>9.2033258188471117E-3</v>
          </cell>
        </row>
        <row r="7">
          <cell r="G7">
            <v>9.2448795394311306E-2</v>
          </cell>
          <cell r="M7">
            <v>0.15154824954520529</v>
          </cell>
          <cell r="S7">
            <v>0.13112977579321455</v>
          </cell>
          <cell r="Y7">
            <v>0.11609354571803829</v>
          </cell>
        </row>
        <row r="13">
          <cell r="G13">
            <v>8.0800000000000004E-3</v>
          </cell>
          <cell r="M13">
            <v>3.5000000000000005E-3</v>
          </cell>
          <cell r="S13">
            <v>6.3799999999999994E-3</v>
          </cell>
          <cell r="Y13">
            <v>8.4599999999999988E-3</v>
          </cell>
        </row>
        <row r="14">
          <cell r="G14">
            <v>0.43381315334629544</v>
          </cell>
          <cell r="M14">
            <v>0.72639832003347204</v>
          </cell>
          <cell r="S14">
            <v>0.18966507157210669</v>
          </cell>
          <cell r="Y14">
            <v>0.2569219508971487</v>
          </cell>
        </row>
        <row r="16">
          <cell r="G16">
            <v>0.17891389674085162</v>
          </cell>
          <cell r="M16">
            <v>0.18853487375651551</v>
          </cell>
          <cell r="S16">
            <v>0.19140000000000001</v>
          </cell>
          <cell r="Y16">
            <v>0</v>
          </cell>
        </row>
        <row r="17">
          <cell r="G17">
            <v>0.15215458796567088</v>
          </cell>
          <cell r="M17">
            <v>0.17314402359522854</v>
          </cell>
          <cell r="S17">
            <v>0.18204999999999999</v>
          </cell>
          <cell r="Y17">
            <v>0</v>
          </cell>
        </row>
        <row r="18">
          <cell r="G18">
            <v>0.14577999999999999</v>
          </cell>
          <cell r="M18">
            <v>0.1653</v>
          </cell>
          <cell r="S18">
            <v>0.17199999999999999</v>
          </cell>
          <cell r="Y18">
            <v>0.10724</v>
          </cell>
        </row>
        <row r="22">
          <cell r="G22">
            <v>0.85552569448216365</v>
          </cell>
          <cell r="M22">
            <v>0.86003211086532461</v>
          </cell>
          <cell r="S22">
            <v>0.44669834391425567</v>
          </cell>
          <cell r="Y22">
            <v>0</v>
          </cell>
        </row>
      </sheetData>
      <sheetData sheetId="8">
        <row r="5">
          <cell r="B5">
            <v>2.2538474180891058E-2</v>
          </cell>
          <cell r="C5">
            <v>2.4848330214889153E-2</v>
          </cell>
          <cell r="D5">
            <v>2.7790290201159265E-2</v>
          </cell>
          <cell r="E5">
            <v>3.2097425243469521E-2</v>
          </cell>
          <cell r="F5">
            <v>3.0893291573587764E-2</v>
          </cell>
          <cell r="G5">
            <v>8.4930683655513373E-2</v>
          </cell>
          <cell r="H5">
            <v>8.4135340249659907E-2</v>
          </cell>
          <cell r="I5">
            <v>8.6029479528994091E-2</v>
          </cell>
          <cell r="J5">
            <v>8.6742937166773754E-2</v>
          </cell>
          <cell r="K5">
            <v>8.2822132867073142E-2</v>
          </cell>
          <cell r="L5">
            <v>0.13088292112909936</v>
          </cell>
          <cell r="M5">
            <v>0.11923922011863398</v>
          </cell>
          <cell r="N5">
            <v>0.11787989625868241</v>
          </cell>
          <cell r="O5">
            <v>0.10332415022336962</v>
          </cell>
          <cell r="P5">
            <v>0.10253835327550193</v>
          </cell>
        </row>
        <row r="6">
          <cell r="B6">
            <v>1.3429948980665194E-2</v>
          </cell>
          <cell r="C6">
            <v>1.1970975291488582E-2</v>
          </cell>
          <cell r="D6">
            <v>1.4623175348691888E-2</v>
          </cell>
          <cell r="E6">
            <v>1.9454283979339921E-2</v>
          </cell>
          <cell r="F6">
            <v>2.1157052022746963E-2</v>
          </cell>
          <cell r="G6">
            <v>3.2019624874468793E-2</v>
          </cell>
          <cell r="H6">
            <v>2.577599399079961E-2</v>
          </cell>
          <cell r="I6">
            <v>3.3073189306848563E-2</v>
          </cell>
          <cell r="J6">
            <v>4.1811736675901344E-2</v>
          </cell>
          <cell r="K6">
            <v>3.8460392010871702E-2</v>
          </cell>
          <cell r="L6">
            <v>5.7736576343163752E-2</v>
          </cell>
          <cell r="M6">
            <v>5.5635054832405516E-2</v>
          </cell>
          <cell r="N6">
            <v>5.2823771706224286E-2</v>
          </cell>
          <cell r="O6">
            <v>4.5786842792142436E-2</v>
          </cell>
          <cell r="P6">
            <v>4.6310986424506345E-2</v>
          </cell>
        </row>
        <row r="7">
          <cell r="B7">
            <v>7.5437814339147036E-2</v>
          </cell>
          <cell r="C7">
            <v>7.5128228081867005E-2</v>
          </cell>
          <cell r="D7">
            <v>0.10526362633059193</v>
          </cell>
          <cell r="E7">
            <v>0.11975409375627789</v>
          </cell>
          <cell r="F7">
            <v>0.14151469326030963</v>
          </cell>
          <cell r="G7">
            <v>0.16282511275958067</v>
          </cell>
          <cell r="H7">
            <v>0.11971859026431543</v>
          </cell>
          <cell r="I7">
            <v>0.16078237234999729</v>
          </cell>
          <cell r="J7">
            <v>0.21164743310800888</v>
          </cell>
          <cell r="K7">
            <v>0.18842302695013438</v>
          </cell>
          <cell r="L7">
            <v>0.26402700295766679</v>
          </cell>
          <cell r="M7">
            <v>0.24232023655422719</v>
          </cell>
          <cell r="N7">
            <v>0.21064614417384231</v>
          </cell>
          <cell r="O7">
            <v>0.16565695250136281</v>
          </cell>
          <cell r="P7">
            <v>0.173471579604598</v>
          </cell>
        </row>
        <row r="13">
          <cell r="B13">
            <v>5.0000000000000001E-4</v>
          </cell>
          <cell r="C13">
            <v>1.8E-3</v>
          </cell>
          <cell r="D13">
            <v>1.4E-3</v>
          </cell>
          <cell r="E13">
            <v>8.0000000000000004E-4</v>
          </cell>
          <cell r="F13">
            <v>1E-3</v>
          </cell>
          <cell r="G13">
            <v>6.4999999999999997E-3</v>
          </cell>
          <cell r="H13">
            <v>7.4999999999999997E-3</v>
          </cell>
          <cell r="I13">
            <v>6.7999999999999996E-3</v>
          </cell>
          <cell r="J13">
            <v>3.3999999999999998E-3</v>
          </cell>
          <cell r="K13">
            <v>3.7000000000000002E-3</v>
          </cell>
          <cell r="L13">
            <v>1.9599999999999999E-2</v>
          </cell>
          <cell r="M13">
            <v>7.7999999999999996E-3</v>
          </cell>
          <cell r="N13">
            <v>2.7099999999999999E-2</v>
          </cell>
          <cell r="O13">
            <v>3.4500000000000003E-2</v>
          </cell>
          <cell r="P13">
            <v>2.93E-2</v>
          </cell>
        </row>
        <row r="14">
          <cell r="B14">
            <v>0.27434807925960686</v>
          </cell>
          <cell r="C14">
            <v>0.30940575542582188</v>
          </cell>
          <cell r="D14">
            <v>0.23783017214331076</v>
          </cell>
          <cell r="E14">
            <v>5.5088147440689725E-2</v>
          </cell>
          <cell r="F14">
            <v>0.21059069428725452</v>
          </cell>
          <cell r="G14">
            <v>0.15061368387264573</v>
          </cell>
          <cell r="H14">
            <v>5.0828447848043322E-2</v>
          </cell>
          <cell r="I14">
            <v>6.1862260723292498E-2</v>
          </cell>
          <cell r="J14">
            <v>-0.15381623065335404</v>
          </cell>
          <cell r="K14">
            <v>2.8635368360482236E-2</v>
          </cell>
          <cell r="L14">
            <v>2.780904847141678E-2</v>
          </cell>
          <cell r="M14">
            <v>0.15671010525378304</v>
          </cell>
          <cell r="N14">
            <v>0</v>
          </cell>
          <cell r="O14">
            <v>0</v>
          </cell>
          <cell r="P14">
            <v>0.12051852190609448</v>
          </cell>
        </row>
        <row r="16">
          <cell r="B16">
            <v>0.25151808450317781</v>
          </cell>
          <cell r="C16">
            <v>0.213339630230369</v>
          </cell>
          <cell r="D16">
            <v>0.19717899616569698</v>
          </cell>
          <cell r="E16">
            <v>0.22971673193287837</v>
          </cell>
          <cell r="F16">
            <v>0.21282128225027869</v>
          </cell>
          <cell r="G16">
            <v>0.25008868432486586</v>
          </cell>
          <cell r="H16">
            <v>0.28308509377329993</v>
          </cell>
          <cell r="I16">
            <v>0.27222452419575971</v>
          </cell>
          <cell r="J16">
            <v>0.24971485513132299</v>
          </cell>
          <cell r="K16">
            <v>0.22517135895828605</v>
          </cell>
          <cell r="L16">
            <v>0</v>
          </cell>
          <cell r="M16">
            <v>0</v>
          </cell>
          <cell r="N16">
            <v>0</v>
          </cell>
          <cell r="O16">
            <v>0</v>
          </cell>
          <cell r="P16">
            <v>0</v>
          </cell>
        </row>
        <row r="17">
          <cell r="B17">
            <v>0.24478118782289776</v>
          </cell>
          <cell r="C17">
            <v>0.20698535935876916</v>
          </cell>
          <cell r="D17">
            <v>0.18956167044920097</v>
          </cell>
          <cell r="E17">
            <v>0.22188130082186408</v>
          </cell>
          <cell r="F17">
            <v>0.2067456260767965</v>
          </cell>
          <cell r="G17">
            <v>0.21270688870780605</v>
          </cell>
          <cell r="H17">
            <v>0.25112126484026992</v>
          </cell>
          <cell r="I17">
            <v>0.24751503970899003</v>
          </cell>
          <cell r="J17">
            <v>0.23204776426059956</v>
          </cell>
          <cell r="K17">
            <v>0.2151234087530107</v>
          </cell>
          <cell r="L17">
            <v>0</v>
          </cell>
          <cell r="M17">
            <v>0</v>
          </cell>
          <cell r="N17">
            <v>0</v>
          </cell>
          <cell r="O17">
            <v>0</v>
          </cell>
          <cell r="P17">
            <v>0</v>
          </cell>
        </row>
        <row r="18">
          <cell r="B18">
            <v>0</v>
          </cell>
          <cell r="C18">
            <v>0</v>
          </cell>
          <cell r="D18">
            <v>0</v>
          </cell>
          <cell r="E18">
            <v>0</v>
          </cell>
          <cell r="F18">
            <v>0.09</v>
          </cell>
          <cell r="G18">
            <v>0.19600000000000001</v>
          </cell>
          <cell r="H18">
            <v>0.23599999999999999</v>
          </cell>
          <cell r="I18">
            <v>0.23799999999999999</v>
          </cell>
          <cell r="J18">
            <v>0.23200000000000001</v>
          </cell>
          <cell r="K18">
            <v>0.22700000000000001</v>
          </cell>
          <cell r="L18">
            <v>0.24299859727325043</v>
          </cell>
          <cell r="M18">
            <v>0.2631414317274679</v>
          </cell>
          <cell r="N18">
            <v>0.29098575493609385</v>
          </cell>
          <cell r="O18">
            <v>0.31011667366793672</v>
          </cell>
          <cell r="P18">
            <v>0.29607880971069916</v>
          </cell>
        </row>
        <row r="22">
          <cell r="B22">
            <v>0</v>
          </cell>
          <cell r="C22">
            <v>0</v>
          </cell>
          <cell r="D22">
            <v>1.0835387664346481</v>
          </cell>
          <cell r="E22">
            <v>0.32288722967546185</v>
          </cell>
          <cell r="F22">
            <v>0.35654287184875061</v>
          </cell>
          <cell r="G22">
            <v>0</v>
          </cell>
          <cell r="H22">
            <v>0.2577381936111251</v>
          </cell>
          <cell r="I22">
            <v>0.33453993963117645</v>
          </cell>
          <cell r="J22">
            <v>0.60797660934139763</v>
          </cell>
          <cell r="K22">
            <v>0.65003216027486865</v>
          </cell>
          <cell r="L22">
            <v>1.3037628093801192</v>
          </cell>
          <cell r="M22">
            <v>0.94309973277773207</v>
          </cell>
          <cell r="N22">
            <v>0.81816652955593261</v>
          </cell>
          <cell r="O22">
            <v>0.97542976323511477</v>
          </cell>
          <cell r="P22">
            <v>0.56487287542868281</v>
          </cell>
        </row>
      </sheetData>
      <sheetData sheetId="9"/>
      <sheetData sheetId="10">
        <row r="6">
          <cell r="B6">
            <v>1.1969000000000001</v>
          </cell>
          <cell r="C6">
            <v>1.0147999999999999</v>
          </cell>
          <cell r="D6">
            <v>1.0835999999999999</v>
          </cell>
          <cell r="E6">
            <v>1.4097</v>
          </cell>
          <cell r="F6">
            <v>1.4239999999999999</v>
          </cell>
          <cell r="G6">
            <v>1.5570999999999999</v>
          </cell>
          <cell r="H6">
            <v>0.7621</v>
          </cell>
        </row>
        <row r="8">
          <cell r="B8">
            <v>4.1502958941162432E-2</v>
          </cell>
          <cell r="C8">
            <v>4.1705330950030511E-2</v>
          </cell>
          <cell r="D8">
            <v>3.9663315166596512E-2</v>
          </cell>
          <cell r="E8">
            <v>4.0327736954524462E-2</v>
          </cell>
          <cell r="F8">
            <v>9.7882077739428683E-2</v>
          </cell>
          <cell r="G8">
            <v>0.12472954744132642</v>
          </cell>
          <cell r="H8">
            <v>0.10686095219356095</v>
          </cell>
        </row>
      </sheetData>
      <sheetData sheetId="11">
        <row r="5">
          <cell r="D5">
            <v>1113076.3431270414</v>
          </cell>
          <cell r="E5">
            <v>1239765.2739794801</v>
          </cell>
          <cell r="F5">
            <v>1380873.7774871453</v>
          </cell>
          <cell r="G5">
            <v>1538043.0710331206</v>
          </cell>
          <cell r="H5">
            <v>1713101.1732714393</v>
          </cell>
          <cell r="I5">
            <v>1908084.1656096801</v>
          </cell>
          <cell r="M5">
            <v>3071660.5237216875</v>
          </cell>
          <cell r="R5">
            <v>7551755.8745385045</v>
          </cell>
          <cell r="V5">
            <v>1415710.2588467074</v>
          </cell>
          <cell r="AA5">
            <v>2527297.2043580995</v>
          </cell>
          <cell r="AE5">
            <v>4154046.7403928745</v>
          </cell>
          <cell r="AJ5">
            <v>6620886.8789592348</v>
          </cell>
          <cell r="AN5">
            <v>97673.659974016409</v>
          </cell>
          <cell r="AO5">
            <v>120303.32440386471</v>
          </cell>
          <cell r="AP5">
            <v>148175.97565681121</v>
          </cell>
          <cell r="AQ5">
            <v>182506.34278517554</v>
          </cell>
          <cell r="AR5">
            <v>224790.59111421416</v>
          </cell>
          <cell r="AS5">
            <v>276871.52721566829</v>
          </cell>
          <cell r="AW5">
            <v>385704.45108491846</v>
          </cell>
          <cell r="AX5">
            <v>455933.09598467493</v>
          </cell>
          <cell r="AY5">
            <v>538948.89579172654</v>
          </cell>
          <cell r="AZ5">
            <v>637080.12169593538</v>
          </cell>
          <cell r="BA5">
            <v>753078.97396074119</v>
          </cell>
          <cell r="BB5">
            <v>890198.77046554699</v>
          </cell>
          <cell r="BF5">
            <v>999866.04930453282</v>
          </cell>
          <cell r="BG5">
            <v>1133648.0184309967</v>
          </cell>
          <cell r="BH5">
            <v>1285330.0005400025</v>
          </cell>
          <cell r="BI5">
            <v>1457307.0154303117</v>
          </cell>
          <cell r="BJ5">
            <v>1652294.5362904153</v>
          </cell>
          <cell r="BK5">
            <v>1873371.3663273796</v>
          </cell>
        </row>
        <row r="6">
          <cell r="AN6">
            <v>2699.0711662809485</v>
          </cell>
          <cell r="AO6">
            <v>3324.4094077420104</v>
          </cell>
          <cell r="AP6">
            <v>4094.6300521270527</v>
          </cell>
          <cell r="AQ6">
            <v>5043.3003903600766</v>
          </cell>
          <cell r="AR6">
            <v>6211.7648001419193</v>
          </cell>
          <cell r="AS6">
            <v>7650.9465916479448</v>
          </cell>
          <cell r="AW6">
            <v>32758.694677377429</v>
          </cell>
          <cell r="AX6">
            <v>38723.362000779853</v>
          </cell>
          <cell r="AY6">
            <v>45774.069431373537</v>
          </cell>
          <cell r="AZ6">
            <v>54108.561964893648</v>
          </cell>
          <cell r="BA6">
            <v>63960.589789774429</v>
          </cell>
          <cell r="BB6">
            <v>75606.464073284078</v>
          </cell>
          <cell r="BF6">
            <v>114757.53429018313</v>
          </cell>
          <cell r="BG6">
            <v>130112.07995169147</v>
          </cell>
          <cell r="BH6">
            <v>147521.06216004284</v>
          </cell>
          <cell r="BI6">
            <v>167259.36430274017</v>
          </cell>
          <cell r="BJ6">
            <v>189638.64913476864</v>
          </cell>
          <cell r="BK6">
            <v>215012.27985398192</v>
          </cell>
        </row>
        <row r="8">
          <cell r="D8">
            <v>86510.209591432169</v>
          </cell>
          <cell r="E8">
            <v>97760.527157166594</v>
          </cell>
          <cell r="F8">
            <v>110536.23905754853</v>
          </cell>
          <cell r="G8">
            <v>125050.62262987698</v>
          </cell>
          <cell r="H8">
            <v>141547.41612594799</v>
          </cell>
          <cell r="I8">
            <v>160305.23095632804</v>
          </cell>
          <cell r="M8">
            <v>322579.03726990544</v>
          </cell>
          <cell r="N8">
            <v>412796.9389600954</v>
          </cell>
          <cell r="O8">
            <v>531906.6750605742</v>
          </cell>
          <cell r="P8">
            <v>689986.14179837157</v>
          </cell>
          <cell r="Q8">
            <v>900791.12977349851</v>
          </cell>
          <cell r="R8">
            <v>1183126.957374325</v>
          </cell>
          <cell r="V8">
            <v>178387.82998757449</v>
          </cell>
          <cell r="W8">
            <v>197195.76538546989</v>
          </cell>
          <cell r="X8">
            <v>218724.97078884928</v>
          </cell>
          <cell r="Y8">
            <v>243407.1892042929</v>
          </cell>
          <cell r="Z8">
            <v>271744.08776030689</v>
          </cell>
          <cell r="AA8">
            <v>304318.63124557206</v>
          </cell>
          <cell r="AE8">
            <v>368705.0113425405</v>
          </cell>
          <cell r="AF8">
            <v>406003.47632396268</v>
          </cell>
          <cell r="AG8">
            <v>447082.81850027276</v>
          </cell>
          <cell r="AH8">
            <v>492327.07420673873</v>
          </cell>
          <cell r="AI8">
            <v>542159.36524411011</v>
          </cell>
          <cell r="AJ8">
            <v>597045.88456818729</v>
          </cell>
          <cell r="AN8">
            <v>3130.5904985818297</v>
          </cell>
          <cell r="AO8">
            <v>3772.7275349826473</v>
          </cell>
          <cell r="AP8">
            <v>4560.4009415582823</v>
          </cell>
          <cell r="AQ8">
            <v>5527.203467794895</v>
          </cell>
          <cell r="AR8">
            <v>6714.5059410424001</v>
          </cell>
          <cell r="AS8">
            <v>8173.259150794589</v>
          </cell>
          <cell r="AW8">
            <v>40392.275745855201</v>
          </cell>
          <cell r="AX8">
            <v>47451.993742223669</v>
          </cell>
          <cell r="AY8">
            <v>55754.838796928147</v>
          </cell>
          <cell r="AZ8">
            <v>65521.090306009763</v>
          </cell>
          <cell r="BA8">
            <v>77010.265457692352</v>
          </cell>
          <cell r="BB8">
            <v>90528.138740616807</v>
          </cell>
          <cell r="BF8">
            <v>121936.10218944657</v>
          </cell>
          <cell r="BG8">
            <v>138463.52452090735</v>
          </cell>
          <cell r="BH8">
            <v>157237.01489204139</v>
          </cell>
          <cell r="BI8">
            <v>178562.76657142013</v>
          </cell>
          <cell r="BJ8">
            <v>202788.86778772809</v>
          </cell>
          <cell r="BK8">
            <v>230311.05862077858</v>
          </cell>
        </row>
        <row r="11">
          <cell r="D11">
            <v>8122.4465986743571</v>
          </cell>
          <cell r="E11">
            <v>1630.093567255383</v>
          </cell>
          <cell r="F11">
            <v>1815.6287396630926</v>
          </cell>
          <cell r="G11">
            <v>2022.2812889452614</v>
          </cell>
          <cell r="H11">
            <v>2252.4547680254159</v>
          </cell>
          <cell r="I11">
            <v>2508.8262991577135</v>
          </cell>
          <cell r="M11">
            <v>5458.7106519711251</v>
          </cell>
          <cell r="N11">
            <v>5374.4409442238375</v>
          </cell>
          <cell r="O11">
            <v>6433.8101314209471</v>
          </cell>
          <cell r="P11">
            <v>7701.9941677213465</v>
          </cell>
          <cell r="Q11">
            <v>9220.1530582799987</v>
          </cell>
          <cell r="R11">
            <v>11037.559957444204</v>
          </cell>
          <cell r="V11">
            <v>4169.3370600386797</v>
          </cell>
          <cell r="W11">
            <v>1003.1001904286719</v>
          </cell>
          <cell r="X11">
            <v>1126.3690288823861</v>
          </cell>
          <cell r="Y11">
            <v>1264.7861114284872</v>
          </cell>
          <cell r="Z11">
            <v>1420.2129734068053</v>
          </cell>
          <cell r="AA11">
            <v>1594.7399102563927</v>
          </cell>
          <cell r="AE11">
            <v>16009.072292137453</v>
          </cell>
          <cell r="AF11">
            <v>3293.3565489881539</v>
          </cell>
          <cell r="AG11">
            <v>3615.1615485868601</v>
          </cell>
          <cell r="AH11">
            <v>3968.4112023632492</v>
          </cell>
          <cell r="AI11">
            <v>4356.1780737566341</v>
          </cell>
          <cell r="AJ11">
            <v>4781.8349567648984</v>
          </cell>
          <cell r="AN11">
            <v>53.948046420331444</v>
          </cell>
          <cell r="AO11">
            <v>66.447078272549831</v>
          </cell>
          <cell r="AP11">
            <v>81.84196655718749</v>
          </cell>
          <cell r="AQ11">
            <v>100.80364199722641</v>
          </cell>
          <cell r="AR11">
            <v>124.15848087917922</v>
          </cell>
          <cell r="AS11">
            <v>152.92431968529138</v>
          </cell>
          <cell r="AW11">
            <v>144.69452078894295</v>
          </cell>
          <cell r="AX11">
            <v>171.04034099102785</v>
          </cell>
          <cell r="AY11">
            <v>202.18317934097357</v>
          </cell>
          <cell r="AZ11">
            <v>238.99647166026514</v>
          </cell>
          <cell r="BA11">
            <v>282.51268801014629</v>
          </cell>
          <cell r="BB11">
            <v>333.9522894721789</v>
          </cell>
          <cell r="BF11">
            <v>573.3940133702996</v>
          </cell>
          <cell r="BG11">
            <v>650.11407026928214</v>
          </cell>
          <cell r="BH11">
            <v>737.09926247371811</v>
          </cell>
          <cell r="BI11">
            <v>835.72306397591706</v>
          </cell>
          <cell r="BJ11">
            <v>947.54271943963329</v>
          </cell>
          <cell r="BK11">
            <v>1074.3238326960047</v>
          </cell>
        </row>
        <row r="14">
          <cell r="D14">
            <v>26450.450082333453</v>
          </cell>
          <cell r="E14">
            <v>34713.369050721674</v>
          </cell>
          <cell r="F14">
            <v>38340.122318173781</v>
          </cell>
          <cell r="G14">
            <v>42350.052180478684</v>
          </cell>
          <cell r="H14">
            <v>46783.317540727912</v>
          </cell>
          <cell r="I14">
            <v>51684.106101196587</v>
          </cell>
          <cell r="M14">
            <v>82628.654285693992</v>
          </cell>
          <cell r="N14">
            <v>94913.598853867443</v>
          </cell>
          <cell r="O14">
            <v>108199.58645988026</v>
          </cell>
          <cell r="P14">
            <v>123663.11313525234</v>
          </cell>
          <cell r="Q14">
            <v>141977.34992507857</v>
          </cell>
          <cell r="R14">
            <v>164160.1659233559</v>
          </cell>
          <cell r="V14">
            <v>52473.032651342655</v>
          </cell>
          <cell r="W14">
            <v>63887.541905793521</v>
          </cell>
          <cell r="X14">
            <v>74552.19086281216</v>
          </cell>
          <cell r="Y14">
            <v>87219.295613881462</v>
          </cell>
          <cell r="Z14">
            <v>102240.5487189046</v>
          </cell>
          <cell r="AA14">
            <v>120026.86616837833</v>
          </cell>
          <cell r="AE14">
            <v>65752.222358490893</v>
          </cell>
          <cell r="AF14">
            <v>78715.148775338923</v>
          </cell>
          <cell r="AG14">
            <v>81703.994020219237</v>
          </cell>
          <cell r="AH14">
            <v>84386.945375224182</v>
          </cell>
          <cell r="AI14">
            <v>86658.405363091806</v>
          </cell>
          <cell r="AJ14">
            <v>88392.907097402698</v>
          </cell>
          <cell r="AN14">
            <v>1973.3077313684844</v>
          </cell>
          <cell r="AO14">
            <v>2376.9939125370647</v>
          </cell>
          <cell r="AP14">
            <v>2872.1258946276339</v>
          </cell>
          <cell r="AQ14">
            <v>3479.8093484565752</v>
          </cell>
          <cell r="AR14">
            <v>4226.0366864655471</v>
          </cell>
          <cell r="AS14">
            <v>5142.8191317041001</v>
          </cell>
          <cell r="AW14">
            <v>19512.44148055806</v>
          </cell>
          <cell r="AX14">
            <v>22922.014361005356</v>
          </cell>
          <cell r="AY14">
            <v>26931.851785541548</v>
          </cell>
          <cell r="AZ14">
            <v>31648.301797394175</v>
          </cell>
          <cell r="BA14">
            <v>37196.653355654264</v>
          </cell>
          <cell r="BB14">
            <v>43724.524422315648</v>
          </cell>
          <cell r="BF14">
            <v>70110.224540334835</v>
          </cell>
          <cell r="BG14">
            <v>79613.82846189657</v>
          </cell>
          <cell r="BH14">
            <v>90409.087715849499</v>
          </cell>
          <cell r="BI14">
            <v>102672.10547967436</v>
          </cell>
          <cell r="BJ14">
            <v>116603.08339549002</v>
          </cell>
          <cell r="BK14">
            <v>132429.63349700524</v>
          </cell>
        </row>
        <row r="16">
          <cell r="D16">
            <v>33013.844337148046</v>
          </cell>
          <cell r="E16">
            <v>36771.438026231386</v>
          </cell>
          <cell r="F16">
            <v>40956.716240268732</v>
          </cell>
          <cell r="G16">
            <v>45618.35748684236</v>
          </cell>
          <cell r="H16">
            <v>50810.580799230891</v>
          </cell>
          <cell r="I16">
            <v>56593.776351983113</v>
          </cell>
          <cell r="L16">
            <v>1.222E-2</v>
          </cell>
          <cell r="M16">
            <v>37535.691599879021</v>
          </cell>
          <cell r="N16">
            <v>44934.443491232771</v>
          </cell>
          <cell r="O16">
            <v>53791.581447064607</v>
          </cell>
          <cell r="P16">
            <v>64394.571508173838</v>
          </cell>
          <cell r="Q16">
            <v>77087.542849097561</v>
          </cell>
          <cell r="R16">
            <v>92282.456786860523</v>
          </cell>
          <cell r="U16">
            <v>3.04E-2</v>
          </cell>
          <cell r="V16">
            <v>43037.591868939904</v>
          </cell>
          <cell r="W16">
            <v>48326.389548523803</v>
          </cell>
          <cell r="X16">
            <v>54265.116271088344</v>
          </cell>
          <cell r="Y16">
            <v>60933.640427617829</v>
          </cell>
          <cell r="Z16">
            <v>68421.645264960112</v>
          </cell>
          <cell r="AA16">
            <v>76829.835012486219</v>
          </cell>
          <cell r="AD16">
            <v>3.1579999999999997E-2</v>
          </cell>
          <cell r="AE16">
            <v>131184.79606160696</v>
          </cell>
          <cell r="AF16">
            <v>144003.30587553311</v>
          </cell>
          <cell r="AG16">
            <v>158074.35560858643</v>
          </cell>
          <cell r="AH16">
            <v>173520.33516971738</v>
          </cell>
          <cell r="AI16">
            <v>190475.59359954498</v>
          </cell>
          <cell r="AJ16">
            <v>209087.60763753261</v>
          </cell>
          <cell r="AM16">
            <v>2.5399999999999997E-3</v>
          </cell>
          <cell r="AN16">
            <v>248.09109633400166</v>
          </cell>
          <cell r="AO16">
            <v>305.57044398581633</v>
          </cell>
          <cell r="AP16">
            <v>376.36697816830042</v>
          </cell>
          <cell r="AQ16">
            <v>463.56611067434585</v>
          </cell>
          <cell r="AR16">
            <v>570.96810143010384</v>
          </cell>
          <cell r="AS16">
            <v>703.25367912779734</v>
          </cell>
          <cell r="AV16">
            <v>1.358E-2</v>
          </cell>
          <cell r="AW16">
            <v>5237.8664457331924</v>
          </cell>
          <cell r="AX16">
            <v>6191.5714434718857</v>
          </cell>
          <cell r="AY16">
            <v>7318.9260048516462</v>
          </cell>
          <cell r="AZ16">
            <v>8651.548052630802</v>
          </cell>
          <cell r="BA16">
            <v>10226.812466386866</v>
          </cell>
          <cell r="BB16">
            <v>12088.899302922127</v>
          </cell>
          <cell r="BE16">
            <v>9.4000000000000004E-3</v>
          </cell>
          <cell r="BF16">
            <v>9398.7408634626081</v>
          </cell>
          <cell r="BG16">
            <v>10656.29137325137</v>
          </cell>
          <cell r="BH16">
            <v>12082.102005076023</v>
          </cell>
          <cell r="BI16">
            <v>13698.68594504493</v>
          </cell>
          <cell r="BJ16">
            <v>15531.568641129905</v>
          </cell>
          <cell r="BK16">
            <v>17609.690843477369</v>
          </cell>
        </row>
        <row r="21">
          <cell r="D21">
            <v>212620.63380357687</v>
          </cell>
          <cell r="E21">
            <v>246791.294571726</v>
          </cell>
          <cell r="F21">
            <v>284532.00800202967</v>
          </cell>
          <cell r="G21">
            <v>326219.96011229791</v>
          </cell>
          <cell r="H21">
            <v>372271.86797975336</v>
          </cell>
          <cell r="I21">
            <v>423147.94555403019</v>
          </cell>
          <cell r="M21">
            <v>605113.41730662482</v>
          </cell>
          <cell r="N21">
            <v>689373.68607372313</v>
          </cell>
          <cell r="O21">
            <v>785428.69131733582</v>
          </cell>
          <cell r="P21">
            <v>895211.55989652954</v>
          </cell>
          <cell r="Q21">
            <v>1021253.0313820458</v>
          </cell>
          <cell r="R21">
            <v>1166987.4663690696</v>
          </cell>
          <cell r="V21">
            <v>361276.1668567693</v>
          </cell>
          <cell r="W21">
            <v>419714.01041341817</v>
          </cell>
          <cell r="X21">
            <v>487906.79317645897</v>
          </cell>
          <cell r="Y21">
            <v>567686.15860768582</v>
          </cell>
          <cell r="Z21">
            <v>661205.44285235764</v>
          </cell>
          <cell r="AA21">
            <v>770993.84632678318</v>
          </cell>
          <cell r="AE21">
            <v>470125.3365309388</v>
          </cell>
          <cell r="AF21">
            <v>536379.73601434287</v>
          </cell>
          <cell r="AG21">
            <v>605149.8411773938</v>
          </cell>
          <cell r="AH21">
            <v>676178.18168185768</v>
          </cell>
          <cell r="AI21">
            <v>749118.40598236537</v>
          </cell>
          <cell r="AJ21">
            <v>823518.55728037737</v>
          </cell>
          <cell r="AN21">
            <v>14206.807731368484</v>
          </cell>
          <cell r="AO21">
            <v>2377.2079035659708</v>
          </cell>
          <cell r="AP21">
            <v>18630.435368362836</v>
          </cell>
          <cell r="AQ21">
            <v>22889.105746068621</v>
          </cell>
          <cell r="AR21">
            <v>28132.2042406849</v>
          </cell>
          <cell r="AS21">
            <v>34587.72199797818</v>
          </cell>
          <cell r="AW21">
            <v>97199.10338459925</v>
          </cell>
          <cell r="AX21">
            <v>114769.11902135859</v>
          </cell>
          <cell r="AY21">
            <v>135519.91773063838</v>
          </cell>
          <cell r="AZ21">
            <v>160028.0212271818</v>
          </cell>
          <cell r="BA21">
            <v>188974.54613442949</v>
          </cell>
          <cell r="BB21">
            <v>223164.19435311409</v>
          </cell>
          <cell r="BF21">
            <v>325720.60961471032</v>
          </cell>
          <cell r="BG21">
            <v>369400.50504506857</v>
          </cell>
          <cell r="BH21">
            <v>418940.8614098159</v>
          </cell>
          <cell r="BI21">
            <v>475128.43755032378</v>
          </cell>
          <cell r="BJ21">
            <v>538855.69022842776</v>
          </cell>
          <cell r="BK21">
            <v>611134.9866991915</v>
          </cell>
        </row>
      </sheetData>
      <sheetData sheetId="12">
        <row r="2">
          <cell r="M2">
            <v>0.10845284340510614</v>
          </cell>
        </row>
        <row r="3">
          <cell r="M3">
            <v>0.12660997794714582</v>
          </cell>
        </row>
        <row r="4">
          <cell r="M4">
            <v>0.16098068852918873</v>
          </cell>
        </row>
        <row r="5">
          <cell r="M5">
            <v>4.6917985415958194E-2</v>
          </cell>
        </row>
        <row r="6">
          <cell r="M6">
            <v>0.21033738600177054</v>
          </cell>
        </row>
        <row r="7">
          <cell r="M7">
            <v>0.21109734352003837</v>
          </cell>
        </row>
        <row r="8">
          <cell r="M8">
            <v>0.1824223667718893</v>
          </cell>
        </row>
      </sheetData>
      <sheetData sheetId="13">
        <row r="4">
          <cell r="C4">
            <v>8.5077000000000014E-2</v>
          </cell>
          <cell r="D4">
            <v>7.278525000000001E-2</v>
          </cell>
          <cell r="E4">
            <v>7.7429250000000005E-2</v>
          </cell>
          <cell r="F4">
            <v>9.9441000000000002E-2</v>
          </cell>
          <cell r="G4">
            <v>0.10040624999999999</v>
          </cell>
          <cell r="H4">
            <v>0.10939050000000002</v>
          </cell>
          <cell r="I4">
            <v>5.5728000000000007E-2</v>
          </cell>
        </row>
        <row r="6">
          <cell r="C6">
            <v>0.14577999999999999</v>
          </cell>
          <cell r="D6">
            <v>0.1653</v>
          </cell>
          <cell r="E6">
            <v>0.17199999999999999</v>
          </cell>
          <cell r="F6">
            <v>0.10724</v>
          </cell>
          <cell r="G6">
            <v>0.21399102890590571</v>
          </cell>
          <cell r="H6">
            <v>0.23170287325413524</v>
          </cell>
          <cell r="I6">
            <v>0.28066425346308965</v>
          </cell>
        </row>
        <row r="7">
          <cell r="C7">
            <v>0.85421999999999998</v>
          </cell>
          <cell r="D7">
            <v>0.8347</v>
          </cell>
          <cell r="E7">
            <v>0.82800000000000007</v>
          </cell>
          <cell r="F7">
            <v>0.89276</v>
          </cell>
          <cell r="G7">
            <v>0.78600897109409429</v>
          </cell>
          <cell r="H7">
            <v>0.7682971267458647</v>
          </cell>
          <cell r="I7">
            <v>0.71933574653691035</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Basic info"/>
      <sheetName val="Balance Sheet "/>
      <sheetName val="Income Statement"/>
      <sheetName val="Cash Flow Statement"/>
      <sheetName val="Ratio Analysis"/>
      <sheetName val="WACC"/>
      <sheetName val="DCF"/>
      <sheetName val="Relative Model"/>
      <sheetName val="Calc"/>
    </sheetNames>
    <sheetDataSet>
      <sheetData sheetId="0" refreshError="1"/>
      <sheetData sheetId="1">
        <row r="9">
          <cell r="K9">
            <v>3857.68</v>
          </cell>
          <cell r="L9">
            <v>4177.5599999999995</v>
          </cell>
          <cell r="M9">
            <v>6243.4699999999993</v>
          </cell>
        </row>
        <row r="29">
          <cell r="AE29">
            <v>1040.231</v>
          </cell>
          <cell r="AF29">
            <v>1137.1176</v>
          </cell>
          <cell r="AG29">
            <v>1257.8906999999999</v>
          </cell>
          <cell r="AH29">
            <v>1413.8174999999999</v>
          </cell>
          <cell r="AI29">
            <v>1673.4388999999999</v>
          </cell>
        </row>
        <row r="31">
          <cell r="P31">
            <v>2606.8296999999998</v>
          </cell>
          <cell r="Q31">
            <v>2684.7471999999998</v>
          </cell>
          <cell r="R31">
            <v>3030.5573999999997</v>
          </cell>
          <cell r="S31">
            <v>3211.4976999999999</v>
          </cell>
          <cell r="T31">
            <v>3636.8233</v>
          </cell>
        </row>
        <row r="36">
          <cell r="C36">
            <v>11074.57</v>
          </cell>
          <cell r="D36">
            <v>12302.27</v>
          </cell>
          <cell r="E36">
            <v>13879.38</v>
          </cell>
          <cell r="F36">
            <v>16344.39</v>
          </cell>
        </row>
        <row r="40">
          <cell r="AA40">
            <v>29141.809999999998</v>
          </cell>
          <cell r="AB40">
            <v>34985.17</v>
          </cell>
        </row>
      </sheetData>
      <sheetData sheetId="2">
        <row r="22">
          <cell r="AA22">
            <v>612.7207999999996</v>
          </cell>
        </row>
        <row r="25">
          <cell r="T25">
            <v>357.2677000000001</v>
          </cell>
        </row>
        <row r="29">
          <cell r="I29">
            <v>4020</v>
          </cell>
        </row>
        <row r="30">
          <cell r="B30">
            <v>1845.43</v>
          </cell>
        </row>
        <row r="35">
          <cell r="AI35">
            <v>8364.0400000000009</v>
          </cell>
        </row>
      </sheetData>
      <sheetData sheetId="3">
        <row r="41">
          <cell r="M41">
            <v>-447.75</v>
          </cell>
        </row>
        <row r="42">
          <cell r="AA42">
            <v>-8.0185999999999993</v>
          </cell>
        </row>
        <row r="45">
          <cell r="T45">
            <v>-145.17410000000001</v>
          </cell>
        </row>
        <row r="48">
          <cell r="AI48">
            <v>-2541.35</v>
          </cell>
        </row>
        <row r="53">
          <cell r="F53">
            <v>-1462.09</v>
          </cell>
        </row>
      </sheetData>
      <sheetData sheetId="4">
        <row r="12">
          <cell r="C12">
            <v>1.1491904464146663</v>
          </cell>
          <cell r="D12">
            <v>1.1138342974113988</v>
          </cell>
          <cell r="E12">
            <v>1.1083073217765758</v>
          </cell>
          <cell r="F12">
            <v>1.1475227295050323</v>
          </cell>
          <cell r="G12">
            <v>1.208354122468474</v>
          </cell>
          <cell r="I12">
            <v>0.8170930045352508</v>
          </cell>
          <cell r="J12">
            <v>0.77928158758433075</v>
          </cell>
          <cell r="K12">
            <v>0.74767252463276201</v>
          </cell>
          <cell r="L12">
            <v>0.77582627895368028</v>
          </cell>
          <cell r="M12">
            <v>0.88691833430162581</v>
          </cell>
          <cell r="O12">
            <v>1.6060844265267937</v>
          </cell>
          <cell r="P12">
            <v>1.3891421599058462</v>
          </cell>
          <cell r="Q12">
            <v>1.4989140886345127</v>
          </cell>
          <cell r="R12">
            <v>2.6191268759751112</v>
          </cell>
          <cell r="S12">
            <v>2.4142126041176835</v>
          </cell>
          <cell r="U12">
            <v>1.0281675801038059</v>
          </cell>
          <cell r="V12">
            <v>0.84520106429844144</v>
          </cell>
          <cell r="W12">
            <v>0.74404999422916185</v>
          </cell>
          <cell r="X12">
            <v>0.76262675582462702</v>
          </cell>
          <cell r="Y12">
            <v>0.6458272629435533</v>
          </cell>
          <cell r="AA12">
            <v>0.70542483744120899</v>
          </cell>
          <cell r="AB12">
            <v>0.92614356872074499</v>
          </cell>
          <cell r="AC12">
            <v>1.224401279806127</v>
          </cell>
          <cell r="AD12">
            <v>1.2887368878269143</v>
          </cell>
          <cell r="AE12">
            <v>1.3709805521533363</v>
          </cell>
          <cell r="AF12">
            <v>1.5516161037753495</v>
          </cell>
        </row>
        <row r="14">
          <cell r="C14">
            <v>0</v>
          </cell>
          <cell r="D14">
            <v>2.275483382199038E-4</v>
          </cell>
          <cell r="E14">
            <v>4.2837622650128788E-3</v>
          </cell>
          <cell r="F14">
            <v>4.4195057704306678E-3</v>
          </cell>
          <cell r="G14">
            <v>3.8245538683303569E-3</v>
          </cell>
          <cell r="I14">
            <v>0</v>
          </cell>
          <cell r="J14">
            <v>0</v>
          </cell>
          <cell r="K14">
            <v>0</v>
          </cell>
          <cell r="L14">
            <v>0</v>
          </cell>
          <cell r="M14">
            <v>0</v>
          </cell>
          <cell r="O14">
            <v>4.1963615805052402E-3</v>
          </cell>
          <cell r="P14">
            <v>2.8724864672547198E-3</v>
          </cell>
          <cell r="Q14">
            <v>2.1537622088926615E-3</v>
          </cell>
          <cell r="R14">
            <v>1.6215175866387821E-3</v>
          </cell>
          <cell r="S14">
            <v>1.0286724680849907E-3</v>
          </cell>
          <cell r="U14">
            <v>0</v>
          </cell>
          <cell r="V14">
            <v>0</v>
          </cell>
          <cell r="W14">
            <v>8.9071331873270074E-3</v>
          </cell>
          <cell r="X14">
            <v>0.22075515404215892</v>
          </cell>
          <cell r="Y14">
            <v>3.9242902743565955E-2</v>
          </cell>
          <cell r="AA14">
            <v>0.44416961823974066</v>
          </cell>
          <cell r="AB14">
            <v>5.8834289687847454E-4</v>
          </cell>
          <cell r="AC14">
            <v>1.2890280417955695E-4</v>
          </cell>
          <cell r="AD14">
            <v>1.1240296760800971E-4</v>
          </cell>
          <cell r="AE14">
            <v>3.7746454321128306E-5</v>
          </cell>
          <cell r="AF14">
            <v>3.3156906197683189E-5</v>
          </cell>
        </row>
        <row r="15">
          <cell r="C15">
            <v>688.44444444444377</v>
          </cell>
          <cell r="D15">
            <v>482.69901315789474</v>
          </cell>
          <cell r="E15">
            <v>651.09278350515467</v>
          </cell>
          <cell r="F15">
            <v>269.43069641649765</v>
          </cell>
          <cell r="G15">
            <v>759.90883190883198</v>
          </cell>
          <cell r="I15">
            <v>79.413606911447033</v>
          </cell>
          <cell r="J15">
            <v>72.227272727272734</v>
          </cell>
          <cell r="K15">
            <v>107.91759776536314</v>
          </cell>
          <cell r="L15">
            <v>224.38461538461536</v>
          </cell>
          <cell r="M15">
            <v>480.73828125</v>
          </cell>
          <cell r="O15">
            <v>160.47204502008285</v>
          </cell>
          <cell r="P15">
            <v>88.119479656511984</v>
          </cell>
          <cell r="Q15">
            <v>218.12414216044155</v>
          </cell>
          <cell r="R15">
            <v>107.20833700731856</v>
          </cell>
          <cell r="S15">
            <v>267.72529949761673</v>
          </cell>
          <cell r="U15">
            <v>176.56004791853854</v>
          </cell>
          <cell r="V15">
            <v>85.363865235098032</v>
          </cell>
          <cell r="W15">
            <v>347.70789163721992</v>
          </cell>
          <cell r="X15">
            <v>48.096440199361197</v>
          </cell>
          <cell r="Y15">
            <v>42.858519305086517</v>
          </cell>
          <cell r="AA15">
            <v>12.056362279745167</v>
          </cell>
          <cell r="AB15">
            <v>17.47628969402324</v>
          </cell>
          <cell r="AC15">
            <v>90.772508591065261</v>
          </cell>
          <cell r="AD15">
            <v>113.24133172330518</v>
          </cell>
          <cell r="AE15">
            <v>318.60759887885399</v>
          </cell>
          <cell r="AF15">
            <v>1247.6255760368667</v>
          </cell>
        </row>
      </sheetData>
      <sheetData sheetId="5">
        <row r="5">
          <cell r="B5">
            <v>1.1859</v>
          </cell>
          <cell r="C5">
            <v>1.6472</v>
          </cell>
          <cell r="D5">
            <v>1.1955</v>
          </cell>
          <cell r="E5">
            <v>1.2905</v>
          </cell>
          <cell r="F5">
            <v>1.4472</v>
          </cell>
        </row>
        <row r="9">
          <cell r="B9">
            <v>0.15190986764952252</v>
          </cell>
          <cell r="C9">
            <v>0</v>
          </cell>
          <cell r="D9">
            <v>0.34412507010656201</v>
          </cell>
          <cell r="E9">
            <v>1.8060418717831303E-2</v>
          </cell>
          <cell r="F9">
            <v>3.2401890403388894E-2</v>
          </cell>
        </row>
        <row r="14">
          <cell r="B14">
            <v>2.0858198585071985E-4</v>
          </cell>
          <cell r="C14">
            <v>0</v>
          </cell>
          <cell r="D14">
            <v>6.7356682292296632E-5</v>
          </cell>
          <cell r="E14">
            <v>2.2408424240287772E-3</v>
          </cell>
          <cell r="F14">
            <v>3.7299639839005749E-6</v>
          </cell>
        </row>
        <row r="15">
          <cell r="B15">
            <v>0.15974470545303504</v>
          </cell>
          <cell r="C15">
            <v>0.19323671999999997</v>
          </cell>
          <cell r="D15">
            <v>0.16045567219463194</v>
          </cell>
          <cell r="E15">
            <v>0.16700578730896895</v>
          </cell>
          <cell r="F15">
            <v>0.17871617425095529</v>
          </cell>
        </row>
      </sheetData>
      <sheetData sheetId="6">
        <row r="4">
          <cell r="D4">
            <v>12077.153984228209</v>
          </cell>
          <cell r="E4">
            <v>13754.186707538172</v>
          </cell>
          <cell r="F4">
            <v>15664.092072757418</v>
          </cell>
          <cell r="G4">
            <v>17839.206757993677</v>
          </cell>
          <cell r="H4">
            <v>20316.357710123353</v>
          </cell>
          <cell r="I4">
            <v>23137.485663185951</v>
          </cell>
          <cell r="N4">
            <v>22991.570863058354</v>
          </cell>
          <cell r="O4">
            <v>25261.960358430177</v>
          </cell>
          <cell r="P4">
            <v>27756.548038928053</v>
          </cell>
          <cell r="Q4">
            <v>30497.473201054312</v>
          </cell>
          <cell r="R4">
            <v>33509.061369756193</v>
          </cell>
          <cell r="S4">
            <v>36818.040185810183</v>
          </cell>
          <cell r="X4">
            <v>2949.2512927154135</v>
          </cell>
          <cell r="Y4">
            <v>3184.8226627966105</v>
          </cell>
          <cell r="Z4">
            <v>3439.2102899187048</v>
          </cell>
          <cell r="AA4">
            <v>3713.9171221220595</v>
          </cell>
          <cell r="AB4">
            <v>4010.5661553825603</v>
          </cell>
          <cell r="AC4">
            <v>4330.9100224373351</v>
          </cell>
          <cell r="AH4">
            <v>4616.1960630447638</v>
          </cell>
          <cell r="AI4">
            <v>5474.7738070992136</v>
          </cell>
          <cell r="AJ4">
            <v>6493.0405532060186</v>
          </cell>
          <cell r="AK4">
            <v>7700.6972545439276</v>
          </cell>
          <cell r="AL4">
            <v>9132.9690181682163</v>
          </cell>
          <cell r="AM4">
            <v>10831.632556078264</v>
          </cell>
          <cell r="AR4">
            <v>36056.294995220873</v>
          </cell>
          <cell r="AS4">
            <v>38758.321014159585</v>
          </cell>
          <cell r="AT4">
            <v>41662.834410350712</v>
          </cell>
          <cell r="AU4">
            <v>44785.009404049422</v>
          </cell>
          <cell r="AV4">
            <v>48141.157357803291</v>
          </cell>
        </row>
        <row r="5">
          <cell r="D5">
            <v>3123.804923654197</v>
          </cell>
          <cell r="E5">
            <v>3956.2769921127929</v>
          </cell>
          <cell r="F5">
            <v>5010.5970189749687</v>
          </cell>
          <cell r="G5">
            <v>6345.8859267468279</v>
          </cell>
          <cell r="H5">
            <v>8037.0199484774457</v>
          </cell>
          <cell r="I5">
            <v>10178.829307342732</v>
          </cell>
          <cell r="N5">
            <v>6226.4904902368989</v>
          </cell>
          <cell r="O5">
            <v>7257.9992857938159</v>
          </cell>
          <cell r="P5">
            <v>8460.3925301392828</v>
          </cell>
          <cell r="Q5">
            <v>9861.9797199674122</v>
          </cell>
          <cell r="R5">
            <v>11495.760232232082</v>
          </cell>
          <cell r="S5">
            <v>13400.200271087688</v>
          </cell>
          <cell r="X5">
            <v>1035.9381925465232</v>
          </cell>
          <cell r="Y5">
            <v>1290.8884021501633</v>
          </cell>
          <cell r="Z5">
            <v>1608.5832907748163</v>
          </cell>
          <cell r="AA5">
            <v>2004.4646764584847</v>
          </cell>
          <cell r="AB5">
            <v>2497.7746954181657</v>
          </cell>
          <cell r="AC5">
            <v>3112.4910817057876</v>
          </cell>
          <cell r="AH5">
            <v>570.53011478865801</v>
          </cell>
          <cell r="AI5">
            <v>661.04373545700878</v>
          </cell>
          <cell r="AJ5">
            <v>765.91718624498242</v>
          </cell>
          <cell r="AK5">
            <v>887.42862948374875</v>
          </cell>
          <cell r="AL5">
            <v>1028.2176540369594</v>
          </cell>
          <cell r="AM5">
            <v>1191.3426149980087</v>
          </cell>
          <cell r="AR5">
            <v>12680.696931263852</v>
          </cell>
          <cell r="AS5">
            <v>14848.488664879964</v>
          </cell>
          <cell r="AT5">
            <v>17386.868941523891</v>
          </cell>
          <cell r="AU5">
            <v>20359.190649802873</v>
          </cell>
          <cell r="AV5">
            <v>23839.636987491533</v>
          </cell>
        </row>
        <row r="7">
          <cell r="D7">
            <v>2342.8536927406476</v>
          </cell>
          <cell r="E7">
            <v>2967.2077440845947</v>
          </cell>
          <cell r="F7">
            <v>3757.9477642312268</v>
          </cell>
          <cell r="G7">
            <v>4759.4144450601207</v>
          </cell>
          <cell r="H7">
            <v>6027.7649613580843</v>
          </cell>
          <cell r="I7">
            <v>7634.1219805070486</v>
          </cell>
          <cell r="N7">
            <v>4669.8678676776744</v>
          </cell>
          <cell r="O7">
            <v>5443.499464345362</v>
          </cell>
          <cell r="P7">
            <v>6345.2943976044626</v>
          </cell>
          <cell r="Q7">
            <v>7396.4847899755587</v>
          </cell>
          <cell r="R7">
            <v>8621.8201741740613</v>
          </cell>
          <cell r="S7">
            <v>10050.150203315767</v>
          </cell>
          <cell r="X7">
            <v>776.95364440989238</v>
          </cell>
          <cell r="Y7">
            <v>968.16630161262242</v>
          </cell>
          <cell r="Z7">
            <v>1206.4374680811122</v>
          </cell>
          <cell r="AA7">
            <v>1503.3485073438635</v>
          </cell>
          <cell r="AB7">
            <v>1873.3310215636243</v>
          </cell>
          <cell r="AC7">
            <v>2334.3683112793406</v>
          </cell>
          <cell r="AH7">
            <v>427.89758609149351</v>
          </cell>
          <cell r="AI7">
            <v>495.78280159275658</v>
          </cell>
          <cell r="AJ7">
            <v>574.43788968373678</v>
          </cell>
          <cell r="AK7">
            <v>665.57147211281153</v>
          </cell>
          <cell r="AL7">
            <v>771.16324052771961</v>
          </cell>
          <cell r="AM7">
            <v>893.50696124850651</v>
          </cell>
          <cell r="AR7">
            <v>9510.5226984478886</v>
          </cell>
          <cell r="AS7">
            <v>11136.366498659972</v>
          </cell>
          <cell r="AT7">
            <v>13040.151706142919</v>
          </cell>
          <cell r="AU7">
            <v>15269.392987352156</v>
          </cell>
          <cell r="AV7">
            <v>17879.727740618648</v>
          </cell>
        </row>
        <row r="8">
          <cell r="D8">
            <v>86.363579329992547</v>
          </cell>
          <cell r="E8">
            <v>89.722937984938255</v>
          </cell>
          <cell r="F8">
            <v>93.212968511755292</v>
          </cell>
          <cell r="G8">
            <v>96.838753766980346</v>
          </cell>
          <cell r="H8">
            <v>100.60557431940602</v>
          </cell>
          <cell r="I8">
            <v>104.51891614066503</v>
          </cell>
          <cell r="N8">
            <v>421.06040593279909</v>
          </cell>
          <cell r="O8">
            <v>429.87140955869734</v>
          </cell>
          <cell r="P8">
            <v>438.8667900193721</v>
          </cell>
          <cell r="Q8">
            <v>448.05040553786415</v>
          </cell>
          <cell r="R8">
            <v>457.42619507341448</v>
          </cell>
          <cell r="S8">
            <v>466.9981800109295</v>
          </cell>
          <cell r="X8">
            <v>92.944141264994599</v>
          </cell>
          <cell r="Y8">
            <v>100.36805212430157</v>
          </cell>
          <cell r="Z8">
            <v>108.38494766986003</v>
          </cell>
          <cell r="AA8">
            <v>117.04219253801766</v>
          </cell>
          <cell r="AB8">
            <v>126.39093461421503</v>
          </cell>
          <cell r="AC8">
            <v>136.48640721990819</v>
          </cell>
          <cell r="AH8">
            <v>44.034542020556337</v>
          </cell>
          <cell r="AI8">
            <v>46.919923026819092</v>
          </cell>
          <cell r="AJ8">
            <v>49.994369779409247</v>
          </cell>
          <cell r="AK8">
            <v>53.270270887095201</v>
          </cell>
          <cell r="AL8">
            <v>56.760826727197802</v>
          </cell>
          <cell r="AM8">
            <v>60.480102637049967</v>
          </cell>
          <cell r="AR8">
            <v>1407.7839863410761</v>
          </cell>
          <cell r="AS8">
            <v>1478.5885630075063</v>
          </cell>
          <cell r="AT8">
            <v>1552.9542599349663</v>
          </cell>
          <cell r="AU8">
            <v>1631.0601838720672</v>
          </cell>
          <cell r="AV8">
            <v>1713.0944497516564</v>
          </cell>
        </row>
        <row r="9">
          <cell r="C9">
            <v>3.1558096880069275E-2</v>
          </cell>
          <cell r="M9">
            <v>5.1630986666797172E-3</v>
          </cell>
          <cell r="W9">
            <v>2.9964035397897746E-2</v>
          </cell>
          <cell r="AG9">
            <v>3.2555914943877114E-2</v>
          </cell>
          <cell r="AQ9">
            <v>3.081945458245175E-2</v>
          </cell>
        </row>
        <row r="20">
          <cell r="C20">
            <v>9.4896022862696189E-2</v>
          </cell>
        </row>
        <row r="32">
          <cell r="C32">
            <v>2.9634974948604242E-2</v>
          </cell>
        </row>
      </sheetData>
      <sheetData sheetId="7" refreshError="1"/>
      <sheetData sheetId="8">
        <row r="2">
          <cell r="P2">
            <v>0.25</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
      <sheetName val="Key Assumptions"/>
      <sheetName val="FCFF Projections (5y )"/>
      <sheetName val="Weighted Avg Cost of Capital"/>
      <sheetName val="Intrinsic Value calculation"/>
      <sheetName val="Calc"/>
    </sheetNames>
    <sheetDataSet>
      <sheetData sheetId="0">
        <row r="17">
          <cell r="B17">
            <v>1.0146999999999999</v>
          </cell>
          <cell r="C17">
            <v>2.0028999999999999</v>
          </cell>
          <cell r="D17">
            <v>1.5242</v>
          </cell>
          <cell r="E17">
            <v>1.0820000000000001</v>
          </cell>
          <cell r="F17">
            <v>1.0327999999999999</v>
          </cell>
        </row>
      </sheetData>
      <sheetData sheetId="1">
        <row r="37">
          <cell r="F37">
            <v>43145.03</v>
          </cell>
          <cell r="I37">
            <v>13221.66</v>
          </cell>
          <cell r="J37">
            <v>13813.85</v>
          </cell>
          <cell r="K37">
            <v>14084.099999999999</v>
          </cell>
          <cell r="L37">
            <v>13287.130000000001</v>
          </cell>
          <cell r="M37">
            <v>11613.86</v>
          </cell>
          <cell r="Y37">
            <v>17416.960000000003</v>
          </cell>
          <cell r="Z37">
            <v>18734.18</v>
          </cell>
          <cell r="AA37">
            <v>21014.240000000002</v>
          </cell>
        </row>
        <row r="38">
          <cell r="AG38">
            <v>150953.62000000002</v>
          </cell>
          <cell r="AH38">
            <v>165122.28000000003</v>
          </cell>
        </row>
        <row r="45">
          <cell r="S45">
            <v>34204.120000000003</v>
          </cell>
          <cell r="T45">
            <v>38332.770000000004</v>
          </cell>
        </row>
      </sheetData>
      <sheetData sheetId="2">
        <row r="24">
          <cell r="AA24">
            <v>1725.6499999999999</v>
          </cell>
        </row>
        <row r="27">
          <cell r="AH27">
            <v>21332.250000000007</v>
          </cell>
        </row>
        <row r="37">
          <cell r="F37">
            <v>20801.299999999992</v>
          </cell>
        </row>
        <row r="38">
          <cell r="M38">
            <v>-2065.2200000000003</v>
          </cell>
        </row>
        <row r="44">
          <cell r="T44">
            <v>4280.1000000000031</v>
          </cell>
        </row>
      </sheetData>
      <sheetData sheetId="3">
        <row r="51">
          <cell r="AH51">
            <v>-7419.43</v>
          </cell>
        </row>
        <row r="55">
          <cell r="AA55">
            <v>-346.82</v>
          </cell>
        </row>
        <row r="79">
          <cell r="T79">
            <v>-639.07000000000005</v>
          </cell>
        </row>
        <row r="80">
          <cell r="T80">
            <v>-247.7</v>
          </cell>
        </row>
      </sheetData>
      <sheetData sheetId="4">
        <row r="11">
          <cell r="B11">
            <v>0.6636049513033867</v>
          </cell>
          <cell r="C11">
            <v>0.79155459795432892</v>
          </cell>
          <cell r="D11">
            <v>0.81486636175334703</v>
          </cell>
          <cell r="E11">
            <v>0.92860979036427416</v>
          </cell>
          <cell r="F11">
            <v>1.3582195333742488</v>
          </cell>
          <cell r="I11">
            <v>0.24067969569269901</v>
          </cell>
          <cell r="J11">
            <v>0.25069687723659922</v>
          </cell>
          <cell r="K11">
            <v>0.2850036196778109</v>
          </cell>
          <cell r="L11">
            <v>0.2191211294772287</v>
          </cell>
          <cell r="M11">
            <v>0.20008410584138556</v>
          </cell>
          <cell r="P11">
            <v>0.38720121803386925</v>
          </cell>
          <cell r="Q11">
            <v>0.470821555709178</v>
          </cell>
          <cell r="R11">
            <v>0.44934928945012809</v>
          </cell>
          <cell r="S11">
            <v>0.54227314627226209</v>
          </cell>
          <cell r="T11">
            <v>0.55532054693024457</v>
          </cell>
          <cell r="W11">
            <v>0.89327518462899347</v>
          </cell>
          <cell r="X11">
            <v>1.1079772614568246</v>
          </cell>
          <cell r="Y11">
            <v>0.84421610285974602</v>
          </cell>
          <cell r="Z11">
            <v>0.94778482769648287</v>
          </cell>
          <cell r="AA11">
            <v>1.0776772351102697</v>
          </cell>
          <cell r="AD11">
            <v>0.70380372512481448</v>
          </cell>
          <cell r="AE11">
            <v>0.66140057059731217</v>
          </cell>
          <cell r="AF11">
            <v>0.6275235943707661</v>
          </cell>
          <cell r="AG11">
            <v>0.64184538067500341</v>
          </cell>
          <cell r="AH11">
            <v>0.66070673305669247</v>
          </cell>
        </row>
        <row r="13">
          <cell r="B13">
            <v>8.0809434530009465</v>
          </cell>
          <cell r="C13">
            <v>3.9970158473529285</v>
          </cell>
          <cell r="D13">
            <v>2.6089147237085801</v>
          </cell>
          <cell r="E13">
            <v>1.414263316693255</v>
          </cell>
          <cell r="F13">
            <v>0.79862871807019264</v>
          </cell>
          <cell r="I13">
            <v>1.8313804771866771</v>
          </cell>
          <cell r="J13">
            <v>1.4930529866764153</v>
          </cell>
          <cell r="K13">
            <v>1.6411449790898958</v>
          </cell>
          <cell r="L13">
            <v>1.5982405530765482</v>
          </cell>
          <cell r="M13">
            <v>1.6158133471558982</v>
          </cell>
          <cell r="P13">
            <v>2.0339472994411376</v>
          </cell>
          <cell r="Q13">
            <v>1.5240360624105924</v>
          </cell>
          <cell r="R13">
            <v>1.8283832389622743</v>
          </cell>
          <cell r="S13">
            <v>1.4318283879251972</v>
          </cell>
          <cell r="T13">
            <v>1.2907966212720863</v>
          </cell>
          <cell r="W13">
            <v>0.71251908055392554</v>
          </cell>
          <cell r="X13">
            <v>0.50091321177408632</v>
          </cell>
          <cell r="Y13">
            <v>0.51056786029249646</v>
          </cell>
          <cell r="Z13">
            <v>1.3247027625441841</v>
          </cell>
          <cell r="AA13">
            <v>1.4907324747409374</v>
          </cell>
          <cell r="AD13">
            <v>1.576473511201014</v>
          </cell>
          <cell r="AE13">
            <v>1.5258641777509863</v>
          </cell>
          <cell r="AF13">
            <v>1.50613821265304</v>
          </cell>
          <cell r="AG13">
            <v>1.456110691482589</v>
          </cell>
          <cell r="AH13">
            <v>1.4234317743190075</v>
          </cell>
        </row>
        <row r="14">
          <cell r="B14">
            <v>-0.23743607497525726</v>
          </cell>
          <cell r="C14">
            <v>0.44821623357675699</v>
          </cell>
          <cell r="D14">
            <v>1.6062230449499129</v>
          </cell>
          <cell r="E14">
            <v>2.3022948852557383</v>
          </cell>
          <cell r="F14">
            <v>6.1366463110484064</v>
          </cell>
          <cell r="I14">
            <v>-7.4493200653575509E-2</v>
          </cell>
          <cell r="J14">
            <v>0.16062065949995863</v>
          </cell>
          <cell r="K14">
            <v>-0.22195923510480683</v>
          </cell>
          <cell r="L14">
            <v>-0.52810287301957937</v>
          </cell>
          <cell r="M14">
            <v>-0.81104234913045803</v>
          </cell>
          <cell r="P14">
            <v>0.30668064169409365</v>
          </cell>
          <cell r="Q14">
            <v>0.15250137767149832</v>
          </cell>
          <cell r="R14">
            <v>0.37571974231799687</v>
          </cell>
          <cell r="S14">
            <v>0.30503128109523819</v>
          </cell>
          <cell r="T14">
            <v>0.90383361895183123</v>
          </cell>
          <cell r="W14">
            <v>1.0016078852978378</v>
          </cell>
          <cell r="X14">
            <v>1.2265840451069052</v>
          </cell>
          <cell r="Y14">
            <v>2.8809900760705869</v>
          </cell>
          <cell r="Z14">
            <v>2.1589956176714429</v>
          </cell>
          <cell r="AA14">
            <v>1.0557660465569298</v>
          </cell>
          <cell r="AD14">
            <v>1.9677633564744919</v>
          </cell>
          <cell r="AE14">
            <v>1.7687350799098884</v>
          </cell>
          <cell r="AF14">
            <v>2.0932612564646984</v>
          </cell>
          <cell r="AG14">
            <v>2.1110338237693216</v>
          </cell>
          <cell r="AH14">
            <v>2.1169825227149932</v>
          </cell>
        </row>
      </sheetData>
      <sheetData sheetId="5">
        <row r="7">
          <cell r="G7">
            <v>8.7082379687337896E-2</v>
          </cell>
          <cell r="O7">
            <v>2.5239022944248752E-2</v>
          </cell>
          <cell r="W7">
            <v>0.13772075748760371</v>
          </cell>
          <cell r="AE7">
            <v>0.28001553274803942</v>
          </cell>
          <cell r="AM7">
            <v>0.17092235127984953</v>
          </cell>
        </row>
      </sheetData>
      <sheetData sheetId="6">
        <row r="3">
          <cell r="D3">
            <v>73778.504262243165</v>
          </cell>
          <cell r="E3">
            <v>90297.512456128039</v>
          </cell>
          <cell r="F3">
            <v>110515.12682857817</v>
          </cell>
          <cell r="G3">
            <v>135259.46535759571</v>
          </cell>
          <cell r="H3">
            <v>165544.06164868723</v>
          </cell>
          <cell r="I3">
            <v>202609.37949660025</v>
          </cell>
          <cell r="N3">
            <v>8460.752246889957</v>
          </cell>
          <cell r="O3">
            <v>8666.1422966737555</v>
          </cell>
          <cell r="P3">
            <v>8876.5183183096087</v>
          </cell>
          <cell r="Q3">
            <v>9092.0013493810566</v>
          </cell>
          <cell r="R3">
            <v>9312.7153657346462</v>
          </cell>
          <cell r="S3">
            <v>9538.7873528080981</v>
          </cell>
          <cell r="X3">
            <v>76700.989735291965</v>
          </cell>
          <cell r="Y3">
            <v>92979.707814939669</v>
          </cell>
          <cell r="Z3">
            <v>112713.35735285404</v>
          </cell>
          <cell r="AA3">
            <v>136635.19948931149</v>
          </cell>
          <cell r="AB3">
            <v>165634.1198411762</v>
          </cell>
          <cell r="AC3">
            <v>200787.65763215534</v>
          </cell>
          <cell r="AH3">
            <v>13117.003979751122</v>
          </cell>
          <cell r="AI3">
            <v>14407.209425021123</v>
          </cell>
          <cell r="AJ3">
            <v>15824.321143520445</v>
          </cell>
          <cell r="AK3">
            <v>17380.82180011769</v>
          </cell>
          <cell r="AL3">
            <v>19090.421870712842</v>
          </cell>
          <cell r="AM3">
            <v>20968.180411315388</v>
          </cell>
          <cell r="AR3">
            <v>205300.6409305374</v>
          </cell>
          <cell r="AS3">
            <v>232650.63940021282</v>
          </cell>
          <cell r="AT3">
            <v>263644.18429478392</v>
          </cell>
          <cell r="AU3">
            <v>298766.66615513462</v>
          </cell>
          <cell r="AV3">
            <v>338568.13888846949</v>
          </cell>
          <cell r="AW3">
            <v>383671.93417381163</v>
          </cell>
        </row>
        <row r="4">
          <cell r="D4">
            <v>23979.973595713058</v>
          </cell>
          <cell r="E4">
            <v>27657.401201312248</v>
          </cell>
          <cell r="F4">
            <v>31898.777459333665</v>
          </cell>
          <cell r="G4">
            <v>36790.586215736534</v>
          </cell>
          <cell r="H4">
            <v>42432.573970056386</v>
          </cell>
          <cell r="I4">
            <v>48939.78375789414</v>
          </cell>
          <cell r="N4">
            <v>-773.16468252232346</v>
          </cell>
          <cell r="O4">
            <v>-791.93373851172532</v>
          </cell>
          <cell r="P4">
            <v>-811.15842506819354</v>
          </cell>
          <cell r="Q4">
            <v>-830.84980290856765</v>
          </cell>
          <cell r="R4">
            <v>-851.01920125550282</v>
          </cell>
          <cell r="S4">
            <v>-871.67822435561618</v>
          </cell>
          <cell r="X4">
            <v>5947.4375199480446</v>
          </cell>
          <cell r="Y4">
            <v>6170.9507387772082</v>
          </cell>
          <cell r="Z4">
            <v>6402.8639044446209</v>
          </cell>
          <cell r="AA4">
            <v>6643.4926989813275</v>
          </cell>
          <cell r="AB4">
            <v>6893.1646682011624</v>
          </cell>
          <cell r="AC4">
            <v>7152.2196675586947</v>
          </cell>
          <cell r="AH4">
            <v>2550.2949546952104</v>
          </cell>
          <cell r="AI4">
            <v>3000.1265531981708</v>
          </cell>
          <cell r="AJ4">
            <v>3529.3013142005098</v>
          </cell>
          <cell r="AK4">
            <v>4151.8141136877157</v>
          </cell>
          <cell r="AL4">
            <v>4884.1283018991326</v>
          </cell>
          <cell r="AM4">
            <v>5745.6111030519924</v>
          </cell>
          <cell r="AR4">
            <v>31111.671000294817</v>
          </cell>
          <cell r="AS4">
            <v>35662.651495428036</v>
          </cell>
          <cell r="AT4">
            <v>40879.344335837945</v>
          </cell>
          <cell r="AU4">
            <v>46859.129180067954</v>
          </cell>
          <cell r="AV4">
            <v>53713.630274380645</v>
          </cell>
          <cell r="AW4">
            <v>61570.800135144054</v>
          </cell>
        </row>
        <row r="6">
          <cell r="D6">
            <v>17618.497096115192</v>
          </cell>
          <cell r="E6">
            <v>20320.366109098839</v>
          </cell>
          <cell r="F6">
            <v>23436.577850834921</v>
          </cell>
          <cell r="G6">
            <v>27030.673483402359</v>
          </cell>
          <cell r="H6">
            <v>31175.9384674961</v>
          </cell>
          <cell r="I6">
            <v>35956.896890708354</v>
          </cell>
          <cell r="N6">
            <v>-773.16468252232346</v>
          </cell>
          <cell r="O6">
            <v>-791.93373851172532</v>
          </cell>
          <cell r="P6">
            <v>-811.15842506819354</v>
          </cell>
          <cell r="Q6">
            <v>-830.84980290856765</v>
          </cell>
          <cell r="R6">
            <v>-851.01920125550282</v>
          </cell>
          <cell r="S6">
            <v>-871.67822435561618</v>
          </cell>
          <cell r="X6">
            <v>4440.9522871744393</v>
          </cell>
          <cell r="Y6">
            <v>4607.8496336440439</v>
          </cell>
          <cell r="Z6">
            <v>4781.0192213937535</v>
          </cell>
          <cell r="AA6">
            <v>4960.6967702328293</v>
          </cell>
          <cell r="AB6">
            <v>5147.1268586585184</v>
          </cell>
          <cell r="AC6">
            <v>5340.5632567782341</v>
          </cell>
          <cell r="AH6">
            <v>2030.0273021342168</v>
          </cell>
          <cell r="AI6">
            <v>2388.0919348711077</v>
          </cell>
          <cell r="AJ6">
            <v>2809.3134921883793</v>
          </cell>
          <cell r="AK6">
            <v>3304.8318543136966</v>
          </cell>
          <cell r="AL6">
            <v>3887.7517997390287</v>
          </cell>
          <cell r="AM6">
            <v>4573.4895821236441</v>
          </cell>
          <cell r="AR6">
            <v>23306.428827337681</v>
          </cell>
          <cell r="AS6">
            <v>26715.667212618217</v>
          </cell>
          <cell r="AT6">
            <v>30623.605182197014</v>
          </cell>
          <cell r="AU6">
            <v>35103.191954425303</v>
          </cell>
          <cell r="AV6">
            <v>40238.047677860835</v>
          </cell>
          <cell r="AW6">
            <v>46124.024363023447</v>
          </cell>
        </row>
        <row r="7">
          <cell r="D7">
            <v>6818.3507318432075</v>
          </cell>
          <cell r="E7">
            <v>8344.9795613970145</v>
          </cell>
          <cell r="F7">
            <v>10213.420608433333</v>
          </cell>
          <cell r="G7">
            <v>12500.205633494414</v>
          </cell>
          <cell r="H7">
            <v>15299.001859438149</v>
          </cell>
          <cell r="I7">
            <v>18724.448601703603</v>
          </cell>
          <cell r="N7">
            <v>1067.3811128763421</v>
          </cell>
          <cell r="O7">
            <v>1093.29245663334</v>
          </cell>
          <cell r="P7">
            <v>1119.832814457754</v>
          </cell>
          <cell r="Q7">
            <v>1147.01745605928</v>
          </cell>
          <cell r="R7">
            <v>1174.8620218293627</v>
          </cell>
          <cell r="S7">
            <v>1203.3825318397257</v>
          </cell>
          <cell r="X7">
            <v>5585.9776942001536</v>
          </cell>
          <cell r="Y7">
            <v>6771.5237529525693</v>
          </cell>
          <cell r="Z7">
            <v>8208.6854704790458</v>
          </cell>
          <cell r="AA7">
            <v>9950.8647701151713</v>
          </cell>
          <cell r="AB7">
            <v>12062.797390547434</v>
          </cell>
          <cell r="AC7">
            <v>14622.95833045612</v>
          </cell>
          <cell r="AH7">
            <v>1766.3067293403076</v>
          </cell>
          <cell r="AI7">
            <v>1940.0429395091751</v>
          </cell>
          <cell r="AJ7">
            <v>2130.8680676006475</v>
          </cell>
          <cell r="AK7">
            <v>2340.4630016430847</v>
          </cell>
          <cell r="AL7">
            <v>2570.6739639813131</v>
          </cell>
          <cell r="AM7">
            <v>2823.5287737734379</v>
          </cell>
          <cell r="AR7">
            <v>19487.172895869269</v>
          </cell>
          <cell r="AS7">
            <v>22083.239554329699</v>
          </cell>
          <cell r="AT7">
            <v>25025.152279389073</v>
          </cell>
          <cell r="AU7">
            <v>28358.984426441464</v>
          </cell>
          <cell r="AV7">
            <v>32136.947208969505</v>
          </cell>
          <cell r="AW7">
            <v>36418.207379427244</v>
          </cell>
        </row>
        <row r="19">
          <cell r="C19">
            <v>0.11373856566790055</v>
          </cell>
        </row>
        <row r="31">
          <cell r="C31">
            <v>0.14019600882941585</v>
          </cell>
        </row>
      </sheetData>
      <sheetData sheetId="7">
        <row r="4">
          <cell r="B4">
            <v>7.3746345430198812E-2</v>
          </cell>
          <cell r="C4">
            <v>9.796888813337859E-2</v>
          </cell>
          <cell r="D4">
            <v>7.0228947928458102E-2</v>
          </cell>
          <cell r="E4">
            <v>4.9161080627619771E-2</v>
          </cell>
          <cell r="F4">
            <v>3.844514110984372E-2</v>
          </cell>
        </row>
        <row r="6">
          <cell r="B6">
            <v>0.35474449917037715</v>
          </cell>
          <cell r="C6">
            <v>0.4936101357601938</v>
          </cell>
          <cell r="D6">
            <v>0.27431592349427025</v>
          </cell>
          <cell r="E6">
            <v>0.25007127363499115</v>
          </cell>
          <cell r="F6">
            <v>0.41255518478040365</v>
          </cell>
        </row>
        <row r="7">
          <cell r="B7">
            <v>0.104066033267946</v>
          </cell>
          <cell r="C7">
            <v>0.13451813962287407</v>
          </cell>
          <cell r="D7">
            <v>0.12536718753292875</v>
          </cell>
          <cell r="E7">
            <v>0.10535992898771895</v>
          </cell>
          <cell r="F7">
            <v>8.7317529617791961E-2</v>
          </cell>
        </row>
      </sheetData>
      <sheetData sheetId="8"/>
      <sheetData sheetId="9">
        <row r="2">
          <cell r="P2">
            <v>0.15</v>
          </cell>
        </row>
        <row r="3">
          <cell r="P3">
            <v>0.06</v>
          </cell>
        </row>
        <row r="4">
          <cell r="P4">
            <v>0.14182221273427631</v>
          </cell>
        </row>
        <row r="5">
          <cell r="P5">
            <v>0.15</v>
          </cell>
        </row>
        <row r="6">
          <cell r="P6">
            <v>0.15</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Common Size Balance Sheet"/>
      <sheetName val="Income Statement"/>
      <sheetName val="Common Size Income Statement"/>
      <sheetName val="Cash Flow Statement"/>
      <sheetName val="Financial Ratio"/>
      <sheetName val="Dupont Analysis"/>
      <sheetName val="Balance Sheet Forecast"/>
      <sheetName val="Income Statement Forecast"/>
      <sheetName val="WACC &amp; Key Assumptions"/>
      <sheetName val="DCF Valuation"/>
      <sheetName val="Calc"/>
      <sheetName val="Relative Valuation"/>
      <sheetName val="Fundamental Analysis-FMCG &amp; Ret"/>
    </sheetNames>
    <sheetDataSet>
      <sheetData sheetId="0" refreshError="1"/>
      <sheetData sheetId="1">
        <row r="35">
          <cell r="G35">
            <v>21426.7</v>
          </cell>
          <cell r="AS35">
            <v>16739.636000000002</v>
          </cell>
        </row>
        <row r="39">
          <cell r="AL39">
            <v>5583.36</v>
          </cell>
        </row>
        <row r="40">
          <cell r="V40">
            <v>70397.94</v>
          </cell>
        </row>
      </sheetData>
      <sheetData sheetId="2" refreshError="1"/>
      <sheetData sheetId="3" refreshError="1"/>
      <sheetData sheetId="4" refreshError="1"/>
      <sheetData sheetId="5" refreshError="1"/>
      <sheetData sheetId="6">
        <row r="18">
          <cell r="B18">
            <v>0.5514880132267842</v>
          </cell>
          <cell r="C18">
            <v>1.6394458160376928</v>
          </cell>
          <cell r="D18">
            <v>0.57473179620615755</v>
          </cell>
          <cell r="E18">
            <v>1.5029958895985716</v>
          </cell>
          <cell r="F18">
            <v>1.1493476964742266</v>
          </cell>
          <cell r="G18">
            <v>0.60928233039201463</v>
          </cell>
          <cell r="J18">
            <v>1.0776508595823238</v>
          </cell>
          <cell r="K18">
            <v>1.0254373725448105</v>
          </cell>
          <cell r="L18">
            <v>0.95811942718184273</v>
          </cell>
          <cell r="M18">
            <v>1.0129432624113475</v>
          </cell>
          <cell r="N18">
            <v>1.3437402920161541</v>
          </cell>
          <cell r="Q18">
            <v>3.2036356523221796</v>
          </cell>
          <cell r="R18">
            <v>2.3008013336227089</v>
          </cell>
          <cell r="S18">
            <v>1.9211490573188608</v>
          </cell>
          <cell r="T18">
            <v>2.0306352310615954</v>
          </cell>
          <cell r="U18">
            <v>1.9658052357856599</v>
          </cell>
          <cell r="V18">
            <v>1.9712224895720769</v>
          </cell>
          <cell r="Y18">
            <v>0.35856432125088844</v>
          </cell>
          <cell r="Z18">
            <v>0.62081928960331867</v>
          </cell>
          <cell r="AA18">
            <v>0.3657724505327245</v>
          </cell>
          <cell r="AB18">
            <v>0.43900784077201449</v>
          </cell>
          <cell r="AC18">
            <v>0.39669671486478308</v>
          </cell>
          <cell r="AD18">
            <v>0.24231380607141473</v>
          </cell>
          <cell r="AG18">
            <v>2.2485480329180949</v>
          </cell>
          <cell r="AH18">
            <v>1.2974555520068132</v>
          </cell>
          <cell r="AI18">
            <v>1.4013007881245703</v>
          </cell>
          <cell r="AJ18">
            <v>0.92928572734419268</v>
          </cell>
          <cell r="AK18">
            <v>0.99069070432768702</v>
          </cell>
          <cell r="AL18">
            <v>0.80987123823165175</v>
          </cell>
          <cell r="AO18">
            <v>0.35765498264851436</v>
          </cell>
          <cell r="AP18">
            <v>0.36519987068638671</v>
          </cell>
          <cell r="AQ18">
            <v>0.35743516704066758</v>
          </cell>
          <cell r="AR18">
            <v>0.50204444174773644</v>
          </cell>
          <cell r="AS18">
            <v>1.1211899854677667</v>
          </cell>
        </row>
        <row r="20">
          <cell r="B20">
            <v>3.3663652280644757E-4</v>
          </cell>
          <cell r="C20">
            <v>0</v>
          </cell>
          <cell r="D20">
            <v>0</v>
          </cell>
          <cell r="E20">
            <v>0</v>
          </cell>
          <cell r="F20">
            <v>0</v>
          </cell>
          <cell r="G20">
            <v>0</v>
          </cell>
          <cell r="J20">
            <v>1.2555485098287888E-2</v>
          </cell>
          <cell r="K20">
            <v>0</v>
          </cell>
          <cell r="L20">
            <v>0</v>
          </cell>
          <cell r="M20">
            <v>0</v>
          </cell>
          <cell r="N20">
            <v>2.5280516500398654E-4</v>
          </cell>
          <cell r="Q20">
            <v>1.1149914098441862E-4</v>
          </cell>
          <cell r="R20">
            <v>1.5586345636276315E-4</v>
          </cell>
          <cell r="S20">
            <v>8.8981751100373162E-5</v>
          </cell>
          <cell r="T20">
            <v>5.5810577089420159E-4</v>
          </cell>
          <cell r="U20">
            <v>1.5062097100586365E-4</v>
          </cell>
          <cell r="V20">
            <v>1.2963447509969752E-3</v>
          </cell>
          <cell r="Y20">
            <v>0.10834707028323093</v>
          </cell>
          <cell r="Z20">
            <v>2.1994134897360705E-2</v>
          </cell>
          <cell r="AA20">
            <v>5.5501982213650485E-2</v>
          </cell>
          <cell r="AB20">
            <v>0.18439180107526881</v>
          </cell>
          <cell r="AC20">
            <v>0.8344511870541893</v>
          </cell>
          <cell r="AD20">
            <v>0.88489332415691668</v>
          </cell>
          <cell r="AG20">
            <v>0.12148206990467544</v>
          </cell>
          <cell r="AH20">
            <v>0</v>
          </cell>
          <cell r="AI20">
            <v>0.20638688100118674</v>
          </cell>
          <cell r="AJ20">
            <v>0.18699046553284487</v>
          </cell>
          <cell r="AK20">
            <v>0.12152323288459241</v>
          </cell>
          <cell r="AL20">
            <v>8.940852819807428E-2</v>
          </cell>
          <cell r="AO20">
            <v>0.75056630766842869</v>
          </cell>
          <cell r="AP20">
            <v>0.79631553099973618</v>
          </cell>
          <cell r="AQ20">
            <v>0.70843087136445737</v>
          </cell>
          <cell r="AR20">
            <v>0.7331886261754812</v>
          </cell>
          <cell r="AS20">
            <v>0.1412375394542629</v>
          </cell>
        </row>
        <row r="21">
          <cell r="B21">
            <v>26.242621527777832</v>
          </cell>
          <cell r="C21">
            <v>36.617046818727509</v>
          </cell>
          <cell r="D21">
            <v>39.373675404350301</v>
          </cell>
          <cell r="E21">
            <v>46.395193591455111</v>
          </cell>
          <cell r="F21">
            <v>60.544641321176577</v>
          </cell>
          <cell r="G21">
            <v>53.882217422606161</v>
          </cell>
          <cell r="J21">
            <v>80.432203389830505</v>
          </cell>
          <cell r="K21">
            <v>93.692307692307693</v>
          </cell>
          <cell r="L21">
            <v>113.43396226415095</v>
          </cell>
          <cell r="M21">
            <v>118.62280701754386</v>
          </cell>
          <cell r="N21">
            <v>42.688622754491021</v>
          </cell>
          <cell r="Q21">
            <v>369.81272860277983</v>
          </cell>
          <cell r="R21">
            <v>403.38156123822341</v>
          </cell>
          <cell r="S21">
            <v>527.94283536585363</v>
          </cell>
          <cell r="T21">
            <v>599.20023148148175</v>
          </cell>
          <cell r="U21">
            <v>676.02633597545366</v>
          </cell>
          <cell r="V21">
            <v>598.57967154904577</v>
          </cell>
          <cell r="Y21">
            <v>13.686746987951807</v>
          </cell>
          <cell r="Z21">
            <v>7.5615763546798034</v>
          </cell>
          <cell r="AA21">
            <v>14.568807339449542</v>
          </cell>
          <cell r="AB21">
            <v>15.82</v>
          </cell>
          <cell r="AC21">
            <v>8.4668820678513725</v>
          </cell>
          <cell r="AD21">
            <v>5.7576075550891916</v>
          </cell>
          <cell r="AG21">
            <v>1.7950366151342538</v>
          </cell>
          <cell r="AH21">
            <v>0.46732354715463392</v>
          </cell>
          <cell r="AI21">
            <v>1.4381439915993977</v>
          </cell>
          <cell r="AJ21">
            <v>2.277449758951307</v>
          </cell>
          <cell r="AK21">
            <v>4.8269821372610417</v>
          </cell>
          <cell r="AL21">
            <v>15.021502272891274</v>
          </cell>
          <cell r="AO21">
            <v>2.5262358415390778</v>
          </cell>
          <cell r="AP21">
            <v>6.4499621007038357</v>
          </cell>
          <cell r="AQ21">
            <v>11.872669539334423</v>
          </cell>
          <cell r="AR21">
            <v>11.219504735191105</v>
          </cell>
          <cell r="AS21">
            <v>8.6258298437340386</v>
          </cell>
        </row>
      </sheetData>
      <sheetData sheetId="7" refreshError="1"/>
      <sheetData sheetId="8">
        <row r="16">
          <cell r="D16">
            <v>29975.91091434651</v>
          </cell>
          <cell r="E16">
            <v>35266.666909368607</v>
          </cell>
          <cell r="F16">
            <v>41355.865791458389</v>
          </cell>
          <cell r="G16">
            <v>48380.245392871439</v>
          </cell>
          <cell r="H16">
            <v>56501.080314965817</v>
          </cell>
        </row>
        <row r="17">
          <cell r="M17">
            <v>82590.70609976018</v>
          </cell>
          <cell r="N17">
            <v>86949.948075796856</v>
          </cell>
          <cell r="O17">
            <v>91886.711209119778</v>
          </cell>
          <cell r="P17">
            <v>97492.373386509469</v>
          </cell>
          <cell r="Q17">
            <v>103875.86908120589</v>
          </cell>
          <cell r="R17">
            <v>111167.08862547603</v>
          </cell>
          <cell r="W17">
            <v>94984.587216091619</v>
          </cell>
          <cell r="X17">
            <v>100694.34916830467</v>
          </cell>
          <cell r="Y17">
            <v>106852.71249007375</v>
          </cell>
          <cell r="Z17">
            <v>113496.62842857152</v>
          </cell>
          <cell r="AA17">
            <v>120666.03559022472</v>
          </cell>
        </row>
        <row r="18">
          <cell r="AF18">
            <v>43981.898367174923</v>
          </cell>
          <cell r="AG18">
            <v>54003.572597137027</v>
          </cell>
          <cell r="AH18">
            <v>65976.103056822569</v>
          </cell>
          <cell r="AI18">
            <v>80267.505300495992</v>
          </cell>
          <cell r="AJ18">
            <v>97319.000944420433</v>
          </cell>
          <cell r="AO18">
            <v>18077.253502804524</v>
          </cell>
          <cell r="AP18">
            <v>23474.140767579884</v>
          </cell>
          <cell r="AQ18">
            <v>30567.614984280077</v>
          </cell>
          <cell r="AR18">
            <v>39844.282019188293</v>
          </cell>
          <cell r="AS18">
            <v>51951.986695482308</v>
          </cell>
        </row>
        <row r="19">
          <cell r="AX19">
            <v>29439.25231597001</v>
          </cell>
          <cell r="AY19">
            <v>34738.966109788176</v>
          </cell>
          <cell r="AZ19">
            <v>41130.785865238002</v>
          </cell>
          <cell r="BA19">
            <v>48843.440333950864</v>
          </cell>
          <cell r="BB19">
            <v>58153.286944697895</v>
          </cell>
          <cell r="BC19">
            <v>69394.269846031806</v>
          </cell>
        </row>
        <row r="21">
          <cell r="D21">
            <v>24134.149999999998</v>
          </cell>
          <cell r="E21">
            <v>26767.001407830405</v>
          </cell>
          <cell r="F21">
            <v>29732.057567063523</v>
          </cell>
          <cell r="G21">
            <v>33082.979252004283</v>
          </cell>
          <cell r="H21">
            <v>36881.114353099329</v>
          </cell>
        </row>
        <row r="22">
          <cell r="M22">
            <v>52976.117099743788</v>
          </cell>
          <cell r="N22">
            <v>54246.33902153252</v>
          </cell>
          <cell r="O22">
            <v>55631.310798557621</v>
          </cell>
          <cell r="P22">
            <v>57138.302626482749</v>
          </cell>
          <cell r="Q22">
            <v>58775.515873774573</v>
          </cell>
          <cell r="R22">
            <v>60552.081117508278</v>
          </cell>
          <cell r="W22">
            <v>75055.983021821623</v>
          </cell>
          <cell r="X22">
            <v>79142.437805731563</v>
          </cell>
          <cell r="Y22">
            <v>83542.603036065237</v>
          </cell>
          <cell r="Z22">
            <v>88282.081843171036</v>
          </cell>
          <cell r="AA22">
            <v>93388.49273931772</v>
          </cell>
        </row>
        <row r="23">
          <cell r="AF23">
            <v>15387.980350447197</v>
          </cell>
          <cell r="AG23">
            <v>19909.700476829443</v>
          </cell>
          <cell r="AH23">
            <v>25324.06127301032</v>
          </cell>
          <cell r="AI23">
            <v>31795.452995386622</v>
          </cell>
          <cell r="AJ23">
            <v>39522.285486714434</v>
          </cell>
          <cell r="AO23">
            <v>6939.6783905970851</v>
          </cell>
          <cell r="AP23">
            <v>8978.7907351013619</v>
          </cell>
          <cell r="AQ23">
            <v>11695.714665334111</v>
          </cell>
          <cell r="AR23">
            <v>15267.524905213952</v>
          </cell>
          <cell r="AS23">
            <v>19938.463346350483</v>
          </cell>
        </row>
        <row r="24">
          <cell r="AX24">
            <v>20457.829340473509</v>
          </cell>
          <cell r="AY24">
            <v>23919.24011342871</v>
          </cell>
          <cell r="AZ24">
            <v>28093.775361931115</v>
          </cell>
          <cell r="BA24">
            <v>33131.652656753125</v>
          </cell>
          <cell r="BB24">
            <v>39214.400582144612</v>
          </cell>
          <cell r="BC24">
            <v>46561.417991215902</v>
          </cell>
        </row>
        <row r="28">
          <cell r="D28">
            <v>1245.0151995083177</v>
          </cell>
          <cell r="E28">
            <v>1447.5610491186449</v>
          </cell>
          <cell r="F28">
            <v>1683.0581600553967</v>
          </cell>
          <cell r="G28">
            <v>1956.8672228737796</v>
          </cell>
          <cell r="H28">
            <v>2275.2210344482087</v>
          </cell>
        </row>
        <row r="29">
          <cell r="D29">
            <v>1339.9213511657131</v>
          </cell>
          <cell r="E29">
            <v>1548.9071881757216</v>
          </cell>
          <cell r="F29">
            <v>1790.4902582111386</v>
          </cell>
          <cell r="G29">
            <v>2069.7552740389842</v>
          </cell>
          <cell r="H29">
            <v>2392.5801255246324</v>
          </cell>
          <cell r="M29">
            <v>11113.08435808861</v>
          </cell>
          <cell r="N29">
            <v>11957.95238553389</v>
          </cell>
          <cell r="O29">
            <v>12867.210243341429</v>
          </cell>
          <cell r="P29">
            <v>13845.772054412342</v>
          </cell>
          <cell r="Q29">
            <v>14898.927268172532</v>
          </cell>
          <cell r="R29">
            <v>16032.369339214725</v>
          </cell>
          <cell r="W29">
            <v>5923.1019378202745</v>
          </cell>
          <cell r="X29">
            <v>6383.794925541627</v>
          </cell>
          <cell r="Y29">
            <v>6881.4636480835843</v>
          </cell>
          <cell r="Z29">
            <v>7419.0706077654277</v>
          </cell>
          <cell r="AA29">
            <v>7999.815686126095</v>
          </cell>
        </row>
        <row r="30">
          <cell r="M30">
            <v>399.67675192410854</v>
          </cell>
          <cell r="N30">
            <v>437.64796172220656</v>
          </cell>
          <cell r="O30">
            <v>479.22661870503589</v>
          </cell>
          <cell r="P30">
            <v>524.75544767014242</v>
          </cell>
          <cell r="Q30">
            <v>574.60973391584662</v>
          </cell>
          <cell r="R30">
            <v>629.20041664510097</v>
          </cell>
          <cell r="W30">
            <v>74.006112400005051</v>
          </cell>
          <cell r="X30">
            <v>79.762234342378264</v>
          </cell>
          <cell r="Y30">
            <v>85.980349074329126</v>
          </cell>
          <cell r="Z30">
            <v>92.697471538691261</v>
          </cell>
          <cell r="AA30">
            <v>99.953582609561266</v>
          </cell>
          <cell r="AF30">
            <v>2399.2206294365724</v>
          </cell>
          <cell r="AG30">
            <v>2860.8003547786539</v>
          </cell>
          <cell r="AH30">
            <v>3411.1900662231428</v>
          </cell>
          <cell r="AI30">
            <v>4067.478871659373</v>
          </cell>
          <cell r="AJ30">
            <v>4850.0445759952518</v>
          </cell>
          <cell r="AO30">
            <v>1712.2772186252218</v>
          </cell>
          <cell r="AP30">
            <v>2228.4974410100363</v>
          </cell>
          <cell r="AQ30">
            <v>2901.3429460852094</v>
          </cell>
          <cell r="AR30">
            <v>3778.4006742921115</v>
          </cell>
          <cell r="AS30">
            <v>4921.7200482503104</v>
          </cell>
        </row>
        <row r="31">
          <cell r="D31">
            <v>1109.957369764709</v>
          </cell>
          <cell r="E31">
            <v>1403.962716171701</v>
          </cell>
          <cell r="F31">
            <v>1775.844155904889</v>
          </cell>
          <cell r="G31">
            <v>2246.2294972196883</v>
          </cell>
          <cell r="H31">
            <v>2841.2104392171918</v>
          </cell>
          <cell r="M31">
            <v>13</v>
          </cell>
          <cell r="N31">
            <v>13</v>
          </cell>
          <cell r="O31">
            <v>13</v>
          </cell>
          <cell r="P31">
            <v>13</v>
          </cell>
          <cell r="Q31">
            <v>13</v>
          </cell>
          <cell r="R31">
            <v>13</v>
          </cell>
          <cell r="W31">
            <v>23.689999999999998</v>
          </cell>
          <cell r="X31">
            <v>23.689999999999998</v>
          </cell>
          <cell r="Y31">
            <v>23.689999999999998</v>
          </cell>
          <cell r="Z31">
            <v>23.689999999999998</v>
          </cell>
          <cell r="AA31">
            <v>23.689999999999998</v>
          </cell>
          <cell r="AF31">
            <v>499.78023021212215</v>
          </cell>
          <cell r="AG31">
            <v>595.93162978010935</v>
          </cell>
          <cell r="AH31">
            <v>710.58298502321099</v>
          </cell>
          <cell r="AI31">
            <v>847.2941178978831</v>
          </cell>
          <cell r="AJ31">
            <v>1010.3099168913022</v>
          </cell>
          <cell r="AO31">
            <v>620.23599414781768</v>
          </cell>
          <cell r="AP31">
            <v>807.2257872416734</v>
          </cell>
          <cell r="AQ31">
            <v>1050.9497568236882</v>
          </cell>
          <cell r="AR31">
            <v>1368.64525966767</v>
          </cell>
          <cell r="AS31">
            <v>1782.7883790305373</v>
          </cell>
          <cell r="AX31">
            <v>1701.9808984838883</v>
          </cell>
          <cell r="AY31">
            <v>2057.9328970567453</v>
          </cell>
          <cell r="AZ31">
            <v>2488.3296126918781</v>
          </cell>
          <cell r="BA31">
            <v>3008.7408187356127</v>
          </cell>
          <cell r="BB31">
            <v>3637.9926824402164</v>
          </cell>
          <cell r="BC31">
            <v>4398.848844924345</v>
          </cell>
        </row>
        <row r="32">
          <cell r="D32">
            <v>1350.7881185672195</v>
          </cell>
          <cell r="E32">
            <v>3168.6340142446861</v>
          </cell>
          <cell r="F32">
            <v>5285.7653095669011</v>
          </cell>
          <cell r="G32">
            <v>7749.7837296637736</v>
          </cell>
          <cell r="H32">
            <v>10617.087328367175</v>
          </cell>
          <cell r="M32">
            <v>2147.1865983516327</v>
          </cell>
          <cell r="N32">
            <v>2291.456405636608</v>
          </cell>
          <cell r="O32">
            <v>2445.4197241003612</v>
          </cell>
          <cell r="P32">
            <v>2609.7278622927647</v>
          </cell>
          <cell r="Q32">
            <v>2785.0758902882103</v>
          </cell>
          <cell r="R32">
            <v>2972.2055800293674</v>
          </cell>
          <cell r="W32">
            <v>10143.041572903488</v>
          </cell>
          <cell r="X32">
            <v>10968.762911126039</v>
          </cell>
          <cell r="Y32">
            <v>11861.704296066871</v>
          </cell>
          <cell r="Z32">
            <v>12827.337954822035</v>
          </cell>
          <cell r="AA32">
            <v>13871.581595722011</v>
          </cell>
          <cell r="AF32">
            <v>491.28903146404286</v>
          </cell>
          <cell r="AG32">
            <v>585.806831713203</v>
          </cell>
          <cell r="AH32">
            <v>698.51027588408658</v>
          </cell>
          <cell r="AI32">
            <v>832.89870503792292</v>
          </cell>
          <cell r="AJ32">
            <v>993.14488757864115</v>
          </cell>
          <cell r="AO32">
            <v>0</v>
          </cell>
          <cell r="AP32">
            <v>0</v>
          </cell>
          <cell r="AQ32">
            <v>0</v>
          </cell>
          <cell r="AR32">
            <v>0</v>
          </cell>
          <cell r="AS32">
            <v>0</v>
          </cell>
          <cell r="AX32">
            <v>96.904885788334397</v>
          </cell>
          <cell r="AY32">
            <v>117.17155728773758</v>
          </cell>
          <cell r="AZ32">
            <v>141.67685262298463</v>
          </cell>
          <cell r="BA32">
            <v>171.30726065491993</v>
          </cell>
          <cell r="BB32">
            <v>207.13467801237061</v>
          </cell>
          <cell r="BC32">
            <v>250.45518742146777</v>
          </cell>
        </row>
        <row r="33">
          <cell r="AF33">
            <v>17021.206383297827</v>
          </cell>
          <cell r="AG33">
            <v>20295.871360331861</v>
          </cell>
          <cell r="AH33">
            <v>24200.596400954917</v>
          </cell>
          <cell r="AI33">
            <v>28856.619722578904</v>
          </cell>
          <cell r="AJ33">
            <v>34408.511115376699</v>
          </cell>
          <cell r="AO33">
            <v>844.97691618525698</v>
          </cell>
          <cell r="AP33">
            <v>1099.7219813175291</v>
          </cell>
          <cell r="AQ33">
            <v>1431.7587063076617</v>
          </cell>
          <cell r="AR33">
            <v>1864.5703599555068</v>
          </cell>
          <cell r="AS33">
            <v>2428.7771766517635</v>
          </cell>
          <cell r="AX33">
            <v>1412.8728574234935</v>
          </cell>
          <cell r="AY33">
            <v>1708.3608489616058</v>
          </cell>
          <cell r="AZ33">
            <v>2065.6479595201226</v>
          </cell>
          <cell r="BA33">
            <v>2497.6591932379597</v>
          </cell>
          <cell r="BB33">
            <v>3020.0227987891994</v>
          </cell>
          <cell r="BC33">
            <v>3651.6356572735817</v>
          </cell>
        </row>
        <row r="34">
          <cell r="AX34">
            <v>2193.1954830602881</v>
          </cell>
          <cell r="AY34">
            <v>2651.8800171532907</v>
          </cell>
          <cell r="AZ34">
            <v>3206.4950151804806</v>
          </cell>
          <cell r="BA34">
            <v>3877.1038965408966</v>
          </cell>
          <cell r="BB34">
            <v>4687.9663136300442</v>
          </cell>
          <cell r="BC34">
            <v>5668.4158006397092</v>
          </cell>
        </row>
        <row r="40">
          <cell r="B40">
            <v>6.537118684593958E-2</v>
          </cell>
        </row>
      </sheetData>
      <sheetData sheetId="9">
        <row r="6">
          <cell r="D6">
            <v>68759.670686451544</v>
          </cell>
          <cell r="E6">
            <v>79484.029484405692</v>
          </cell>
          <cell r="F6">
            <v>91881.154378792766</v>
          </cell>
          <cell r="G6">
            <v>106211.97350176869</v>
          </cell>
          <cell r="H6">
            <v>122778.11781930229</v>
          </cell>
          <cell r="M6">
            <v>67473.415295990329</v>
          </cell>
          <cell r="N6">
            <v>72603.056127397125</v>
          </cell>
          <cell r="O6">
            <v>78123.641688896692</v>
          </cell>
          <cell r="P6">
            <v>84065.008220783653</v>
          </cell>
          <cell r="Q6">
            <v>90459.270769277486</v>
          </cell>
          <cell r="R6">
            <v>97340.997309732804</v>
          </cell>
          <cell r="W6">
            <v>90670.70976091527</v>
          </cell>
          <cell r="X6">
            <v>97722.987539869675</v>
          </cell>
          <cell r="Y6">
            <v>105341.28902655539</v>
          </cell>
          <cell r="Z6">
            <v>113570.96413910274</v>
          </cell>
          <cell r="AA6">
            <v>122460.99659133804</v>
          </cell>
          <cell r="AF6">
            <v>72666.305425619386</v>
          </cell>
          <cell r="AG6">
            <v>86646.384159711452</v>
          </cell>
          <cell r="AH6">
            <v>103316.29203906145</v>
          </cell>
          <cell r="AI6">
            <v>123193.61478217383</v>
          </cell>
          <cell r="AJ6">
            <v>146895.54439597522</v>
          </cell>
          <cell r="AO6">
            <v>22575.396445599974</v>
          </cell>
          <cell r="AP6">
            <v>29381.465023052519</v>
          </cell>
          <cell r="AQ6">
            <v>38252.548430859439</v>
          </cell>
          <cell r="AR6">
            <v>49816.053279592597</v>
          </cell>
          <cell r="AS6">
            <v>64890.065741058927</v>
          </cell>
          <cell r="AX6">
            <v>24911.40976590187</v>
          </cell>
          <cell r="AY6">
            <v>30121.377810395818</v>
          </cell>
          <cell r="AZ6">
            <v>36420.971980128292</v>
          </cell>
          <cell r="BA6">
            <v>44038.082614020277</v>
          </cell>
          <cell r="BB6">
            <v>53248.262961324101</v>
          </cell>
          <cell r="BC6">
            <v>64384.697955064534</v>
          </cell>
        </row>
        <row r="12">
          <cell r="D12">
            <v>4698.0779946607363</v>
          </cell>
          <cell r="E12">
            <v>5412.4404044864787</v>
          </cell>
          <cell r="F12">
            <v>6235.1235695057985</v>
          </cell>
          <cell r="G12">
            <v>7182.4996921241109</v>
          </cell>
          <cell r="H12">
            <v>8273.4063064677757</v>
          </cell>
          <cell r="M12">
            <v>16382.397675965993</v>
          </cell>
          <cell r="N12">
            <v>17741.327596635922</v>
          </cell>
          <cell r="O12">
            <v>19210.801248865064</v>
          </cell>
          <cell r="P12">
            <v>20799.659361527716</v>
          </cell>
          <cell r="Q12">
            <v>22517.439202539186</v>
          </cell>
          <cell r="R12">
            <v>24374.428719344287</v>
          </cell>
          <cell r="W12">
            <v>32462.980124804235</v>
          </cell>
          <cell r="X12">
            <v>34987.918486668495</v>
          </cell>
          <cell r="Y12">
            <v>37715.511227468363</v>
          </cell>
          <cell r="Z12">
            <v>40661.995051370046</v>
          </cell>
          <cell r="AA12">
            <v>43844.907676260322</v>
          </cell>
          <cell r="AF12">
            <v>8178.8148603041191</v>
          </cell>
          <cell r="AG12">
            <v>9752.3154673447716</v>
          </cell>
          <cell r="AH12">
            <v>11628.564569111535</v>
          </cell>
          <cell r="AI12">
            <v>13865.818020793318</v>
          </cell>
          <cell r="AJ12">
            <v>16533.542669897244</v>
          </cell>
          <cell r="AO12">
            <v>3711.563892849008</v>
          </cell>
          <cell r="AP12">
            <v>4830.5324321257831</v>
          </cell>
          <cell r="AQ12">
            <v>6289.0048423981352</v>
          </cell>
          <cell r="AR12">
            <v>8190.131459366472</v>
          </cell>
          <cell r="AS12">
            <v>10668.411763641656</v>
          </cell>
          <cell r="AX12">
            <v>5659.2597321086614</v>
          </cell>
          <cell r="AY12">
            <v>6842.8363597202879</v>
          </cell>
          <cell r="AZ12">
            <v>8273.9492492923491</v>
          </cell>
          <cell r="BA12">
            <v>10004.369482048736</v>
          </cell>
          <cell r="BB12">
            <v>12096.695980418946</v>
          </cell>
          <cell r="BC12">
            <v>14626.620168233756</v>
          </cell>
        </row>
        <row r="18">
          <cell r="D18">
            <v>2632.8514078304079</v>
          </cell>
          <cell r="E18">
            <v>2965.0561592331183</v>
          </cell>
          <cell r="F18">
            <v>3350.9216849407585</v>
          </cell>
          <cell r="G18">
            <v>3798.1351010950484</v>
          </cell>
          <cell r="H18">
            <v>4315.5328542022826</v>
          </cell>
          <cell r="M18">
            <v>14602.832648797412</v>
          </cell>
          <cell r="N18">
            <v>11942.974649995596</v>
          </cell>
          <cell r="O18">
            <v>13021.884239470137</v>
          </cell>
          <cell r="P18">
            <v>14169.150201183322</v>
          </cell>
          <cell r="Q18">
            <v>15393.52767704432</v>
          </cell>
          <cell r="R18">
            <v>16703.753341066884</v>
          </cell>
          <cell r="W18">
            <v>30948.524159080207</v>
          </cell>
          <cell r="X18">
            <v>25159.06259820464</v>
          </cell>
          <cell r="Y18">
            <v>27092.186879449051</v>
          </cell>
          <cell r="Z18">
            <v>29183.086379645669</v>
          </cell>
          <cell r="AA18">
            <v>31444.18058496009</v>
          </cell>
          <cell r="AF18">
            <v>5173.7367941589082</v>
          </cell>
          <cell r="AG18">
            <v>6215.2794681760861</v>
          </cell>
          <cell r="AH18">
            <v>7442.2486463629821</v>
          </cell>
          <cell r="AI18">
            <v>8895.1785998287032</v>
          </cell>
          <cell r="AJ18">
            <v>10620.830567815176</v>
          </cell>
          <cell r="AO18">
            <v>1477.9383905970849</v>
          </cell>
          <cell r="AP18">
            <v>2039.1123445042776</v>
          </cell>
          <cell r="AQ18">
            <v>2716.9239302327505</v>
          </cell>
          <cell r="AR18">
            <v>3571.8102398798401</v>
          </cell>
          <cell r="AS18">
            <v>4670.9384411365327</v>
          </cell>
          <cell r="AX18">
            <v>4306.8034684782306</v>
          </cell>
          <cell r="AY18">
            <v>4009.370830859727</v>
          </cell>
          <cell r="AZ18">
            <v>4835.386770190169</v>
          </cell>
          <cell r="BA18">
            <v>5835.4005346973318</v>
          </cell>
          <cell r="BB18">
            <v>7045.6798407418637</v>
          </cell>
          <cell r="BC18">
            <v>8510.0900256920431</v>
          </cell>
        </row>
        <row r="27">
          <cell r="C27">
            <v>0.13427134752712042</v>
          </cell>
        </row>
        <row r="34">
          <cell r="C34">
            <v>5.4512789960205109E-2</v>
          </cell>
        </row>
      </sheetData>
      <sheetData sheetId="10">
        <row r="5">
          <cell r="B5">
            <v>1.2655000000000001</v>
          </cell>
          <cell r="C5">
            <v>0.7339</v>
          </cell>
          <cell r="D5">
            <v>0.8528</v>
          </cell>
          <cell r="E5">
            <v>1.32</v>
          </cell>
          <cell r="F5">
            <v>1.3466</v>
          </cell>
          <cell r="G5">
            <v>1.1695</v>
          </cell>
        </row>
        <row r="10">
          <cell r="B10">
            <v>7.8860419274769722E-2</v>
          </cell>
          <cell r="C10">
            <v>9.8634065680400437E-2</v>
          </cell>
          <cell r="D10">
            <v>0.13168563906745248</v>
          </cell>
          <cell r="E10">
            <v>8.386030757488605E-2</v>
          </cell>
          <cell r="F10">
            <v>6.5374004943859546E-2</v>
          </cell>
          <cell r="G10">
            <v>6.1236174673220449E-2</v>
          </cell>
        </row>
        <row r="16">
          <cell r="B16">
            <v>3.6842947507722622E-2</v>
          </cell>
          <cell r="C16">
            <v>2.8049218439903982E-2</v>
          </cell>
          <cell r="D16">
            <v>4.0256086090923807E-3</v>
          </cell>
          <cell r="E16">
            <v>0.46946599726152444</v>
          </cell>
          <cell r="F16">
            <v>8.2070707070707072E-2</v>
          </cell>
          <cell r="G16">
            <v>0.1237582313685566</v>
          </cell>
        </row>
        <row r="17">
          <cell r="B17">
            <v>0.16233231034867729</v>
          </cell>
          <cell r="C17">
            <v>0.12613742918119936</v>
          </cell>
          <cell r="D17">
            <v>0.13554767013527899</v>
          </cell>
          <cell r="E17">
            <v>0.12928552677842436</v>
          </cell>
          <cell r="F17">
            <v>0.16271045156736222</v>
          </cell>
          <cell r="G17">
            <v>0.14651160766793031</v>
          </cell>
        </row>
      </sheetData>
      <sheetData sheetId="11">
        <row r="6">
          <cell r="B6">
            <v>3752.0026722267148</v>
          </cell>
          <cell r="C6">
            <v>4232.3932048956794</v>
          </cell>
          <cell r="D6">
            <v>4790.3093969192014</v>
          </cell>
          <cell r="E6">
            <v>5436.9443284898671</v>
          </cell>
          <cell r="F6">
            <v>6185.1732984849696</v>
          </cell>
          <cell r="I6">
            <v>14824.921023372161</v>
          </cell>
          <cell r="J6">
            <v>16217.588875904119</v>
          </cell>
          <cell r="K6">
            <v>17693.859519520811</v>
          </cell>
          <cell r="L6">
            <v>19266.24382953404</v>
          </cell>
          <cell r="M6">
            <v>20947.118813514884</v>
          </cell>
          <cell r="N6">
            <v>22748.933733454342</v>
          </cell>
          <cell r="Q6">
            <v>31006.737298995078</v>
          </cell>
          <cell r="R6">
            <v>33377.307504186007</v>
          </cell>
          <cell r="S6">
            <v>35941.959784277387</v>
          </cell>
          <cell r="T6">
            <v>38715.923859249888</v>
          </cell>
          <cell r="U6">
            <v>41715.676534319093</v>
          </cell>
          <cell r="X6">
            <v>7577.7607060916444</v>
          </cell>
          <cell r="Y6">
            <v>9097.9574530016107</v>
          </cell>
          <cell r="Z6">
            <v>10890.440303112468</v>
          </cell>
          <cell r="AA6">
            <v>13014.154819421683</v>
          </cell>
          <cell r="AB6">
            <v>15537.266360112546</v>
          </cell>
          <cell r="AE6">
            <v>2748.7515242371114</v>
          </cell>
          <cell r="AF6">
            <v>3734.590337108225</v>
          </cell>
          <cell r="AG6">
            <v>4946.6443672329788</v>
          </cell>
          <cell r="AH6">
            <v>6487.6260336735177</v>
          </cell>
          <cell r="AI6">
            <v>8475.6443693212368</v>
          </cell>
          <cell r="AL6">
            <v>4604.4854970357756</v>
          </cell>
          <cell r="AM6">
            <v>5549.4947336532778</v>
          </cell>
          <cell r="AN6">
            <v>6693.9308400190876</v>
          </cell>
          <cell r="AO6">
            <v>8079.3259118833093</v>
          </cell>
          <cell r="AP6">
            <v>9755.9160368386838</v>
          </cell>
          <cell r="AQ6">
            <v>11784.460005275243</v>
          </cell>
        </row>
        <row r="9">
          <cell r="B9">
            <v>946.07532243402125</v>
          </cell>
          <cell r="C9">
            <v>1180.0471995907992</v>
          </cell>
          <cell r="D9">
            <v>1444.8141725865971</v>
          </cell>
          <cell r="E9">
            <v>1745.5553636342438</v>
          </cell>
          <cell r="F9">
            <v>2088.2330079828062</v>
          </cell>
          <cell r="I9">
            <v>1557.4766525938317</v>
          </cell>
          <cell r="J9">
            <v>1523.7387207318025</v>
          </cell>
          <cell r="K9">
            <v>1516.9417293442543</v>
          </cell>
          <cell r="L9">
            <v>1533.4155319936758</v>
          </cell>
          <cell r="M9">
            <v>1570.3203890243035</v>
          </cell>
          <cell r="N9">
            <v>1625.4949858899449</v>
          </cell>
          <cell r="Q9">
            <v>1456.2428258091584</v>
          </cell>
          <cell r="R9">
            <v>1610.6109824824898</v>
          </cell>
          <cell r="S9">
            <v>1773.5514431909776</v>
          </cell>
          <cell r="T9">
            <v>1946.0711921201575</v>
          </cell>
          <cell r="U9">
            <v>2129.2311419412295</v>
          </cell>
          <cell r="X9">
            <v>601.05415421247494</v>
          </cell>
          <cell r="Y9">
            <v>654.35801434316136</v>
          </cell>
          <cell r="Z9">
            <v>738.12426599906701</v>
          </cell>
          <cell r="AA9">
            <v>851.66320137163598</v>
          </cell>
          <cell r="AB9">
            <v>996.27630978469779</v>
          </cell>
          <cell r="AE9">
            <v>962.81236861189655</v>
          </cell>
          <cell r="AF9">
            <v>1095.9420950175584</v>
          </cell>
          <cell r="AG9">
            <v>1342.360475165156</v>
          </cell>
          <cell r="AH9">
            <v>1702.5054256929541</v>
          </cell>
          <cell r="AI9">
            <v>2192.7673943204195</v>
          </cell>
          <cell r="AL9">
            <v>1054.7742350728856</v>
          </cell>
          <cell r="AM9">
            <v>1293.3416260670101</v>
          </cell>
          <cell r="AN9">
            <v>1580.0184092732616</v>
          </cell>
          <cell r="AO9">
            <v>1925.0435701654269</v>
          </cell>
          <cell r="AP9">
            <v>2340.7799435802635</v>
          </cell>
          <cell r="AQ9">
            <v>2842.1601629585134</v>
          </cell>
        </row>
      </sheetData>
      <sheetData sheetId="12">
        <row r="2">
          <cell r="M2">
            <v>0.18097548646389972</v>
          </cell>
        </row>
        <row r="3">
          <cell r="M3">
            <v>0.35058039879891528</v>
          </cell>
        </row>
        <row r="4">
          <cell r="M4">
            <v>0.5394864438553657</v>
          </cell>
        </row>
        <row r="5">
          <cell r="M5">
            <v>0.24500897314433989</v>
          </cell>
        </row>
        <row r="6">
          <cell r="M6">
            <v>0.20512574307054271</v>
          </cell>
        </row>
        <row r="7">
          <cell r="M7">
            <v>0.22872996409500093</v>
          </cell>
        </row>
      </sheetData>
      <sheetData sheetId="13" refreshError="1"/>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Info"/>
      <sheetName val="Balance Sheet"/>
      <sheetName val="Income Statement"/>
      <sheetName val="Cash Flow Statement"/>
      <sheetName val="Ratio Analysis"/>
      <sheetName val="WACC &amp; Key Assumptions"/>
      <sheetName val="DCF"/>
      <sheetName val="Relative Valuation"/>
    </sheetNames>
    <sheetDataSet>
      <sheetData sheetId="0"/>
      <sheetData sheetId="1">
        <row r="36">
          <cell r="V36">
            <v>4095.7000000000003</v>
          </cell>
          <cell r="W36">
            <v>5347.45</v>
          </cell>
          <cell r="AL36">
            <v>8745.85</v>
          </cell>
          <cell r="AM36">
            <v>8623.7199999999993</v>
          </cell>
        </row>
        <row r="37">
          <cell r="AC37">
            <v>103567.22000000002</v>
          </cell>
          <cell r="AD37">
            <v>102549.65999999999</v>
          </cell>
          <cell r="AE37">
            <v>115403.68</v>
          </cell>
        </row>
        <row r="40">
          <cell r="N40">
            <v>5112.8099999999995</v>
          </cell>
          <cell r="O40">
            <v>6468.86</v>
          </cell>
        </row>
        <row r="43">
          <cell r="F43">
            <v>54543</v>
          </cell>
          <cell r="G43">
            <v>64973.34</v>
          </cell>
        </row>
      </sheetData>
      <sheetData sheetId="2">
        <row r="24">
          <cell r="R24">
            <v>565.52000000000044</v>
          </cell>
          <cell r="S24">
            <v>552.71999999999798</v>
          </cell>
          <cell r="T24">
            <v>375.71999999999969</v>
          </cell>
          <cell r="U24">
            <v>176.02999999999957</v>
          </cell>
          <cell r="V24">
            <v>346.77999999999798</v>
          </cell>
          <cell r="W24">
            <v>570.73999999999796</v>
          </cell>
        </row>
        <row r="25">
          <cell r="AJ25">
            <v>991.57000000000164</v>
          </cell>
          <cell r="AK25">
            <v>1182.6899999999978</v>
          </cell>
          <cell r="AL25">
            <v>1341.7500000000018</v>
          </cell>
          <cell r="AM25">
            <v>1574.4699999999975</v>
          </cell>
        </row>
        <row r="27">
          <cell r="K27">
            <v>662.03999999999962</v>
          </cell>
          <cell r="L27">
            <v>535.05999999999892</v>
          </cell>
          <cell r="M27">
            <v>435.01999999999794</v>
          </cell>
          <cell r="N27">
            <v>515.89999999999873</v>
          </cell>
          <cell r="O27">
            <v>567.26999999999566</v>
          </cell>
        </row>
        <row r="30">
          <cell r="F30">
            <v>8103.9900000000016</v>
          </cell>
          <cell r="G30">
            <v>11061.260000000004</v>
          </cell>
        </row>
        <row r="42">
          <cell r="AC42">
            <v>12530.620000000006</v>
          </cell>
          <cell r="AD42">
            <v>15547.099999999997</v>
          </cell>
          <cell r="AE42">
            <v>17673.330000000034</v>
          </cell>
        </row>
      </sheetData>
      <sheetData sheetId="3">
        <row r="48">
          <cell r="T48">
            <v>-102.53</v>
          </cell>
          <cell r="U48">
            <v>-102.85</v>
          </cell>
          <cell r="V48">
            <v>-77.16</v>
          </cell>
          <cell r="W48">
            <v>-102.79</v>
          </cell>
        </row>
        <row r="51">
          <cell r="AI51">
            <v>-475.38</v>
          </cell>
          <cell r="AJ51">
            <v>-421.17</v>
          </cell>
          <cell r="AK51">
            <v>-433.47</v>
          </cell>
          <cell r="AL51">
            <v>-443.93</v>
          </cell>
          <cell r="AM51">
            <v>-439.94</v>
          </cell>
        </row>
        <row r="54">
          <cell r="L54">
            <v>-405.35</v>
          </cell>
          <cell r="M54">
            <v>-491.69</v>
          </cell>
          <cell r="N54">
            <v>-503.76</v>
          </cell>
          <cell r="O54">
            <v>-566.16999999999996</v>
          </cell>
        </row>
        <row r="55">
          <cell r="M55">
            <v>-102.19999999999999</v>
          </cell>
          <cell r="N55">
            <v>-113.71</v>
          </cell>
          <cell r="O55">
            <v>-129.96</v>
          </cell>
        </row>
        <row r="65">
          <cell r="Z65">
            <v>-3929.61</v>
          </cell>
          <cell r="AA65">
            <v>-3650.89</v>
          </cell>
          <cell r="AB65">
            <v>-2528.38</v>
          </cell>
          <cell r="AC65">
            <v>-3091.42</v>
          </cell>
          <cell r="AD65">
            <v>-4216.95</v>
          </cell>
          <cell r="AE65">
            <v>-3849.57</v>
          </cell>
        </row>
        <row r="71">
          <cell r="D71">
            <v>-1026.6500000000001</v>
          </cell>
          <cell r="E71">
            <v>-1092.9100000000001</v>
          </cell>
          <cell r="F71">
            <v>-1079.68</v>
          </cell>
          <cell r="G71">
            <v>-1336.28</v>
          </cell>
        </row>
      </sheetData>
      <sheetData sheetId="4">
        <row r="12">
          <cell r="B12">
            <v>1.888090254363364</v>
          </cell>
          <cell r="C12">
            <v>1.6171337804745818</v>
          </cell>
          <cell r="D12">
            <v>1.4276236402174749</v>
          </cell>
          <cell r="E12">
            <v>1.3201927546018188</v>
          </cell>
          <cell r="F12">
            <v>1.0263600194695344</v>
          </cell>
          <cell r="G12">
            <v>0.87091349689852715</v>
          </cell>
          <cell r="J12">
            <v>1.1141389655586229</v>
          </cell>
          <cell r="K12">
            <v>1.1835706057849171</v>
          </cell>
          <cell r="L12">
            <v>1.1853431412139714</v>
          </cell>
          <cell r="M12">
            <v>1.1124639998022308</v>
          </cell>
          <cell r="N12">
            <v>1.1063284043401846</v>
          </cell>
          <cell r="O12">
            <v>1.1471571161483798</v>
          </cell>
          <cell r="R12">
            <v>1.0536463561120892</v>
          </cell>
          <cell r="S12">
            <v>1.0732818075686688</v>
          </cell>
          <cell r="T12">
            <v>1.0429781387128789</v>
          </cell>
          <cell r="U12">
            <v>1.0337384281252333</v>
          </cell>
          <cell r="V12">
            <v>1.0282680941535878</v>
          </cell>
          <cell r="W12">
            <v>1.1244416671596755</v>
          </cell>
          <cell r="Z12">
            <v>1.1411266955581867</v>
          </cell>
          <cell r="AA12">
            <v>1.4215603032169797</v>
          </cell>
          <cell r="AB12">
            <v>1.2685588574753051</v>
          </cell>
          <cell r="AC12">
            <v>1.3289373051063953</v>
          </cell>
          <cell r="AD12">
            <v>1.1968215023635662</v>
          </cell>
          <cell r="AE12">
            <v>1.1767594242536923</v>
          </cell>
          <cell r="AH12">
            <v>3.1548818766236355</v>
          </cell>
          <cell r="AI12">
            <v>3.9706338418365115</v>
          </cell>
          <cell r="AJ12">
            <v>2.1079925501223382</v>
          </cell>
          <cell r="AK12">
            <v>2.0228227349465389</v>
          </cell>
          <cell r="AL12">
            <v>2.1140846239179614</v>
          </cell>
          <cell r="AM12">
            <v>2.0456288001711753</v>
          </cell>
        </row>
        <row r="14">
          <cell r="B14">
            <v>1.0728384542399747</v>
          </cell>
          <cell r="C14">
            <v>1.0385958320364723</v>
          </cell>
          <cell r="D14">
            <v>1.0724865086917508</v>
          </cell>
          <cell r="E14">
            <v>1.061745331463283</v>
          </cell>
          <cell r="F14">
            <v>0.84849073208294368</v>
          </cell>
          <cell r="G14">
            <v>0.70505887491700447</v>
          </cell>
          <cell r="J14">
            <v>0.83795065762180376</v>
          </cell>
          <cell r="K14">
            <v>0.64837235095648016</v>
          </cell>
          <cell r="L14">
            <v>0.83960728652373418</v>
          </cell>
          <cell r="M14">
            <v>0.78452702040538069</v>
          </cell>
          <cell r="N14">
            <v>0.76458933541438079</v>
          </cell>
          <cell r="O14">
            <v>0.6475051245505391</v>
          </cell>
          <cell r="R14">
            <v>0.73699411634341117</v>
          </cell>
          <cell r="S14">
            <v>0.54868752771833118</v>
          </cell>
          <cell r="T14">
            <v>0.79081915948650938</v>
          </cell>
          <cell r="U14">
            <v>0.84701518261026343</v>
          </cell>
          <cell r="V14">
            <v>0.9249407915618818</v>
          </cell>
          <cell r="W14">
            <v>0.69212428353701294</v>
          </cell>
          <cell r="Z14">
            <v>0.49420463878057358</v>
          </cell>
          <cell r="AA14">
            <v>0.39409559512652292</v>
          </cell>
          <cell r="AB14">
            <v>1.2945727298282244</v>
          </cell>
          <cell r="AC14">
            <v>1.1443136158332723</v>
          </cell>
          <cell r="AD14">
            <v>1.1120443500251489</v>
          </cell>
          <cell r="AE14">
            <v>1.1226621196135167</v>
          </cell>
          <cell r="AH14">
            <v>0.83204414973617946</v>
          </cell>
          <cell r="AI14">
            <v>1.047146243488382</v>
          </cell>
          <cell r="AJ14">
            <v>1.030946947197299</v>
          </cell>
          <cell r="AK14">
            <v>0.8843076371063453</v>
          </cell>
          <cell r="AL14">
            <v>0.68464014361096981</v>
          </cell>
          <cell r="AM14">
            <v>0.62490665281340319</v>
          </cell>
        </row>
        <row r="15">
          <cell r="B15">
            <v>3.3754039952789086</v>
          </cell>
          <cell r="C15">
            <v>3.7962168945013723</v>
          </cell>
          <cell r="D15">
            <v>3.3998160319506909</v>
          </cell>
          <cell r="E15">
            <v>3.8420453391121794</v>
          </cell>
          <cell r="F15">
            <v>4.8892621133285044</v>
          </cell>
          <cell r="G15">
            <v>6.1889628804575372</v>
          </cell>
          <cell r="J15">
            <v>2.2805198794371209</v>
          </cell>
          <cell r="K15">
            <v>2.7621462832488</v>
          </cell>
          <cell r="L15">
            <v>2.3407261625413138</v>
          </cell>
          <cell r="M15">
            <v>2.1799464381360427</v>
          </cell>
          <cell r="N15">
            <v>2.3534396232242094</v>
          </cell>
          <cell r="O15">
            <v>2.4271590376910059</v>
          </cell>
          <cell r="R15">
            <v>3.5659783102798897</v>
          </cell>
          <cell r="S15">
            <v>3.8775743271536718</v>
          </cell>
          <cell r="T15">
            <v>2.402120253164556</v>
          </cell>
          <cell r="U15">
            <v>1.298891550158747</v>
          </cell>
          <cell r="V15">
            <v>1.6510005647734007</v>
          </cell>
          <cell r="W15">
            <v>2.0962943986497655</v>
          </cell>
          <cell r="Z15">
            <v>5.8024965494554266</v>
          </cell>
          <cell r="AA15">
            <v>4.1266098368698687</v>
          </cell>
          <cell r="AB15">
            <v>5.6063409796205592</v>
          </cell>
          <cell r="AC15">
            <v>6.2922336272590105</v>
          </cell>
          <cell r="AD15">
            <v>6.7598319161837077</v>
          </cell>
          <cell r="AE15">
            <v>7.9290480660514691</v>
          </cell>
          <cell r="AH15">
            <v>15.013890011119752</v>
          </cell>
          <cell r="AI15">
            <v>24.688816776664897</v>
          </cell>
          <cell r="AJ15">
            <v>3.4839350416903163</v>
          </cell>
          <cell r="AK15">
            <v>3.481151655993326</v>
          </cell>
          <cell r="AL15">
            <v>3.819495329996391</v>
          </cell>
          <cell r="AM15">
            <v>4.4283276750690375</v>
          </cell>
        </row>
      </sheetData>
      <sheetData sheetId="5">
        <row r="2">
          <cell r="Z2">
            <v>0.15</v>
          </cell>
        </row>
        <row r="3">
          <cell r="Z3">
            <v>0.15</v>
          </cell>
        </row>
        <row r="4">
          <cell r="Z4">
            <v>0.15</v>
          </cell>
        </row>
        <row r="5">
          <cell r="B5">
            <v>1.4157</v>
          </cell>
          <cell r="C5">
            <v>0.80710000000000004</v>
          </cell>
          <cell r="D5">
            <v>0.6714</v>
          </cell>
          <cell r="E5">
            <v>1.1735</v>
          </cell>
          <cell r="F5">
            <v>1.373</v>
          </cell>
          <cell r="Z5">
            <v>0.15</v>
          </cell>
        </row>
        <row r="6">
          <cell r="Z6">
            <v>0.15</v>
          </cell>
        </row>
        <row r="9">
          <cell r="K9">
            <v>9.4926545637935164E-2</v>
          </cell>
        </row>
        <row r="10">
          <cell r="B10">
            <v>4.1239662475298422E-2</v>
          </cell>
          <cell r="C10">
            <v>0.10679355678441853</v>
          </cell>
          <cell r="D10">
            <v>0.13290619517236407</v>
          </cell>
          <cell r="E10">
            <v>8.1341709120711134E-2</v>
          </cell>
          <cell r="F10">
            <v>7.4953985222532202E-2</v>
          </cell>
        </row>
        <row r="15">
          <cell r="B15">
            <v>0.12722639448549342</v>
          </cell>
          <cell r="C15">
            <v>0.16307351977596674</v>
          </cell>
          <cell r="D15">
            <v>0.14393785599447442</v>
          </cell>
          <cell r="E15">
            <v>0.14638007032165515</v>
          </cell>
          <cell r="F15">
            <v>7.2076498975632119E-2</v>
          </cell>
        </row>
        <row r="16">
          <cell r="B16">
            <v>0.14449758413296904</v>
          </cell>
          <cell r="C16">
            <v>0.11656525361151077</v>
          </cell>
          <cell r="D16">
            <v>0.11270595771166526</v>
          </cell>
          <cell r="E16">
            <v>0.1341462460560244</v>
          </cell>
          <cell r="F16">
            <v>0.15077787593584654</v>
          </cell>
        </row>
        <row r="20">
          <cell r="B20">
            <v>0.2601827433027597</v>
          </cell>
          <cell r="C20">
            <v>2.7623216381222393E-2</v>
          </cell>
          <cell r="D20">
            <v>1.1500054296040367E-2</v>
          </cell>
          <cell r="E20">
            <v>1.918212600973342E-2</v>
          </cell>
          <cell r="F20">
            <v>6.0259862970188233E-3</v>
          </cell>
        </row>
        <row r="21">
          <cell r="K21">
            <v>6.4902825257354926E-2</v>
          </cell>
        </row>
      </sheetData>
      <sheetData sheetId="6">
        <row r="4">
          <cell r="D4">
            <v>37359.649304940664</v>
          </cell>
          <cell r="E4">
            <v>43101.008186625644</v>
          </cell>
          <cell r="F4">
            <v>49724.688032815604</v>
          </cell>
          <cell r="G4">
            <v>57366.282228360324</v>
          </cell>
          <cell r="H4">
            <v>66182.221888090673</v>
          </cell>
          <cell r="M4">
            <v>24587.641119982261</v>
          </cell>
          <cell r="N4">
            <v>27015.152020087469</v>
          </cell>
          <cell r="O4">
            <v>29682.328414795189</v>
          </cell>
          <cell r="P4">
            <v>32612.832216107785</v>
          </cell>
          <cell r="Q4">
            <v>35832.661450705018</v>
          </cell>
          <cell r="V4">
            <v>24240.194467782138</v>
          </cell>
          <cell r="W4">
            <v>26808.961756504636</v>
          </cell>
          <cell r="X4">
            <v>29649.944905226977</v>
          </cell>
          <cell r="Y4">
            <v>32791.991009114521</v>
          </cell>
          <cell r="Z4">
            <v>36267.004130327434</v>
          </cell>
          <cell r="AE4">
            <v>285479.99722991779</v>
          </cell>
          <cell r="AF4">
            <v>313626.79044851416</v>
          </cell>
          <cell r="AG4">
            <v>344548.70618419664</v>
          </cell>
          <cell r="AH4">
            <v>378519.35660034837</v>
          </cell>
          <cell r="AI4">
            <v>415839.33054894564</v>
          </cell>
          <cell r="AN4">
            <v>26384.779891704995</v>
          </cell>
          <cell r="AO4">
            <v>30169.562030167985</v>
          </cell>
          <cell r="AP4">
            <v>34497.254736557748</v>
          </cell>
          <cell r="AQ4">
            <v>39445.736175054772</v>
          </cell>
          <cell r="AR4">
            <v>45104.055794420121</v>
          </cell>
        </row>
        <row r="5">
          <cell r="D5">
            <v>17576.065418846949</v>
          </cell>
          <cell r="E5">
            <v>20277.121268539526</v>
          </cell>
          <cell r="F5">
            <v>23393.270174004141</v>
          </cell>
          <cell r="G5">
            <v>26988.302835818056</v>
          </cell>
          <cell r="H5">
            <v>31135.813186444833</v>
          </cell>
          <cell r="M5">
            <v>1726.140090024466</v>
          </cell>
          <cell r="N5">
            <v>1896.5600120981455</v>
          </cell>
          <cell r="O5">
            <v>2083.8053065778313</v>
          </cell>
          <cell r="P5">
            <v>2289.5371240681957</v>
          </cell>
          <cell r="Q5">
            <v>2515.5806187552162</v>
          </cell>
          <cell r="V5">
            <v>1494.8928764930274</v>
          </cell>
          <cell r="W5">
            <v>1653.3087640546305</v>
          </cell>
          <cell r="X5">
            <v>1828.5122046419758</v>
          </cell>
          <cell r="Y5">
            <v>2022.282198713476</v>
          </cell>
          <cell r="Z5">
            <v>2236.5862698926658</v>
          </cell>
          <cell r="AE5">
            <v>40932.965072977044</v>
          </cell>
          <cell r="AF5">
            <v>44968.735406844666</v>
          </cell>
          <cell r="AG5">
            <v>49402.41100261276</v>
          </cell>
          <cell r="AH5">
            <v>54273.223180289664</v>
          </cell>
          <cell r="AI5">
            <v>59624.271257160857</v>
          </cell>
          <cell r="AN5">
            <v>2516.50487666654</v>
          </cell>
          <cell r="AO5">
            <v>2877.4865770125366</v>
          </cell>
          <cell r="AP5">
            <v>3290.2495352424035</v>
          </cell>
          <cell r="AQ5">
            <v>3762.2215480158216</v>
          </cell>
          <cell r="AR5">
            <v>4301.8958971790471</v>
          </cell>
        </row>
        <row r="7">
          <cell r="D7">
            <v>13182.049064135212</v>
          </cell>
          <cell r="E7">
            <v>15207.840951404643</v>
          </cell>
          <cell r="F7">
            <v>17544.952630503107</v>
          </cell>
          <cell r="G7">
            <v>20241.227126863541</v>
          </cell>
          <cell r="H7">
            <v>23351.859889833624</v>
          </cell>
          <cell r="M7">
            <v>1294.6050675183494</v>
          </cell>
          <cell r="N7">
            <v>1422.4200090736092</v>
          </cell>
          <cell r="O7">
            <v>1562.8539799333735</v>
          </cell>
          <cell r="P7">
            <v>1717.1528430511466</v>
          </cell>
          <cell r="Q7">
            <v>1886.6854640664121</v>
          </cell>
          <cell r="V7">
            <v>1121.1696573697704</v>
          </cell>
          <cell r="W7">
            <v>1239.9815730409728</v>
          </cell>
          <cell r="X7">
            <v>1371.3841534814819</v>
          </cell>
          <cell r="Y7">
            <v>1516.711649035107</v>
          </cell>
          <cell r="Z7">
            <v>1677.4397024194993</v>
          </cell>
          <cell r="AE7">
            <v>30699.723804732785</v>
          </cell>
          <cell r="AF7">
            <v>33726.551555133497</v>
          </cell>
          <cell r="AG7">
            <v>37051.80825195957</v>
          </cell>
          <cell r="AH7">
            <v>40704.917385217246</v>
          </cell>
          <cell r="AI7">
            <v>44718.203442870639</v>
          </cell>
          <cell r="AN7">
            <v>1887.3786574999049</v>
          </cell>
          <cell r="AO7">
            <v>2158.1149327594026</v>
          </cell>
          <cell r="AP7">
            <v>2467.6871514318027</v>
          </cell>
          <cell r="AQ7">
            <v>2821.6661610118663</v>
          </cell>
          <cell r="AR7">
            <v>3226.4219228842853</v>
          </cell>
        </row>
        <row r="8">
          <cell r="D8">
            <v>5314.5192150998519</v>
          </cell>
          <cell r="E8">
            <v>6131.244282523433</v>
          </cell>
          <cell r="F8">
            <v>7073.4820837918433</v>
          </cell>
          <cell r="G8">
            <v>8160.5211738736452</v>
          </cell>
          <cell r="H8">
            <v>9414.6143356796838</v>
          </cell>
          <cell r="M8">
            <v>602.12538512194578</v>
          </cell>
          <cell r="N8">
            <v>661.57256545457562</v>
          </cell>
          <cell r="O8">
            <v>726.88890084497541</v>
          </cell>
          <cell r="P8">
            <v>798.65384654904494</v>
          </cell>
          <cell r="Q8">
            <v>877.50406680596711</v>
          </cell>
          <cell r="V8">
            <v>244.22490037375266</v>
          </cell>
          <cell r="W8">
            <v>270.10575442405462</v>
          </cell>
          <cell r="X8">
            <v>298.72923875221926</v>
          </cell>
          <cell r="Y8">
            <v>330.38599372221694</v>
          </cell>
          <cell r="Z8">
            <v>365.39745926362178</v>
          </cell>
          <cell r="AE8">
            <v>5012.6378289717532</v>
          </cell>
          <cell r="AF8">
            <v>5506.8569750443658</v>
          </cell>
          <cell r="AG8">
            <v>6049.8034723995761</v>
          </cell>
          <cell r="AH8">
            <v>6646.2815759552386</v>
          </cell>
          <cell r="AI8">
            <v>7301.569214340343</v>
          </cell>
          <cell r="AN8">
            <v>28.21436884675812</v>
          </cell>
          <cell r="AO8">
            <v>32.261597578531187</v>
          </cell>
          <cell r="AP8">
            <v>36.88938370275401</v>
          </cell>
          <cell r="AQ8">
            <v>42.181005657159069</v>
          </cell>
          <cell r="AR8">
            <v>48.231687809857732</v>
          </cell>
        </row>
      </sheetData>
      <sheetData sheetId="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WACC"/>
      <sheetName val="Valuation"/>
      <sheetName val="Calc"/>
      <sheetName val="FCFF"/>
      <sheetName val="DDM"/>
      <sheetName val="RIM"/>
      <sheetName val="Summary"/>
    </sheetNames>
    <sheetDataSet>
      <sheetData sheetId="0" refreshError="1"/>
      <sheetData sheetId="1">
        <row r="34">
          <cell r="Q34">
            <v>60082</v>
          </cell>
          <cell r="R34">
            <v>62006</v>
          </cell>
          <cell r="S34">
            <v>65398</v>
          </cell>
          <cell r="T34">
            <v>68271</v>
          </cell>
        </row>
        <row r="35">
          <cell r="J35">
            <v>76782</v>
          </cell>
          <cell r="K35">
            <v>75736</v>
          </cell>
          <cell r="L35">
            <v>75795</v>
          </cell>
          <cell r="M35">
            <v>88461</v>
          </cell>
        </row>
        <row r="40">
          <cell r="B40">
            <v>84749</v>
          </cell>
          <cell r="C40">
            <v>87108</v>
          </cell>
          <cell r="D40">
            <v>89846</v>
          </cell>
          <cell r="E40">
            <v>91206</v>
          </cell>
          <cell r="F40">
            <v>91319</v>
          </cell>
          <cell r="AG40">
            <v>16599.199999999997</v>
          </cell>
          <cell r="AH40">
            <v>20026.400000000001</v>
          </cell>
        </row>
        <row r="41">
          <cell r="Z41">
            <v>77726.8</v>
          </cell>
          <cell r="AA41">
            <v>74667</v>
          </cell>
        </row>
      </sheetData>
      <sheetData sheetId="2">
        <row r="18">
          <cell r="AH18">
            <v>4584.5999999999967</v>
          </cell>
        </row>
        <row r="20">
          <cell r="T20">
            <v>15710</v>
          </cell>
        </row>
        <row r="21">
          <cell r="F21">
            <v>46099</v>
          </cell>
        </row>
        <row r="22">
          <cell r="M22">
            <v>26750</v>
          </cell>
        </row>
        <row r="28">
          <cell r="AA28">
            <v>11112.100000000019</v>
          </cell>
        </row>
      </sheetData>
      <sheetData sheetId="3">
        <row r="42">
          <cell r="AA42">
            <v>-32.200000000000003</v>
          </cell>
        </row>
        <row r="43">
          <cell r="AH43">
            <v>-1775.3</v>
          </cell>
        </row>
        <row r="45">
          <cell r="T45">
            <v>-14066</v>
          </cell>
        </row>
        <row r="47">
          <cell r="F47">
            <v>-25137</v>
          </cell>
        </row>
        <row r="50">
          <cell r="M50">
            <v>-14692</v>
          </cell>
        </row>
      </sheetData>
      <sheetData sheetId="4">
        <row r="16">
          <cell r="C16">
            <v>3.3345158906134515</v>
          </cell>
          <cell r="D16">
            <v>2.9065144195578978</v>
          </cell>
          <cell r="E16">
            <v>2.5569644164246417</v>
          </cell>
          <cell r="F16">
            <v>2.5309242848615638</v>
          </cell>
          <cell r="G16">
            <v>2.4500260281103592</v>
          </cell>
          <cell r="S16">
            <v>1.6152128107880319</v>
          </cell>
          <cell r="T16">
            <v>2.4712075015820054</v>
          </cell>
          <cell r="U16">
            <v>2.5501997336884155</v>
          </cell>
          <cell r="V16">
            <v>2.4893378750408286</v>
          </cell>
          <cell r="W16">
            <v>2.6025697439056588</v>
          </cell>
          <cell r="AA16">
            <v>2.3937280780801604</v>
          </cell>
          <cell r="AB16">
            <v>2.2697009215788557</v>
          </cell>
          <cell r="AC16">
            <v>2.0089514771558954</v>
          </cell>
          <cell r="AD16">
            <v>2.4646147755580694</v>
          </cell>
          <cell r="AE16">
            <v>2.5737152318405445</v>
          </cell>
          <cell r="AI16">
            <v>2.7149107755662318</v>
          </cell>
          <cell r="AJ16">
            <v>3.0890476009573375</v>
          </cell>
          <cell r="AK16">
            <v>2.9327612277359938</v>
          </cell>
          <cell r="AL16">
            <v>3.1340057636887613</v>
          </cell>
          <cell r="AM16">
            <v>3.2809931745368428</v>
          </cell>
        </row>
        <row r="18">
          <cell r="C18">
            <v>9.6449515628502985E-2</v>
          </cell>
          <cell r="D18">
            <v>8.9486614317858287E-2</v>
          </cell>
          <cell r="E18">
            <v>8.7015559958150607E-2</v>
          </cell>
          <cell r="F18">
            <v>8.429270004166392E-2</v>
          </cell>
          <cell r="G18">
            <v>8.7834952200527824E-2</v>
          </cell>
          <cell r="K18">
            <v>7.0363282911123259E-2</v>
          </cell>
          <cell r="L18">
            <v>6.9352191919981251E-2</v>
          </cell>
          <cell r="M18">
            <v>0.11534805112496038</v>
          </cell>
          <cell r="N18">
            <v>0.14409921498779601</v>
          </cell>
          <cell r="O18">
            <v>0.11706853867806152</v>
          </cell>
          <cell r="S18">
            <v>9.1266214192645023E-2</v>
          </cell>
          <cell r="T18">
            <v>6.3712925668253387E-2</v>
          </cell>
          <cell r="U18">
            <v>6.4267974067025765E-2</v>
          </cell>
          <cell r="V18">
            <v>3.4420012844429491E-2</v>
          </cell>
          <cell r="W18">
            <v>3.4084750479705876E-2</v>
          </cell>
          <cell r="AA18">
            <v>0.10603647683627219</v>
          </cell>
          <cell r="AB18">
            <v>0.15137291374512266</v>
          </cell>
          <cell r="AC18">
            <v>0.23175793872079076</v>
          </cell>
          <cell r="AD18">
            <v>0.19310327969246127</v>
          </cell>
          <cell r="AE18">
            <v>0.1894625470422007</v>
          </cell>
          <cell r="AI18">
            <v>5.9203344988991878E-3</v>
          </cell>
          <cell r="AJ18">
            <v>5.6657223796033997E-3</v>
          </cell>
          <cell r="AK18">
            <v>3.6311735197195809E-3</v>
          </cell>
          <cell r="AL18">
            <v>7.5485565569425048E-3</v>
          </cell>
          <cell r="AM18">
            <v>2.0323173411097351E-3</v>
          </cell>
        </row>
        <row r="19">
          <cell r="C19">
            <v>46.722943722943725</v>
          </cell>
          <cell r="D19">
            <v>71.609105180533746</v>
          </cell>
          <cell r="E19">
            <v>66.927295918367349</v>
          </cell>
          <cell r="F19">
            <v>74.051347881899872</v>
          </cell>
          <cell r="G19">
            <v>81.919023136246793</v>
          </cell>
          <cell r="K19">
            <v>130.45294117647057</v>
          </cell>
          <cell r="L19">
            <v>137.55384615384617</v>
          </cell>
          <cell r="M19">
            <v>151.55000000000001</v>
          </cell>
          <cell r="N19">
            <v>118.33098591549296</v>
          </cell>
          <cell r="O19">
            <v>91.40384615384616</v>
          </cell>
          <cell r="S19">
            <v>28.683168316831683</v>
          </cell>
          <cell r="T19">
            <v>32.023483365949119</v>
          </cell>
          <cell r="U19">
            <v>2.3544546544147025</v>
          </cell>
          <cell r="V19">
            <v>2.3035451505016722</v>
          </cell>
          <cell r="W19">
            <v>2.4382631362326794</v>
          </cell>
          <cell r="AA19">
            <v>17.719295851528383</v>
          </cell>
          <cell r="AB19">
            <v>28.324882075471685</v>
          </cell>
          <cell r="AC19">
            <v>29.433427230046934</v>
          </cell>
          <cell r="AD19">
            <v>15.65287287883298</v>
          </cell>
          <cell r="AE19">
            <v>12.72801147227535</v>
          </cell>
          <cell r="AI19">
            <v>25.248184019370456</v>
          </cell>
          <cell r="AJ19">
            <v>33.845177664974635</v>
          </cell>
          <cell r="AK19">
            <v>43.900324149108599</v>
          </cell>
          <cell r="AL19">
            <v>39.507313829787229</v>
          </cell>
          <cell r="AM19">
            <v>28.283265674334675</v>
          </cell>
        </row>
        <row r="26">
          <cell r="C26">
            <v>8.7106640096335217E-2</v>
          </cell>
          <cell r="D26">
            <v>8.0690240569748661E-2</v>
          </cell>
          <cell r="E26">
            <v>7.8839889878281208E-2</v>
          </cell>
          <cell r="F26">
            <v>7.6808568031730487E-2</v>
          </cell>
          <cell r="G26">
            <v>7.9934226917135878E-2</v>
          </cell>
          <cell r="K26">
            <v>6.4425965068416954E-2</v>
          </cell>
          <cell r="L26">
            <v>6.3002094154115548E-2</v>
          </cell>
          <cell r="M26">
            <v>0.10365202534348972</v>
          </cell>
          <cell r="N26">
            <v>0.12607641694563085</v>
          </cell>
          <cell r="O26">
            <v>0.10458493233690164</v>
          </cell>
          <cell r="S26">
            <v>0.12821076111937271</v>
          </cell>
          <cell r="T26">
            <v>9.3328101611660927E-2</v>
          </cell>
          <cell r="U26">
            <v>9.0281533775513109E-2</v>
          </cell>
          <cell r="V26">
            <v>6.6490691858849676E-2</v>
          </cell>
          <cell r="W26">
            <v>7.498208819123299E-2</v>
          </cell>
        </row>
        <row r="27">
          <cell r="AA27">
            <v>0.13088283623632618</v>
          </cell>
          <cell r="AB27">
            <v>0.17498267150190364</v>
          </cell>
          <cell r="AC27">
            <v>0.22945515015161883</v>
          </cell>
          <cell r="AD27">
            <v>0.1933035556185147</v>
          </cell>
          <cell r="AE27">
            <v>0.18387332374409229</v>
          </cell>
          <cell r="AI27">
            <v>0.14042841523322608</v>
          </cell>
          <cell r="AJ27">
            <v>9.8838648969889059E-2</v>
          </cell>
          <cell r="AK27">
            <v>8.9805746896404776E-2</v>
          </cell>
          <cell r="AL27">
            <v>8.5558053681960761E-2</v>
          </cell>
          <cell r="AM27">
            <v>9.4895461919907609E-2</v>
          </cell>
        </row>
      </sheetData>
      <sheetData sheetId="5">
        <row r="4">
          <cell r="B4">
            <v>0.8266</v>
          </cell>
          <cell r="C4">
            <v>0.82740000000000002</v>
          </cell>
          <cell r="D4">
            <v>0.88239999999999996</v>
          </cell>
          <cell r="E4">
            <v>0.78220000000000001</v>
          </cell>
          <cell r="F4">
            <v>1.2866</v>
          </cell>
        </row>
        <row r="9">
          <cell r="B9">
            <v>7.4096110998582126E-2</v>
          </cell>
          <cell r="C9">
            <v>2.3735364755328732E-2</v>
          </cell>
          <cell r="D9">
            <v>5.1000000000000004E-2</v>
          </cell>
          <cell r="E9">
            <v>5.1716893245673821E-2</v>
          </cell>
          <cell r="F9">
            <v>7.6719144165187311E-2</v>
          </cell>
        </row>
        <row r="14">
          <cell r="B14">
            <v>7.1415061895102891E-3</v>
          </cell>
          <cell r="C14">
            <v>1.2745750778673154E-2</v>
          </cell>
          <cell r="D14">
            <v>1.4521992635120714E-2</v>
          </cell>
          <cell r="E14">
            <v>5.2213129737224633E-2</v>
          </cell>
          <cell r="F14">
            <v>7.883851099958766E-3</v>
          </cell>
        </row>
        <row r="15">
          <cell r="B15">
            <v>0.12752683949446758</v>
          </cell>
          <cell r="C15">
            <v>0.12664070100343611</v>
          </cell>
          <cell r="D15">
            <v>0.13078650694699712</v>
          </cell>
          <cell r="E15">
            <v>0.12087768475564384</v>
          </cell>
          <cell r="F15">
            <v>0.1606402806783174</v>
          </cell>
        </row>
      </sheetData>
      <sheetData sheetId="6">
        <row r="4">
          <cell r="D4">
            <v>67860.828891682439</v>
          </cell>
          <cell r="E4">
            <v>73358.695306510592</v>
          </cell>
          <cell r="F4">
            <v>79301.981201309172</v>
          </cell>
          <cell r="G4">
            <v>85726.77303183527</v>
          </cell>
          <cell r="H4">
            <v>92672.080862596093</v>
          </cell>
          <cell r="I4">
            <v>100180.07522824041</v>
          </cell>
          <cell r="N4">
            <v>42353.450942206044</v>
          </cell>
          <cell r="O4">
            <v>47175.857529819426</v>
          </cell>
          <cell r="P4">
            <v>52547.348189188633</v>
          </cell>
          <cell r="Q4">
            <v>58530.442185825275</v>
          </cell>
          <cell r="R4">
            <v>65194.777291788814</v>
          </cell>
          <cell r="S4">
            <v>72617.920306012675</v>
          </cell>
          <cell r="X4">
            <v>42535.400111001407</v>
          </cell>
          <cell r="Y4">
            <v>50900.555988267792</v>
          </cell>
          <cell r="Z4">
            <v>60910.831757867476</v>
          </cell>
          <cell r="AA4">
            <v>72889.762270777443</v>
          </cell>
          <cell r="AB4">
            <v>87224.509837763209</v>
          </cell>
          <cell r="AC4">
            <v>104378.37742116295</v>
          </cell>
          <cell r="AH4">
            <v>16652.590493551761</v>
          </cell>
          <cell r="AI4">
            <v>17357.617590286183</v>
          </cell>
          <cell r="AJ4">
            <v>18092.493689031569</v>
          </cell>
          <cell r="AK4">
            <v>18858.482518409382</v>
          </cell>
          <cell r="AL4">
            <v>19656.901310003366</v>
          </cell>
          <cell r="AM4">
            <v>20489.123063534935</v>
          </cell>
          <cell r="AR4">
            <v>7814.6990294473062</v>
          </cell>
          <cell r="AS4">
            <v>9739.3341606348404</v>
          </cell>
          <cell r="AT4">
            <v>12137.976080086777</v>
          </cell>
          <cell r="AU4">
            <v>15127.365063235009</v>
          </cell>
          <cell r="AV4">
            <v>18852.992644449761</v>
          </cell>
          <cell r="AW4">
            <v>23496.182591343269</v>
          </cell>
        </row>
        <row r="8">
          <cell r="D8">
            <v>5341.556955404837</v>
          </cell>
          <cell r="E8">
            <v>5723.6169925443919</v>
          </cell>
          <cell r="F8">
            <v>6133.0042440519182</v>
          </cell>
          <cell r="G8">
            <v>6571.6733154148269</v>
          </cell>
          <cell r="H8">
            <v>7041.7186171720032</v>
          </cell>
          <cell r="I8">
            <v>7545.3843646055866</v>
          </cell>
          <cell r="N8">
            <v>5327.470525930099</v>
          </cell>
          <cell r="O8">
            <v>5898.1592278998178</v>
          </cell>
          <cell r="P8">
            <v>6529.9811811884683</v>
          </cell>
          <cell r="Q8">
            <v>7229.485095108017</v>
          </cell>
          <cell r="R8">
            <v>8003.9211890770821</v>
          </cell>
          <cell r="S8">
            <v>8861.3163397081353</v>
          </cell>
          <cell r="X8">
            <v>4342.4301409547897</v>
          </cell>
          <cell r="Y8">
            <v>4518.7394030847436</v>
          </cell>
          <cell r="Z8">
            <v>4702.2070891625317</v>
          </cell>
          <cell r="AA8">
            <v>4893.1238420778018</v>
          </cell>
          <cell r="AB8">
            <v>5091.7921052631564</v>
          </cell>
          <cell r="AC8">
            <v>5298.5266018141328</v>
          </cell>
          <cell r="AH8">
            <v>3758.5455492891751</v>
          </cell>
          <cell r="AI8">
            <v>4146.2430354499329</v>
          </cell>
          <cell r="AJ8">
            <v>4573.9318796517819</v>
          </cell>
          <cell r="AK8">
            <v>5045.7372278527419</v>
          </cell>
          <cell r="AL8">
            <v>5566.2097386717805</v>
          </cell>
          <cell r="AM8">
            <v>6140.3694754174758</v>
          </cell>
          <cell r="AR8">
            <v>1020.1041536576611</v>
          </cell>
          <cell r="AS8">
            <v>1270.744271961916</v>
          </cell>
          <cell r="AT8">
            <v>1582.9667970021139</v>
          </cell>
          <cell r="AU8">
            <v>1971.902557972915</v>
          </cell>
          <cell r="AV8">
            <v>2456.4000366300374</v>
          </cell>
          <cell r="AW8">
            <v>3059.9387964478351</v>
          </cell>
        </row>
        <row r="9">
          <cell r="C9">
            <v>1.2488411627017578E-2</v>
          </cell>
          <cell r="M9">
            <v>1.9418131867268307E-2</v>
          </cell>
          <cell r="W9">
            <v>1.8113268124973523E-2</v>
          </cell>
          <cell r="AG9">
            <v>2.2439245358736325E-2</v>
          </cell>
          <cell r="AQ9">
            <v>2.7826089838613323E-2</v>
          </cell>
        </row>
        <row r="19">
          <cell r="C19">
            <v>0.10593601098318235</v>
          </cell>
        </row>
        <row r="25">
          <cell r="C25">
            <v>2.0057029363321814E-2</v>
          </cell>
        </row>
        <row r="37">
          <cell r="C37">
            <v>0.27630745450500838</v>
          </cell>
        </row>
        <row r="43">
          <cell r="C43">
            <v>0.18629972684158341</v>
          </cell>
        </row>
      </sheetData>
      <sheetData sheetId="7">
        <row r="2">
          <cell r="O2">
            <v>0.25</v>
          </cell>
        </row>
        <row r="3">
          <cell r="O3">
            <v>0.25</v>
          </cell>
        </row>
        <row r="4">
          <cell r="O4">
            <v>0.25</v>
          </cell>
        </row>
        <row r="6">
          <cell r="O6">
            <v>0.25</v>
          </cell>
        </row>
      </sheetData>
      <sheetData sheetId="8" refreshError="1"/>
      <sheetData sheetId="9" refreshError="1"/>
      <sheetData sheetId="10" refreshError="1"/>
      <sheetData sheetId="1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WACC"/>
      <sheetName val="DCF"/>
      <sheetName val="Relative Valuation"/>
      <sheetName val="Calc"/>
    </sheetNames>
    <sheetDataSet>
      <sheetData sheetId="0" refreshError="1"/>
      <sheetData sheetId="1">
        <row r="30">
          <cell r="M30">
            <v>12932</v>
          </cell>
          <cell r="N30">
            <v>15195</v>
          </cell>
          <cell r="O30">
            <v>13326</v>
          </cell>
        </row>
        <row r="33">
          <cell r="AP33">
            <v>27681.119999999999</v>
          </cell>
          <cell r="AQ33">
            <v>29897.59</v>
          </cell>
          <cell r="AR33">
            <v>18031.7</v>
          </cell>
          <cell r="AS33">
            <v>22635.059999999998</v>
          </cell>
          <cell r="AT33">
            <v>25672.91</v>
          </cell>
          <cell r="AU33">
            <v>29707.18</v>
          </cell>
        </row>
        <row r="34">
          <cell r="F34">
            <v>83581.899999999994</v>
          </cell>
          <cell r="G34">
            <v>99950.69</v>
          </cell>
        </row>
        <row r="38">
          <cell r="AJ38">
            <v>54211.69</v>
          </cell>
          <cell r="AK38">
            <v>54746.68</v>
          </cell>
          <cell r="AL38">
            <v>57101.23</v>
          </cell>
          <cell r="AM38">
            <v>58905.599999999999</v>
          </cell>
        </row>
        <row r="40">
          <cell r="V40">
            <v>79776</v>
          </cell>
          <cell r="W40">
            <v>81666</v>
          </cell>
        </row>
        <row r="43">
          <cell r="AD43">
            <v>92432.74</v>
          </cell>
          <cell r="AE43">
            <v>91352.78</v>
          </cell>
        </row>
      </sheetData>
      <sheetData sheetId="2">
        <row r="24">
          <cell r="O24">
            <v>10353</v>
          </cell>
        </row>
        <row r="26">
          <cell r="AM26">
            <v>2371.8000000000138</v>
          </cell>
        </row>
        <row r="31">
          <cell r="W31">
            <v>3491</v>
          </cell>
        </row>
        <row r="34">
          <cell r="AU34">
            <v>6538.82</v>
          </cell>
        </row>
        <row r="35">
          <cell r="AE35">
            <v>3173.7800000000407</v>
          </cell>
        </row>
        <row r="37">
          <cell r="G37">
            <v>35302.099999999991</v>
          </cell>
        </row>
      </sheetData>
      <sheetData sheetId="3" refreshError="1"/>
      <sheetData sheetId="4">
        <row r="7">
          <cell r="B7">
            <v>1.5706593810381411</v>
          </cell>
          <cell r="C7">
            <v>1.4673349873854802</v>
          </cell>
          <cell r="D7">
            <v>1.499257890128584</v>
          </cell>
          <cell r="E7">
            <v>1.4538234287689584</v>
          </cell>
          <cell r="F7">
            <v>1.5293332053804201</v>
          </cell>
          <cell r="G7">
            <v>1.2909729671702836</v>
          </cell>
          <cell r="J7">
            <v>4.2449658230186591</v>
          </cell>
          <cell r="K7">
            <v>2.9384205180294565</v>
          </cell>
          <cell r="L7">
            <v>3.6148670823761075</v>
          </cell>
          <cell r="M7">
            <v>0.69157164957313932</v>
          </cell>
          <cell r="N7">
            <v>0.9869015773452634</v>
          </cell>
          <cell r="O7">
            <v>0.86945262969908033</v>
          </cell>
          <cell r="R7">
            <v>0.51970792895074158</v>
          </cell>
          <cell r="S7">
            <v>0.49892607219566271</v>
          </cell>
          <cell r="T7">
            <v>0.54885232228805758</v>
          </cell>
          <cell r="U7">
            <v>0.50047882452153281</v>
          </cell>
          <cell r="V7">
            <v>0.40443502611064858</v>
          </cell>
          <cell r="W7">
            <v>0.59017583215122227</v>
          </cell>
          <cell r="Z7">
            <v>0.41186349514479387</v>
          </cell>
          <cell r="AA7">
            <v>0.37868035575872766</v>
          </cell>
          <cell r="AB7">
            <v>0.48045546699670738</v>
          </cell>
          <cell r="AC7">
            <v>0.33085736151439438</v>
          </cell>
          <cell r="AD7">
            <v>0.21692403561337456</v>
          </cell>
          <cell r="AE7">
            <v>0.27646205784289291</v>
          </cell>
          <cell r="AH7">
            <v>0.3845046485209333</v>
          </cell>
          <cell r="AI7">
            <v>0.36238492155406621</v>
          </cell>
          <cell r="AJ7">
            <v>0.23565561478405761</v>
          </cell>
          <cell r="AK7">
            <v>0.20735521021083114</v>
          </cell>
          <cell r="AL7">
            <v>0.28834578211079431</v>
          </cell>
          <cell r="AM7">
            <v>0.27575243953843781</v>
          </cell>
          <cell r="AP7">
            <v>2.2295612192033154</v>
          </cell>
          <cell r="AQ7">
            <v>1.7483877261247982</v>
          </cell>
          <cell r="AR7">
            <v>2.4135137294590776</v>
          </cell>
          <cell r="AS7">
            <v>3.1291367557171967</v>
          </cell>
          <cell r="AT7">
            <v>2.2027039246527576</v>
          </cell>
          <cell r="AU7">
            <v>2.1450339044057101</v>
          </cell>
        </row>
        <row r="9">
          <cell r="B9">
            <v>0.19741298270406438</v>
          </cell>
          <cell r="C9">
            <v>0.15897045438065024</v>
          </cell>
          <cell r="D9">
            <v>7.5536272249726893E-2</v>
          </cell>
          <cell r="E9">
            <v>7.0924581108140441E-2</v>
          </cell>
          <cell r="F9">
            <v>7.5243802785052744E-2</v>
          </cell>
          <cell r="G9">
            <v>8.9127948991647776E-2</v>
          </cell>
          <cell r="J9">
            <v>1.5157529149094517E-2</v>
          </cell>
          <cell r="K9">
            <v>0.20032185188623775</v>
          </cell>
          <cell r="L9">
            <v>8.2348822963157431E-2</v>
          </cell>
          <cell r="M9">
            <v>0.91563563253943703</v>
          </cell>
          <cell r="N9">
            <v>0.55649884830536356</v>
          </cell>
          <cell r="O9">
            <v>0.79926459552754014</v>
          </cell>
          <cell r="R9">
            <v>1.4711858760826115</v>
          </cell>
          <cell r="S9">
            <v>1.12103153104345</v>
          </cell>
          <cell r="T9">
            <v>1.0210111621799081</v>
          </cell>
          <cell r="U9">
            <v>1.1760616954310177</v>
          </cell>
          <cell r="V9">
            <v>1.0726910348977137</v>
          </cell>
          <cell r="W9">
            <v>1.174993265251145</v>
          </cell>
          <cell r="Z9">
            <v>1.4874623996722811</v>
          </cell>
          <cell r="AA9">
            <v>1.0566705952705802</v>
          </cell>
          <cell r="AB9">
            <v>0.58778467283002689</v>
          </cell>
          <cell r="AC9">
            <v>0.74178791751402251</v>
          </cell>
          <cell r="AD9">
            <v>0.88252192891825987</v>
          </cell>
          <cell r="AE9">
            <v>0.9738489622319102</v>
          </cell>
          <cell r="AH9">
            <v>1.2334501077324536</v>
          </cell>
          <cell r="AI9">
            <v>0.78351076493247718</v>
          </cell>
          <cell r="AJ9">
            <v>0.24691445701102477</v>
          </cell>
          <cell r="AK9">
            <v>0.46873673435539831</v>
          </cell>
          <cell r="AL9">
            <v>0.53590737012144918</v>
          </cell>
          <cell r="AM9">
            <v>0.50608295306388529</v>
          </cell>
          <cell r="AP9">
            <v>2.0431615483766555E-2</v>
          </cell>
          <cell r="AQ9">
            <v>6.6710059238888481E-2</v>
          </cell>
          <cell r="AR9">
            <v>9.9408264334477608E-2</v>
          </cell>
          <cell r="AS9">
            <v>1.837768488353908E-2</v>
          </cell>
          <cell r="AT9">
            <v>0.13074248302977731</v>
          </cell>
          <cell r="AU9">
            <v>0.1269204953146007</v>
          </cell>
        </row>
        <row r="10">
          <cell r="B10">
            <v>48.865445796548194</v>
          </cell>
          <cell r="C10">
            <v>28.939335184352174</v>
          </cell>
          <cell r="D10">
            <v>44.629374503684296</v>
          </cell>
          <cell r="E10">
            <v>56.543467142084722</v>
          </cell>
          <cell r="F10">
            <v>60.052418321393233</v>
          </cell>
          <cell r="G10">
            <v>53.627092174503474</v>
          </cell>
          <cell r="J10">
            <v>96.258928571428569</v>
          </cell>
          <cell r="K10">
            <v>34.950777202072537</v>
          </cell>
          <cell r="L10">
            <v>59.679310344827584</v>
          </cell>
          <cell r="M10">
            <v>56.711711711711715</v>
          </cell>
          <cell r="N10">
            <v>15.424083769633508</v>
          </cell>
          <cell r="O10">
            <v>16.701369863013699</v>
          </cell>
          <cell r="R10">
            <v>1.9162954279015241</v>
          </cell>
          <cell r="S10">
            <v>4.0571139752337633</v>
          </cell>
          <cell r="T10">
            <v>6.9518921095008048</v>
          </cell>
          <cell r="U10">
            <v>1.7535496957403651</v>
          </cell>
          <cell r="V10">
            <v>2.5993830968537939</v>
          </cell>
          <cell r="W10">
            <v>1.6986447931526392</v>
          </cell>
          <cell r="Z10">
            <v>1.4680861448516753</v>
          </cell>
          <cell r="AA10">
            <v>2.9570681674468999</v>
          </cell>
          <cell r="AB10">
            <v>10.219898575665487</v>
          </cell>
          <cell r="AC10">
            <v>3.8770793973359567</v>
          </cell>
          <cell r="AD10">
            <v>1.8880423359355945</v>
          </cell>
          <cell r="AE10">
            <v>2.2624401473923728</v>
          </cell>
          <cell r="AH10">
            <v>2.1124998566003961</v>
          </cell>
          <cell r="AI10">
            <v>3.3710061587064923</v>
          </cell>
          <cell r="AJ10">
            <v>10.55725046970063</v>
          </cell>
          <cell r="AK10">
            <v>1.9761027156228061</v>
          </cell>
          <cell r="AL10">
            <v>2.8044836813724334</v>
          </cell>
          <cell r="AM10">
            <v>2.10175535323665</v>
          </cell>
          <cell r="AP10">
            <v>629.69129554655865</v>
          </cell>
          <cell r="AQ10">
            <v>530.18024985127909</v>
          </cell>
          <cell r="AR10">
            <v>334.23579109062985</v>
          </cell>
          <cell r="AS10">
            <v>86.196597102219897</v>
          </cell>
          <cell r="AT10">
            <v>106.25063905930473</v>
          </cell>
          <cell r="AU10">
            <v>52.462685727149932</v>
          </cell>
        </row>
        <row r="11">
          <cell r="B11">
            <v>4.2746608936702728E-2</v>
          </cell>
          <cell r="C11">
            <v>3.6316672383288652E-2</v>
          </cell>
          <cell r="D11">
            <v>1.8363307827752778E-2</v>
          </cell>
          <cell r="E11">
            <v>1.9482008758625317E-2</v>
          </cell>
          <cell r="F11">
            <v>2.6460891986300795E-2</v>
          </cell>
          <cell r="G11">
            <v>3.4236955442879982E-2</v>
          </cell>
          <cell r="J11">
            <v>1.300691857370942E-2</v>
          </cell>
          <cell r="K11">
            <v>0.14155750431911124</v>
          </cell>
          <cell r="L11">
            <v>6.3196776359973131E-2</v>
          </cell>
          <cell r="M11">
            <v>0.34227489521607168</v>
          </cell>
          <cell r="N11">
            <v>0.24947632394158431</v>
          </cell>
          <cell r="O11">
            <v>0.30881414902870397</v>
          </cell>
          <cell r="R11">
            <v>0.40204824761037777</v>
          </cell>
          <cell r="S11">
            <v>0.34877997802005167</v>
          </cell>
          <cell r="T11">
            <v>0.3561340560348118</v>
          </cell>
          <cell r="U11">
            <v>0.3735206890343854</v>
          </cell>
          <cell r="V11">
            <v>0.37500328661951465</v>
          </cell>
          <cell r="W11">
            <v>0.39858853045999454</v>
          </cell>
          <cell r="Z11">
            <v>0.45240053579114992</v>
          </cell>
          <cell r="AA11">
            <v>0.33362593513527644</v>
          </cell>
          <cell r="AB11">
            <v>0.24112713595865551</v>
          </cell>
          <cell r="AC11">
            <v>0.27087434441580693</v>
          </cell>
          <cell r="AD11">
            <v>0.29834275400614801</v>
          </cell>
          <cell r="AE11">
            <v>0.31841612657071644</v>
          </cell>
          <cell r="AH11">
            <v>0.40338581888074182</v>
          </cell>
          <cell r="AI11">
            <v>0.29834383362711014</v>
          </cell>
          <cell r="AJ11">
            <v>0.11144574200526987</v>
          </cell>
          <cell r="AK11">
            <v>0.19667049072014955</v>
          </cell>
          <cell r="AL11">
            <v>0.21747764066697284</v>
          </cell>
          <cell r="AM11">
            <v>0.21860317161412829</v>
          </cell>
          <cell r="AP11">
            <v>1.8072545178167494E-2</v>
          </cell>
          <cell r="AQ11">
            <v>5.4007076671705963E-2</v>
          </cell>
          <cell r="AR11">
            <v>7.1952293522005564E-2</v>
          </cell>
          <cell r="AS11">
            <v>1.4726149482559825E-2</v>
          </cell>
          <cell r="AT11">
            <v>9.4123473158234633E-2</v>
          </cell>
          <cell r="AU11">
            <v>9.194676600609461E-2</v>
          </cell>
        </row>
      </sheetData>
      <sheetData sheetId="5">
        <row r="5">
          <cell r="B5">
            <v>0.99629999999999996</v>
          </cell>
          <cell r="C5">
            <v>0.53549999999999998</v>
          </cell>
          <cell r="D5">
            <v>0.84989999999999999</v>
          </cell>
          <cell r="E5">
            <v>1.514</v>
          </cell>
          <cell r="F5">
            <v>1.9538</v>
          </cell>
          <cell r="G5">
            <v>1.0298</v>
          </cell>
        </row>
        <row r="12">
          <cell r="B12">
            <v>7.4558263184213117E-2</v>
          </cell>
          <cell r="C12">
            <v>7.8533419910911034E-2</v>
          </cell>
          <cell r="D12">
            <v>6.027889572665325E-2</v>
          </cell>
          <cell r="E12">
            <v>3.1129456135936834E-2</v>
          </cell>
          <cell r="F12">
            <v>6.8345413517501744E-2</v>
          </cell>
          <cell r="G12">
            <v>3.3703539570861481E-2</v>
          </cell>
        </row>
        <row r="17">
          <cell r="B17">
            <v>3.59445346021222E-2</v>
          </cell>
          <cell r="C17">
            <v>5.0133630058902659E-2</v>
          </cell>
          <cell r="D17">
            <v>0.24509763854988387</v>
          </cell>
          <cell r="E17">
            <v>0.2787980208319264</v>
          </cell>
          <cell r="F17">
            <v>0.3449563798737722</v>
          </cell>
          <cell r="G17">
            <v>5.3487963665437392E-2</v>
          </cell>
        </row>
        <row r="18">
          <cell r="B18">
            <v>0.13574130754377764</v>
          </cell>
          <cell r="C18">
            <v>0.10221271472110484</v>
          </cell>
          <cell r="D18">
            <v>0.11067889825152377</v>
          </cell>
          <cell r="E18">
            <v>0.13622340077614731</v>
          </cell>
          <cell r="F18">
            <v>0.16102726445716037</v>
          </cell>
          <cell r="G18">
            <v>0.13482080272624061</v>
          </cell>
        </row>
      </sheetData>
      <sheetData sheetId="6">
        <row r="5">
          <cell r="D5">
            <v>163355.83215386738</v>
          </cell>
          <cell r="E5">
            <v>174596.34903793846</v>
          </cell>
          <cell r="F5">
            <v>186610.32603148441</v>
          </cell>
          <cell r="G5">
            <v>199450.98493445612</v>
          </cell>
          <cell r="H5">
            <v>213175.20973953471</v>
          </cell>
          <cell r="M5">
            <v>38349.462333571093</v>
          </cell>
          <cell r="N5">
            <v>41940.377039696235</v>
          </cell>
          <cell r="O5">
            <v>45867.532924759049</v>
          </cell>
          <cell r="P5">
            <v>50162.414482173022</v>
          </cell>
          <cell r="Q5">
            <v>54859.454307450964</v>
          </cell>
          <cell r="V5">
            <v>194687.68467585841</v>
          </cell>
          <cell r="W5">
            <v>223594.51246738678</v>
          </cell>
          <cell r="X5">
            <v>256793.36671328644</v>
          </cell>
          <cell r="Y5">
            <v>294921.51869139785</v>
          </cell>
          <cell r="Z5">
            <v>338710.86041078909</v>
          </cell>
          <cell r="AE5">
            <v>234398.13232617266</v>
          </cell>
          <cell r="AF5">
            <v>249644.33623780345</v>
          </cell>
          <cell r="AG5">
            <v>265882.21500370128</v>
          </cell>
          <cell r="AH5">
            <v>283176.27117297845</v>
          </cell>
          <cell r="AI5">
            <v>301595.20280179678</v>
          </cell>
          <cell r="AN5">
            <v>112371.10308223894</v>
          </cell>
          <cell r="AO5">
            <v>122174.79548142866</v>
          </cell>
          <cell r="AP5">
            <v>132833.80016306159</v>
          </cell>
          <cell r="AQ5">
            <v>144422.73789967017</v>
          </cell>
          <cell r="AR5">
            <v>157022.73967041861</v>
          </cell>
          <cell r="AW5">
            <v>28827.036472497315</v>
          </cell>
          <cell r="AX5">
            <v>32589.640618423837</v>
          </cell>
          <cell r="AY5">
            <v>36843.35282439844</v>
          </cell>
          <cell r="AZ5">
            <v>41652.27420690591</v>
          </cell>
          <cell r="BA5">
            <v>47088.872581063915</v>
          </cell>
        </row>
        <row r="6">
          <cell r="D6">
            <v>50453.826809084683</v>
          </cell>
          <cell r="E6">
            <v>53925.555272255369</v>
          </cell>
          <cell r="F6">
            <v>57636.173415045349</v>
          </cell>
          <cell r="G6">
            <v>61602.119239341584</v>
          </cell>
          <cell r="H6">
            <v>65840.961846149512</v>
          </cell>
          <cell r="M6">
            <v>20352.115481679572</v>
          </cell>
          <cell r="N6">
            <v>22257.819143134657</v>
          </cell>
          <cell r="O6">
            <v>24341.966487682661</v>
          </cell>
          <cell r="P6">
            <v>26621.26638180677</v>
          </cell>
          <cell r="Q6">
            <v>29113.99225406551</v>
          </cell>
          <cell r="V6">
            <v>34913.515599248203</v>
          </cell>
          <cell r="W6">
            <v>40097.40272957502</v>
          </cell>
          <cell r="X6">
            <v>46050.982780214523</v>
          </cell>
          <cell r="Y6">
            <v>52888.538176050861</v>
          </cell>
          <cell r="Z6">
            <v>60741.319761831124</v>
          </cell>
          <cell r="AE6">
            <v>26547.51777833658</v>
          </cell>
          <cell r="AF6">
            <v>28274.275860320533</v>
          </cell>
          <cell r="AG6">
            <v>30113.349281862524</v>
          </cell>
          <cell r="AH6">
            <v>32072.043487559367</v>
          </cell>
          <cell r="AI6">
            <v>34158.139097713778</v>
          </cell>
          <cell r="AN6">
            <v>11667.61560167192</v>
          </cell>
          <cell r="AO6">
            <v>12685.543798986713</v>
          </cell>
          <cell r="AP6">
            <v>13792.280014174507</v>
          </cell>
          <cell r="AQ6">
            <v>14995.572204369535</v>
          </cell>
          <cell r="AR6">
            <v>16303.844288642726</v>
          </cell>
          <cell r="AW6">
            <v>12894.322655283757</v>
          </cell>
          <cell r="AX6">
            <v>14577.334085472645</v>
          </cell>
          <cell r="AY6">
            <v>16480.017967629046</v>
          </cell>
          <cell r="AZ6">
            <v>18631.046707232705</v>
          </cell>
          <cell r="BA6">
            <v>21062.835130939216</v>
          </cell>
        </row>
        <row r="9">
          <cell r="D9">
            <v>7125.8410795037043</v>
          </cell>
          <cell r="E9">
            <v>7616.1702946364894</v>
          </cell>
          <cell r="F9">
            <v>8140.2390692865738</v>
          </cell>
          <cell r="G9">
            <v>8700.3690229726162</v>
          </cell>
          <cell r="H9">
            <v>9299.0415258818284</v>
          </cell>
          <cell r="M9">
            <v>3940.362188473915</v>
          </cell>
          <cell r="N9">
            <v>4309.324454671425</v>
          </cell>
          <cell r="O9">
            <v>4712.8351068715738</v>
          </cell>
          <cell r="P9">
            <v>5154.1291397736532</v>
          </cell>
          <cell r="Q9">
            <v>5636.7444621032027</v>
          </cell>
          <cell r="V9">
            <v>9530.0360399275687</v>
          </cell>
          <cell r="W9">
            <v>10945.036229137821</v>
          </cell>
          <cell r="X9">
            <v>12570.132741916672</v>
          </cell>
          <cell r="Y9">
            <v>14436.520249129628</v>
          </cell>
          <cell r="Z9">
            <v>16580.025142340008</v>
          </cell>
          <cell r="AE9">
            <v>10644.212837261313</v>
          </cell>
          <cell r="AF9">
            <v>11336.555552560174</v>
          </cell>
          <cell r="AG9">
            <v>12073.931042264805</v>
          </cell>
          <cell r="AH9">
            <v>12859.268420419265</v>
          </cell>
          <cell r="AI9">
            <v>13695.687322508849</v>
          </cell>
          <cell r="AN9">
            <v>5704.5041962531723</v>
          </cell>
          <cell r="AO9">
            <v>6202.1873451764686</v>
          </cell>
          <cell r="AP9">
            <v>6743.2903090742029</v>
          </cell>
          <cell r="AQ9">
            <v>7331.601201601602</v>
          </cell>
          <cell r="AR9">
            <v>7971.2386261931251</v>
          </cell>
          <cell r="AW9">
            <v>456.18526233130706</v>
          </cell>
          <cell r="AX9">
            <v>515.7281349049739</v>
          </cell>
          <cell r="AY9">
            <v>583.04274840732751</v>
          </cell>
          <cell r="AZ9">
            <v>659.1434972478396</v>
          </cell>
          <cell r="BA9">
            <v>745.17717809017608</v>
          </cell>
        </row>
        <row r="10">
          <cell r="C10">
            <v>9.3564882710169175E-2</v>
          </cell>
          <cell r="L10">
            <v>0.11665758339578082</v>
          </cell>
          <cell r="U10">
            <v>9.2593433596449351E-2</v>
          </cell>
          <cell r="AM10">
            <v>4.8808456239480186E-2</v>
          </cell>
          <cell r="AV10">
            <v>9.6531811742572152E-2</v>
          </cell>
        </row>
      </sheetData>
      <sheetData sheetId="7" refreshError="1"/>
      <sheetData sheetId="8">
        <row r="2">
          <cell r="R2">
            <v>0.2</v>
          </cell>
        </row>
        <row r="3">
          <cell r="R3">
            <v>0.2</v>
          </cell>
        </row>
        <row r="4">
          <cell r="R4">
            <v>0.2</v>
          </cell>
        </row>
        <row r="5">
          <cell r="R5">
            <v>0.2</v>
          </cell>
        </row>
        <row r="6">
          <cell r="R6">
            <v>0.2</v>
          </cell>
        </row>
        <row r="7">
          <cell r="C7">
            <v>7.8343638700905507E-2</v>
          </cell>
          <cell r="R7">
            <v>0.2</v>
          </cell>
        </row>
        <row r="14">
          <cell r="C14">
            <v>8.482991040983219E-2</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s"/>
      <sheetName val="WACC"/>
      <sheetName val="FCFF"/>
      <sheetName val="Relative"/>
      <sheetName val="Calc"/>
      <sheetName val="Fundamental Analysis-Oil &amp; Gas"/>
    </sheetNames>
    <sheetDataSet>
      <sheetData sheetId="0" refreshError="1"/>
      <sheetData sheetId="1">
        <row r="29">
          <cell r="AT29">
            <v>515096</v>
          </cell>
          <cell r="AU29">
            <v>543087</v>
          </cell>
        </row>
        <row r="32">
          <cell r="V32">
            <v>46921.350000000006</v>
          </cell>
          <cell r="W32">
            <v>51144.29</v>
          </cell>
        </row>
        <row r="35">
          <cell r="N35">
            <v>77195.780000000013</v>
          </cell>
          <cell r="O35">
            <v>85240.48</v>
          </cell>
        </row>
        <row r="37">
          <cell r="F37">
            <v>75635.11</v>
          </cell>
          <cell r="G37">
            <v>81384.08</v>
          </cell>
          <cell r="AD37">
            <v>188162.97999999998</v>
          </cell>
          <cell r="AE37">
            <v>191024.66</v>
          </cell>
        </row>
        <row r="53">
          <cell r="AL53">
            <v>359624.25400000007</v>
          </cell>
          <cell r="AM53">
            <v>374235.11700000003</v>
          </cell>
        </row>
      </sheetData>
      <sheetData sheetId="2">
        <row r="27">
          <cell r="F27">
            <v>25263.330000000009</v>
          </cell>
          <cell r="G27">
            <v>11447.88999999997</v>
          </cell>
          <cell r="N27">
            <v>9902.8099999999922</v>
          </cell>
          <cell r="O27">
            <v>12462.870000000021</v>
          </cell>
        </row>
        <row r="28">
          <cell r="AR28">
            <v>37937</v>
          </cell>
          <cell r="AS28">
            <v>43017</v>
          </cell>
          <cell r="AT28">
            <v>42042</v>
          </cell>
          <cell r="AU28">
            <v>35262</v>
          </cell>
        </row>
        <row r="29">
          <cell r="AJ29">
            <v>49294.057000000015</v>
          </cell>
          <cell r="AK29">
            <v>32777.60499999993</v>
          </cell>
          <cell r="AL29">
            <v>55273.14900000007</v>
          </cell>
          <cell r="AM29">
            <v>38328.610000000044</v>
          </cell>
        </row>
        <row r="30">
          <cell r="V30">
            <v>16014.609999999979</v>
          </cell>
          <cell r="W30">
            <v>6735.7000000000298</v>
          </cell>
        </row>
        <row r="32">
          <cell r="AE32">
            <v>13788.830000000002</v>
          </cell>
        </row>
      </sheetData>
      <sheetData sheetId="3">
        <row r="8">
          <cell r="F8">
            <v>-5328.8</v>
          </cell>
          <cell r="G8">
            <v>-6560.92</v>
          </cell>
          <cell r="J8">
            <v>-3960.56</v>
          </cell>
          <cell r="K8">
            <v>-2238.06</v>
          </cell>
          <cell r="L8">
            <v>-3995.37</v>
          </cell>
          <cell r="M8">
            <v>-3069.25</v>
          </cell>
          <cell r="N8">
            <v>-3620.53</v>
          </cell>
          <cell r="O8">
            <v>-4275.4399999999996</v>
          </cell>
          <cell r="R8">
            <v>-1725.11</v>
          </cell>
          <cell r="S8">
            <v>-1484.41</v>
          </cell>
          <cell r="T8">
            <v>-3222.89</v>
          </cell>
          <cell r="U8">
            <v>-1985.71</v>
          </cell>
          <cell r="V8">
            <v>-2130.5100000000002</v>
          </cell>
          <cell r="W8">
            <v>-2336.2600000000002</v>
          </cell>
          <cell r="AD8">
            <v>-10972.58</v>
          </cell>
          <cell r="AE8">
            <v>-9545.1</v>
          </cell>
          <cell r="AK8">
            <v>-17608.965</v>
          </cell>
          <cell r="AL8">
            <v>-12894.901</v>
          </cell>
          <cell r="AM8">
            <v>-16984.736000000001</v>
          </cell>
          <cell r="AP8">
            <v>-4584</v>
          </cell>
          <cell r="AQ8">
            <v>-3921</v>
          </cell>
          <cell r="AR8">
            <v>-4297</v>
          </cell>
          <cell r="AS8">
            <v>-5083</v>
          </cell>
          <cell r="AT8">
            <v>-6089</v>
          </cell>
          <cell r="AU8">
            <v>-6766</v>
          </cell>
        </row>
      </sheetData>
      <sheetData sheetId="4">
        <row r="6">
          <cell r="C6">
            <v>0.35303738433639958</v>
          </cell>
          <cell r="D6">
            <v>0.43962378462010904</v>
          </cell>
          <cell r="E6">
            <v>0.23860581517873164</v>
          </cell>
          <cell r="F6">
            <v>0.24005327554158745</v>
          </cell>
          <cell r="G6">
            <v>0.28260416416821343</v>
          </cell>
          <cell r="H6">
            <v>0.30403024086818425</v>
          </cell>
          <cell r="L6">
            <v>0.67920632566937722</v>
          </cell>
          <cell r="M6">
            <v>0.62757272952511611</v>
          </cell>
          <cell r="N6">
            <v>0.84345469157568276</v>
          </cell>
          <cell r="O6">
            <v>0.67305773749920561</v>
          </cell>
          <cell r="P6">
            <v>0.6608804586207182</v>
          </cell>
          <cell r="Q6">
            <v>0.69644389303687615</v>
          </cell>
          <cell r="U6">
            <v>0.32067301161038797</v>
          </cell>
          <cell r="V6">
            <v>0.24692366968882648</v>
          </cell>
          <cell r="W6">
            <v>0.19842990449080236</v>
          </cell>
          <cell r="X6">
            <v>0.19496170695296566</v>
          </cell>
          <cell r="Y6">
            <v>0.21571757326634405</v>
          </cell>
          <cell r="Z6">
            <v>0.20128821081346743</v>
          </cell>
          <cell r="AD6">
            <v>0.2707101580853235</v>
          </cell>
          <cell r="AE6">
            <v>0.20213505308990806</v>
          </cell>
          <cell r="AF6">
            <v>0.18214198372989449</v>
          </cell>
          <cell r="AG6">
            <v>0.18271671336379142</v>
          </cell>
          <cell r="AH6">
            <v>0.17130005588183586</v>
          </cell>
          <cell r="AI6">
            <v>0.18978650554340062</v>
          </cell>
          <cell r="AM6">
            <v>0.33847056927971175</v>
          </cell>
          <cell r="AN6">
            <v>0.35041053303602743</v>
          </cell>
          <cell r="AO6">
            <v>0.36473879298451933</v>
          </cell>
          <cell r="AP6">
            <v>0.48947968098720601</v>
          </cell>
          <cell r="AQ6">
            <v>0.47858851491133497</v>
          </cell>
          <cell r="AR6">
            <v>0.43506855222059609</v>
          </cell>
          <cell r="AV6">
            <v>0.38663126508246592</v>
          </cell>
          <cell r="AW6">
            <v>0.85873718326750481</v>
          </cell>
          <cell r="AX6">
            <v>0.77002418126996452</v>
          </cell>
          <cell r="AY6">
            <v>0.67514202869232454</v>
          </cell>
          <cell r="AZ6">
            <v>0.73964435407934537</v>
          </cell>
          <cell r="BA6">
            <v>0.69919553375850507</v>
          </cell>
        </row>
        <row r="7">
          <cell r="C7">
            <v>1.3245488851515519</v>
          </cell>
          <cell r="D7">
            <v>0.87155522874767433</v>
          </cell>
          <cell r="E7">
            <v>1.0775842770012189</v>
          </cell>
          <cell r="F7">
            <v>1.1295206339929704</v>
          </cell>
          <cell r="G7">
            <v>0.60137322468361587</v>
          </cell>
          <cell r="H7">
            <v>0.62740661318528146</v>
          </cell>
          <cell r="L7">
            <v>0.12840771475560167</v>
          </cell>
          <cell r="M7">
            <v>0.12688291235163476</v>
          </cell>
          <cell r="N7">
            <v>0.12176757619026442</v>
          </cell>
          <cell r="O7">
            <v>0.24997166202456328</v>
          </cell>
          <cell r="P7">
            <v>0.24104944596712408</v>
          </cell>
          <cell r="Q7">
            <v>0.19131016155704428</v>
          </cell>
          <cell r="U7">
            <v>1.2713028338361207</v>
          </cell>
          <cell r="V7">
            <v>1.1206172864793496</v>
          </cell>
          <cell r="W7">
            <v>1.086332283601112</v>
          </cell>
          <cell r="X7">
            <v>2.0781619470066115</v>
          </cell>
          <cell r="Y7">
            <v>1.3386895304589488</v>
          </cell>
          <cell r="Z7">
            <v>1.2988523254502116</v>
          </cell>
          <cell r="AD7">
            <v>1.3084302561704497</v>
          </cell>
          <cell r="AE7">
            <v>0.96189231495136385</v>
          </cell>
          <cell r="AF7">
            <v>0.91432815066458029</v>
          </cell>
          <cell r="AG7">
            <v>0.97835747453781519</v>
          </cell>
          <cell r="AH7">
            <v>0.65609914341280107</v>
          </cell>
          <cell r="AI7">
            <v>0.74629055745996353</v>
          </cell>
          <cell r="AM7">
            <v>0.46725815773818252</v>
          </cell>
          <cell r="AN7">
            <v>0.45268395309504261</v>
          </cell>
          <cell r="AO7">
            <v>0.3803925687600001</v>
          </cell>
          <cell r="AP7">
            <v>0.42882455391990371</v>
          </cell>
          <cell r="AQ7">
            <v>0.43847317094469374</v>
          </cell>
          <cell r="AR7">
            <v>0.41031933408857513</v>
          </cell>
          <cell r="AV7">
            <v>0.65002875656608261</v>
          </cell>
          <cell r="AW7">
            <v>0.40833918180419532</v>
          </cell>
          <cell r="AX7">
            <v>0.41262324320770605</v>
          </cell>
          <cell r="AY7">
            <v>0.45048153389522722</v>
          </cell>
          <cell r="AZ7">
            <v>0.41116607389690463</v>
          </cell>
          <cell r="BA7">
            <v>0.36607946793055257</v>
          </cell>
        </row>
        <row r="8">
          <cell r="C8">
            <v>0.56980900406626478</v>
          </cell>
          <cell r="D8">
            <v>0.4656850171238941</v>
          </cell>
          <cell r="E8">
            <v>0.51867175205840599</v>
          </cell>
          <cell r="F8">
            <v>0.53041074876793093</v>
          </cell>
          <cell r="G8">
            <v>0.37553595589961825</v>
          </cell>
          <cell r="H8">
            <v>0.38552541700520349</v>
          </cell>
          <cell r="L8">
            <v>0.11379549525980785</v>
          </cell>
          <cell r="M8">
            <v>0.11259635846891071</v>
          </cell>
          <cell r="N8">
            <v>0.10854973773070729</v>
          </cell>
          <cell r="O8">
            <v>0.19998186328455425</v>
          </cell>
          <cell r="P8">
            <v>0.19423033203909071</v>
          </cell>
          <cell r="Q8">
            <v>0.16058803805299671</v>
          </cell>
          <cell r="U8">
            <v>0.5597240556817128</v>
          </cell>
          <cell r="V8">
            <v>0.52843919250502724</v>
          </cell>
          <cell r="W8">
            <v>0.52068996493983655</v>
          </cell>
          <cell r="X8">
            <v>0.67513080298700345</v>
          </cell>
          <cell r="Y8">
            <v>0.57241010960366412</v>
          </cell>
          <cell r="Z8">
            <v>0.56500033128306404</v>
          </cell>
          <cell r="AD8">
            <v>0.56680519269447571</v>
          </cell>
          <cell r="AE8">
            <v>0.49028802835960422</v>
          </cell>
          <cell r="AF8">
            <v>0.47762352047487844</v>
          </cell>
          <cell r="AG8">
            <v>0.49453017825627266</v>
          </cell>
          <cell r="AH8">
            <v>0.39617141644113579</v>
          </cell>
          <cell r="AI8">
            <v>0.42735760911716059</v>
          </cell>
          <cell r="AM8">
            <v>0.31845667735695088</v>
          </cell>
          <cell r="AN8">
            <v>0.31161902224538823</v>
          </cell>
          <cell r="AO8">
            <v>0.27556839798239779</v>
          </cell>
          <cell r="AP8">
            <v>0.30012400944779855</v>
          </cell>
          <cell r="AQ8">
            <v>0.30481845598603252</v>
          </cell>
          <cell r="AR8">
            <v>0.29094072822432498</v>
          </cell>
          <cell r="AV8">
            <v>0.39394995631401858</v>
          </cell>
          <cell r="AW8">
            <v>0.28994377709571362</v>
          </cell>
          <cell r="AX8">
            <v>0.29209716404690056</v>
          </cell>
          <cell r="AY8">
            <v>0.31057378075367276</v>
          </cell>
          <cell r="AZ8">
            <v>0.29136618396832514</v>
          </cell>
          <cell r="BA8">
            <v>0.26797816417306913</v>
          </cell>
        </row>
        <row r="9">
          <cell r="C9">
            <v>2.719574124829272</v>
          </cell>
          <cell r="D9">
            <v>13.171903700804032</v>
          </cell>
          <cell r="E9">
            <v>7.3512343750707316</v>
          </cell>
          <cell r="F9">
            <v>2.1119795552903016</v>
          </cell>
          <cell r="G9">
            <v>9.5316217108672454</v>
          </cell>
          <cell r="H9">
            <v>5.7997377096651954</v>
          </cell>
          <cell r="L9">
            <v>34.218424289506046</v>
          </cell>
          <cell r="M9">
            <v>46.655659061750484</v>
          </cell>
          <cell r="N9">
            <v>80.619468589490282</v>
          </cell>
          <cell r="O9">
            <v>24.049129794315018</v>
          </cell>
          <cell r="P9">
            <v>21.279379866518344</v>
          </cell>
          <cell r="Q9">
            <v>22.325779756413883</v>
          </cell>
          <cell r="U9">
            <v>3.4896957457084534</v>
          </cell>
          <cell r="V9">
            <v>15.594240511585353</v>
          </cell>
          <cell r="W9">
            <v>8.7062226767737592</v>
          </cell>
          <cell r="X9">
            <v>-4.7381779210803732</v>
          </cell>
          <cell r="Y9">
            <v>8.3131025039123543</v>
          </cell>
          <cell r="Z9">
            <v>3.7097085705456667</v>
          </cell>
          <cell r="AD9">
            <v>1.4197673110656328</v>
          </cell>
          <cell r="AE9">
            <v>9.2343304208273747</v>
          </cell>
          <cell r="AF9">
            <v>7.0946847468127912</v>
          </cell>
          <cell r="AG9">
            <v>2.8797007436324331</v>
          </cell>
          <cell r="AH9">
            <v>8.1229686990857122</v>
          </cell>
          <cell r="AI9">
            <v>2.453800665735975</v>
          </cell>
          <cell r="AM9">
            <v>4.6128393974421638</v>
          </cell>
          <cell r="AN9">
            <v>6.5466322217761723</v>
          </cell>
          <cell r="AO9">
            <v>10.608790874647543</v>
          </cell>
          <cell r="AP9">
            <v>7.4840074398974927</v>
          </cell>
          <cell r="AQ9">
            <v>6.4467659237915749</v>
          </cell>
          <cell r="AR9">
            <v>4.5441048391851755</v>
          </cell>
          <cell r="AV9">
            <v>4.6812061131763736</v>
          </cell>
          <cell r="AW9">
            <v>2.413114551847511</v>
          </cell>
          <cell r="AX9">
            <v>5.9759947385728376</v>
          </cell>
          <cell r="AY9">
            <v>5.2874227783937906</v>
          </cell>
          <cell r="AZ9">
            <v>5.1156366344005955</v>
          </cell>
          <cell r="BA9">
            <v>5.5880246667992841</v>
          </cell>
        </row>
      </sheetData>
      <sheetData sheetId="5">
        <row r="5">
          <cell r="B5">
            <v>1.1839999999999999</v>
          </cell>
          <cell r="C5">
            <v>1.5689</v>
          </cell>
          <cell r="D5">
            <v>1.4885999999999999</v>
          </cell>
          <cell r="E5">
            <v>1.2101</v>
          </cell>
          <cell r="F5">
            <v>1.0763</v>
          </cell>
          <cell r="G5">
            <v>0.9294</v>
          </cell>
        </row>
        <row r="12">
          <cell r="B12">
            <v>4.9418253864072476E-2</v>
          </cell>
          <cell r="C12">
            <v>3.5516093395598851E-2</v>
          </cell>
          <cell r="D12">
            <v>3.7917186172214463E-2</v>
          </cell>
          <cell r="E12">
            <v>5.2500650607832315E-2</v>
          </cell>
          <cell r="F12">
            <v>6.923987559504502E-2</v>
          </cell>
          <cell r="G12">
            <v>3.8657736213856923E-2</v>
          </cell>
        </row>
        <row r="16">
          <cell r="B16">
            <v>0.2476209823472082</v>
          </cell>
          <cell r="C16">
            <v>0.11930144069297589</v>
          </cell>
          <cell r="D16">
            <v>0.39925199241702924</v>
          </cell>
          <cell r="E16">
            <v>0.38173114230500327</v>
          </cell>
          <cell r="F16">
            <v>0.324120481439234</v>
          </cell>
          <cell r="G16">
            <v>8.983372809994207E-2</v>
          </cell>
        </row>
        <row r="17">
          <cell r="B17">
            <v>0.1310815823897121</v>
          </cell>
          <cell r="C17">
            <v>0.16796086797997392</v>
          </cell>
          <cell r="D17">
            <v>0.12331662361686746</v>
          </cell>
          <cell r="E17">
            <v>0.118873425787305</v>
          </cell>
          <cell r="F17">
            <v>0.12391819368407057</v>
          </cell>
          <cell r="G17">
            <v>0.13041769964414318</v>
          </cell>
        </row>
      </sheetData>
      <sheetData sheetId="6">
        <row r="5">
          <cell r="D5">
            <v>539679.04081814806</v>
          </cell>
          <cell r="E5">
            <v>578800.06704739435</v>
          </cell>
          <cell r="F5">
            <v>620756.95418187289</v>
          </cell>
          <cell r="G5">
            <v>665755.2721630953</v>
          </cell>
          <cell r="H5">
            <v>714015.49258052616</v>
          </cell>
          <cell r="M5">
            <v>160282.2896781663</v>
          </cell>
          <cell r="N5">
            <v>178953.61243292908</v>
          </cell>
          <cell r="O5">
            <v>199799.96209872811</v>
          </cell>
          <cell r="P5">
            <v>223074.70808735429</v>
          </cell>
          <cell r="Q5">
            <v>249060.73487475954</v>
          </cell>
          <cell r="V5">
            <v>508052.96535573312</v>
          </cell>
          <cell r="W5">
            <v>550579.06875019427</v>
          </cell>
          <cell r="X5">
            <v>596664.78028246074</v>
          </cell>
          <cell r="Y5">
            <v>646608.05365821766</v>
          </cell>
          <cell r="Z5">
            <v>700731.7825224062</v>
          </cell>
          <cell r="AE5">
            <v>922266.76422356174</v>
          </cell>
          <cell r="AF5">
            <v>985744.80104764807</v>
          </cell>
          <cell r="AG5">
            <v>1053591.9220839713</v>
          </cell>
          <cell r="AH5">
            <v>1126108.8438922847</v>
          </cell>
          <cell r="AI5">
            <v>1203616.9808364843</v>
          </cell>
          <cell r="AN5">
            <v>727375.24174367415</v>
          </cell>
          <cell r="AO5">
            <v>783053.55671959475</v>
          </cell>
          <cell r="AP5">
            <v>842993.87372781755</v>
          </cell>
          <cell r="AQ5">
            <v>907522.43578290218</v>
          </cell>
          <cell r="AR5">
            <v>976990.45878861449</v>
          </cell>
          <cell r="AW5">
            <v>587395.02293918433</v>
          </cell>
          <cell r="AX5">
            <v>628605.78148053493</v>
          </cell>
          <cell r="AY5">
            <v>672707.82536348654</v>
          </cell>
          <cell r="AZ5">
            <v>719904.00285442511</v>
          </cell>
          <cell r="BA5">
            <v>770411.39375149971</v>
          </cell>
        </row>
        <row r="6">
          <cell r="D6">
            <v>22006.599226866845</v>
          </cell>
          <cell r="E6">
            <v>23601.845068294413</v>
          </cell>
          <cell r="F6">
            <v>25312.729372001293</v>
          </cell>
          <cell r="G6">
            <v>27147.634704242198</v>
          </cell>
          <cell r="H6">
            <v>29115.551278724342</v>
          </cell>
          <cell r="M6">
            <v>14561.534631052691</v>
          </cell>
          <cell r="N6">
            <v>16257.811327916452</v>
          </cell>
          <cell r="O6">
            <v>18151.687708139616</v>
          </cell>
          <cell r="P6">
            <v>20266.182206707424</v>
          </cell>
          <cell r="Q6">
            <v>22626.994681673023</v>
          </cell>
          <cell r="V6">
            <v>11097.577952216687</v>
          </cell>
          <cell r="W6">
            <v>12026.490446790191</v>
          </cell>
          <cell r="X6">
            <v>13033.156702255492</v>
          </cell>
          <cell r="Y6">
            <v>14124.085025227196</v>
          </cell>
          <cell r="Z6">
            <v>15306.328494103338</v>
          </cell>
          <cell r="AE6">
            <v>38338.450290057721</v>
          </cell>
          <cell r="AF6">
            <v>40977.219953778098</v>
          </cell>
          <cell r="AG6">
            <v>43797.611599751013</v>
          </cell>
          <cell r="AH6">
            <v>46812.125956968048</v>
          </cell>
          <cell r="AI6">
            <v>50034.124158119608</v>
          </cell>
          <cell r="AN6">
            <v>72651.217347836282</v>
          </cell>
          <cell r="AO6">
            <v>78212.442325991899</v>
          </cell>
          <cell r="AP6">
            <v>84199.361798839731</v>
          </cell>
          <cell r="AQ6">
            <v>90644.561357418279</v>
          </cell>
          <cell r="AR6">
            <v>97583.120918524466</v>
          </cell>
          <cell r="AW6">
            <v>72640.032990952372</v>
          </cell>
          <cell r="AX6">
            <v>77736.349342164991</v>
          </cell>
          <cell r="AY6">
            <v>83190.2156459619</v>
          </cell>
          <cell r="AZ6">
            <v>89026.717073628199</v>
          </cell>
          <cell r="BA6">
            <v>95272.698734644553</v>
          </cell>
        </row>
        <row r="8">
          <cell r="D8">
            <v>15461.807626979391</v>
          </cell>
          <cell r="E8">
            <v>16582.625253711063</v>
          </cell>
          <cell r="F8">
            <v>17784.69031170688</v>
          </cell>
          <cell r="G8">
            <v>19073.892380974845</v>
          </cell>
          <cell r="H8">
            <v>20456.547973822628</v>
          </cell>
          <cell r="M8">
            <v>11275.101758646215</v>
          </cell>
          <cell r="N8">
            <v>12588.541094028718</v>
          </cell>
          <cell r="O8">
            <v>14054.983295785103</v>
          </cell>
          <cell r="P8">
            <v>15692.251704885888</v>
          </cell>
          <cell r="Q8">
            <v>17520.245907609162</v>
          </cell>
          <cell r="V8">
            <v>8305.6613880125096</v>
          </cell>
          <cell r="W8">
            <v>9000.8790897706167</v>
          </cell>
          <cell r="X8">
            <v>9754.2893460115483</v>
          </cell>
          <cell r="Y8">
            <v>10570.763110666245</v>
          </cell>
          <cell r="Z8">
            <v>11455.579056357637</v>
          </cell>
          <cell r="AE8">
            <v>30980.978261316239</v>
          </cell>
          <cell r="AF8">
            <v>33113.345766257939</v>
          </cell>
          <cell r="AG8">
            <v>35392.480462918975</v>
          </cell>
          <cell r="AH8">
            <v>37828.484084942946</v>
          </cell>
          <cell r="AI8">
            <v>40432.153650944238</v>
          </cell>
          <cell r="AN8">
            <v>53143.755484128298</v>
          </cell>
          <cell r="AO8">
            <v>57211.744861599218</v>
          </cell>
          <cell r="AP8">
            <v>61591.126187653033</v>
          </cell>
          <cell r="AQ8">
            <v>66305.735548534052</v>
          </cell>
          <cell r="AR8">
            <v>71381.233608835581</v>
          </cell>
          <cell r="AW8">
            <v>55528.807737750663</v>
          </cell>
          <cell r="AX8">
            <v>59424.626051496314</v>
          </cell>
          <cell r="AY8">
            <v>63593.769166404541</v>
          </cell>
          <cell r="AZ8">
            <v>68055.413142782636</v>
          </cell>
          <cell r="BA8">
            <v>72830.079404722434</v>
          </cell>
        </row>
        <row r="9">
          <cell r="D9">
            <v>6912.4673064451417</v>
          </cell>
          <cell r="E9">
            <v>7413.5481236551068</v>
          </cell>
          <cell r="F9">
            <v>7950.9520038532628</v>
          </cell>
          <cell r="G9">
            <v>8527.3119851834144</v>
          </cell>
          <cell r="H9">
            <v>9145.4519732244498</v>
          </cell>
          <cell r="M9">
            <v>4141.6510363117977</v>
          </cell>
          <cell r="N9">
            <v>4624.1129688924202</v>
          </cell>
          <cell r="O9">
            <v>5162.7770088810857</v>
          </cell>
          <cell r="P9">
            <v>5764.1901533853379</v>
          </cell>
          <cell r="Q9">
            <v>6435.6620607918603</v>
          </cell>
          <cell r="V9">
            <v>5928.9905736483361</v>
          </cell>
          <cell r="W9">
            <v>6425.2712438796598</v>
          </cell>
          <cell r="X9">
            <v>6963.0926284342477</v>
          </cell>
          <cell r="Y9">
            <v>7545.9318543694208</v>
          </cell>
          <cell r="Z9">
            <v>8177.5570984456599</v>
          </cell>
          <cell r="AE9">
            <v>16106.022426617546</v>
          </cell>
          <cell r="AF9">
            <v>17214.572278294258</v>
          </cell>
          <cell r="AG9">
            <v>18399.42171164928</v>
          </cell>
          <cell r="AH9">
            <v>19665.82229579832</v>
          </cell>
          <cell r="AI9">
            <v>21019.387056336542</v>
          </cell>
          <cell r="AN9">
            <v>36457.810955815919</v>
          </cell>
          <cell r="AO9">
            <v>39248.543118852373</v>
          </cell>
          <cell r="AP9">
            <v>42252.897158837091</v>
          </cell>
          <cell r="AQ9">
            <v>45487.225166778764</v>
          </cell>
          <cell r="AR9">
            <v>48969.130935450819</v>
          </cell>
          <cell r="AW9">
            <v>18894.318497094242</v>
          </cell>
          <cell r="AX9">
            <v>20219.91569655799</v>
          </cell>
          <cell r="AY9">
            <v>21638.514818027881</v>
          </cell>
          <cell r="AZ9">
            <v>23156.640737612852</v>
          </cell>
          <cell r="BA9">
            <v>24781.276106995898</v>
          </cell>
        </row>
      </sheetData>
      <sheetData sheetId="7" refreshError="1"/>
      <sheetData sheetId="8">
        <row r="2">
          <cell r="R2">
            <v>0.12</v>
          </cell>
        </row>
        <row r="3">
          <cell r="R3">
            <v>0.12</v>
          </cell>
        </row>
        <row r="4">
          <cell r="R4">
            <v>0.12</v>
          </cell>
        </row>
        <row r="5">
          <cell r="R5">
            <v>0.12</v>
          </cell>
        </row>
        <row r="6">
          <cell r="R6">
            <v>0.12</v>
          </cell>
        </row>
        <row r="7">
          <cell r="C7">
            <v>6.4562942381574451E-2</v>
          </cell>
          <cell r="R7">
            <v>0.12</v>
          </cell>
        </row>
        <row r="14">
          <cell r="C14">
            <v>4.112892423100159E-2</v>
          </cell>
        </row>
      </sheetData>
      <sheetData sheetId="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Balance Sheet Forecast"/>
      <sheetName val="Income Statement"/>
      <sheetName val="Cash Flow Statement"/>
      <sheetName val="Cash Flow Statement Forecast"/>
      <sheetName val="Ratio Analysis"/>
      <sheetName val="WACC"/>
      <sheetName val="Income Statement Forecast"/>
      <sheetName val="Calc"/>
      <sheetName val="DCF"/>
      <sheetName val="Relative Valuation"/>
      <sheetName val="Senstivity Analysis"/>
    </sheetNames>
    <sheetDataSet>
      <sheetData sheetId="0"/>
      <sheetData sheetId="1">
        <row r="33">
          <cell r="D33">
            <v>11728.18</v>
          </cell>
          <cell r="E33">
            <v>12767.09</v>
          </cell>
          <cell r="F33">
            <v>13571</v>
          </cell>
          <cell r="G33">
            <v>14969</v>
          </cell>
        </row>
        <row r="35">
          <cell r="AD35">
            <v>28254.800000000003</v>
          </cell>
          <cell r="AE35">
            <v>33927.4</v>
          </cell>
        </row>
        <row r="36">
          <cell r="N36">
            <v>67125.94</v>
          </cell>
          <cell r="O36">
            <v>72485.949999999983</v>
          </cell>
          <cell r="AL36">
            <v>6856.15</v>
          </cell>
          <cell r="AM36">
            <v>7590.69</v>
          </cell>
        </row>
        <row r="38">
          <cell r="V38">
            <v>9575.7900000000009</v>
          </cell>
          <cell r="W38">
            <v>14568.18</v>
          </cell>
          <cell r="AT38">
            <v>26802.33</v>
          </cell>
          <cell r="AU38">
            <v>31289.25</v>
          </cell>
        </row>
      </sheetData>
      <sheetData sheetId="2">
        <row r="16">
          <cell r="B16">
            <v>18491.663645244807</v>
          </cell>
          <cell r="C16">
            <v>20171.606876606522</v>
          </cell>
          <cell r="D16">
            <v>22003.056682745228</v>
          </cell>
          <cell r="E16">
            <v>24572.185041136428</v>
          </cell>
          <cell r="F16">
            <v>27501.709843340563</v>
          </cell>
          <cell r="I16">
            <v>100587.67722003911</v>
          </cell>
          <cell r="J16">
            <v>108737.0735911408</v>
          </cell>
          <cell r="K16">
            <v>117589.47589541328</v>
          </cell>
          <cell r="L16">
            <v>127277.33975377459</v>
          </cell>
          <cell r="M16">
            <v>137945.53748576849</v>
          </cell>
          <cell r="P16">
            <v>28139.112873095382</v>
          </cell>
          <cell r="Q16">
            <v>31059.27671767601</v>
          </cell>
          <cell r="R16">
            <v>34571.625000514359</v>
          </cell>
          <cell r="S16">
            <v>38790.66612989657</v>
          </cell>
          <cell r="T16">
            <v>43858.544159664838</v>
          </cell>
          <cell r="W16">
            <v>52211.030601330567</v>
          </cell>
          <cell r="X16">
            <v>57510.067466521359</v>
          </cell>
          <cell r="Y16">
            <v>63317.800492929462</v>
          </cell>
          <cell r="Z16">
            <v>69698.0741512159</v>
          </cell>
          <cell r="AA16">
            <v>76720.355033666317</v>
          </cell>
          <cell r="AD16">
            <v>17126.710999661773</v>
          </cell>
          <cell r="AE16">
            <v>18150.671180317298</v>
          </cell>
          <cell r="AF16">
            <v>19236.055876163773</v>
          </cell>
          <cell r="AG16">
            <v>20386.97919277467</v>
          </cell>
          <cell r="AH16">
            <v>21607.737046640577</v>
          </cell>
          <cell r="AK16">
            <v>41084.151117150192</v>
          </cell>
          <cell r="AL16">
            <v>45073.865197378102</v>
          </cell>
          <cell r="AM16">
            <v>50370.316813987476</v>
          </cell>
          <cell r="AN16">
            <v>55834.495312725528</v>
          </cell>
          <cell r="AO16">
            <v>61532.500910210932</v>
          </cell>
        </row>
        <row r="21">
          <cell r="B21">
            <v>16319.887786255145</v>
          </cell>
          <cell r="C21">
            <v>17789.410141742865</v>
          </cell>
          <cell r="D21">
            <v>19390.003065738772</v>
          </cell>
          <cell r="E21">
            <v>21135.244862556177</v>
          </cell>
          <cell r="F21">
            <v>23039.972038407283</v>
          </cell>
          <cell r="I21">
            <v>78516.74000910102</v>
          </cell>
          <cell r="J21">
            <v>85287.09471881525</v>
          </cell>
          <cell r="K21">
            <v>92643.544824791912</v>
          </cell>
          <cell r="L21">
            <v>100708.6346638863</v>
          </cell>
          <cell r="M21">
            <v>109616.48502608621</v>
          </cell>
          <cell r="P21">
            <v>16378.305055902727</v>
          </cell>
          <cell r="Q21">
            <v>18875.062460732119</v>
          </cell>
          <cell r="R21">
            <v>21909.075729902317</v>
          </cell>
          <cell r="S21">
            <v>25587.727380477023</v>
          </cell>
          <cell r="T21">
            <v>30045.11113225704</v>
          </cell>
          <cell r="W21">
            <v>36974.920716104818</v>
          </cell>
          <cell r="X21">
            <v>40694.307601601809</v>
          </cell>
          <cell r="Y21">
            <v>44749.702471310033</v>
          </cell>
          <cell r="Z21">
            <v>49186.071432416909</v>
          </cell>
          <cell r="AA21">
            <v>54051.938920986155</v>
          </cell>
          <cell r="AD21">
            <v>8039.9967030191792</v>
          </cell>
          <cell r="AE21">
            <v>8514.8955149663107</v>
          </cell>
          <cell r="AF21">
            <v>9017.3858453141384</v>
          </cell>
          <cell r="AG21">
            <v>9549.497020525725</v>
          </cell>
          <cell r="AH21">
            <v>10113.311714518048</v>
          </cell>
          <cell r="AK21">
            <v>33257.284690977198</v>
          </cell>
          <cell r="AL21">
            <v>35283.201706437663</v>
          </cell>
          <cell r="AM21">
            <v>37232.077343235091</v>
          </cell>
          <cell r="AN21">
            <v>39054.078879841443</v>
          </cell>
          <cell r="AO21">
            <v>41029.621578437538</v>
          </cell>
        </row>
        <row r="31">
          <cell r="B31">
            <v>1545.0049438011069</v>
          </cell>
          <cell r="C31">
            <v>1694.7807845118093</v>
          </cell>
          <cell r="D31">
            <v>1859.1028056191308</v>
          </cell>
          <cell r="E31">
            <v>2039.3845699156705</v>
          </cell>
          <cell r="F31">
            <v>2237.1770978558816</v>
          </cell>
          <cell r="I31">
            <v>15056.458390250595</v>
          </cell>
          <cell r="J31">
            <v>16332.894544160823</v>
          </cell>
          <cell r="K31">
            <v>17717.542683438351</v>
          </cell>
          <cell r="L31">
            <v>19219.576658056994</v>
          </cell>
          <cell r="M31">
            <v>20848.948046289865</v>
          </cell>
          <cell r="P31">
            <v>5646.2403044567673</v>
          </cell>
          <cell r="Q31">
            <v>5995.1365647552793</v>
          </cell>
          <cell r="R31">
            <v>6389.2951834496625</v>
          </cell>
          <cell r="S31">
            <v>6834.5880523332062</v>
          </cell>
          <cell r="T31">
            <v>7337.6488245049304</v>
          </cell>
          <cell r="W31">
            <v>13750.276907992711</v>
          </cell>
          <cell r="X31">
            <v>15253.464502139712</v>
          </cell>
          <cell r="Y31">
            <v>16920.981364585597</v>
          </cell>
          <cell r="Z31">
            <v>18770.792058452615</v>
          </cell>
          <cell r="AA31">
            <v>20822.825042470387</v>
          </cell>
          <cell r="AD31">
            <v>6336.0520574005914</v>
          </cell>
          <cell r="AE31">
            <v>6726.4776840025961</v>
          </cell>
          <cell r="AF31">
            <v>7140.9612205659823</v>
          </cell>
          <cell r="AG31">
            <v>7580.9851082838322</v>
          </cell>
          <cell r="AH31">
            <v>8048.1231359307294</v>
          </cell>
          <cell r="AK31">
            <v>6682.3667252285259</v>
          </cell>
          <cell r="AL31">
            <v>7245.7668317244879</v>
          </cell>
          <cell r="AM31">
            <v>7856.6682370124354</v>
          </cell>
          <cell r="AN31">
            <v>8519.0758806541708</v>
          </cell>
          <cell r="AO31">
            <v>9237.3323690046509</v>
          </cell>
        </row>
      </sheetData>
      <sheetData sheetId="3">
        <row r="28">
          <cell r="B28">
            <v>0.12480972603687468</v>
          </cell>
        </row>
        <row r="32">
          <cell r="R32">
            <v>4.9944897835381828E-2</v>
          </cell>
          <cell r="AH32">
            <v>4.6574884816295306E-2</v>
          </cell>
        </row>
        <row r="33">
          <cell r="Z33">
            <v>5.9838756831213979E-2</v>
          </cell>
          <cell r="AP33">
            <v>3.4729107256622746E-2</v>
          </cell>
        </row>
        <row r="37">
          <cell r="J37">
            <v>4.1327124420653109E-2</v>
          </cell>
        </row>
      </sheetData>
      <sheetData sheetId="4"/>
      <sheetData sheetId="5"/>
      <sheetData sheetId="6">
        <row r="13">
          <cell r="B13">
            <v>3.0382810224097181</v>
          </cell>
          <cell r="C13">
            <v>3.6221347284396743</v>
          </cell>
          <cell r="D13">
            <v>4.6195307599013011</v>
          </cell>
          <cell r="E13">
            <v>5.73194499945508</v>
          </cell>
          <cell r="F13">
            <v>5.0790297339593113</v>
          </cell>
          <cell r="G13">
            <v>4.7141873278236917</v>
          </cell>
          <cell r="J13">
            <v>1.5139767598365761</v>
          </cell>
          <cell r="K13">
            <v>1.3282268948316045</v>
          </cell>
          <cell r="L13">
            <v>0.62552111009189748</v>
          </cell>
          <cell r="M13">
            <v>1.4912587287205685</v>
          </cell>
          <cell r="N13">
            <v>1.9762146440262827</v>
          </cell>
          <cell r="O13">
            <v>2.3277037035408514</v>
          </cell>
          <cell r="R13">
            <v>1.5375649111074916</v>
          </cell>
          <cell r="S13">
            <v>2.0116842700616795</v>
          </cell>
          <cell r="T13">
            <v>1.0096029731210372</v>
          </cell>
          <cell r="U13">
            <v>1.5207162584865348</v>
          </cell>
          <cell r="V13">
            <v>2.3695772358491904</v>
          </cell>
          <cell r="W13">
            <v>0.86642108486733449</v>
          </cell>
          <cell r="Z13">
            <v>1.3145337696912147</v>
          </cell>
          <cell r="AA13">
            <v>1.2603651183099767</v>
          </cell>
          <cell r="AB13">
            <v>1.246538778157507</v>
          </cell>
          <cell r="AC13">
            <v>1.3135108287372859</v>
          </cell>
          <cell r="AD13">
            <v>1.9508845019191523</v>
          </cell>
          <cell r="AE13">
            <v>1.3831836331199174</v>
          </cell>
          <cell r="AH13">
            <v>0.51902401103011275</v>
          </cell>
          <cell r="AI13">
            <v>0.58064608452823396</v>
          </cell>
          <cell r="AJ13">
            <v>0.61214380680801528</v>
          </cell>
          <cell r="AK13">
            <v>0.56616672479944186</v>
          </cell>
          <cell r="AL13">
            <v>0.61424081839546574</v>
          </cell>
          <cell r="AM13">
            <v>0.6532109158206475</v>
          </cell>
          <cell r="AP13">
            <v>1.6676545705349706</v>
          </cell>
          <cell r="AQ13">
            <v>1.8539730872942233</v>
          </cell>
          <cell r="AR13">
            <v>1.9053201082055904</v>
          </cell>
          <cell r="AS13">
            <v>2.3143264716575902</v>
          </cell>
          <cell r="AT13">
            <v>2.6982692721945485</v>
          </cell>
          <cell r="AU13">
            <v>3.2106105806752789</v>
          </cell>
        </row>
        <row r="16">
          <cell r="B16">
            <v>5.3146956464639834E-3</v>
          </cell>
          <cell r="C16">
            <v>5.1965601569081428E-4</v>
          </cell>
          <cell r="D16">
            <v>3.1462682189393407E-4</v>
          </cell>
          <cell r="E16">
            <v>2.5534401339694481E-4</v>
          </cell>
          <cell r="F16">
            <v>2.2105961240881291E-4</v>
          </cell>
          <cell r="G16">
            <v>2.6721891909947226E-4</v>
          </cell>
          <cell r="J16">
            <v>0.15426662234407995</v>
          </cell>
          <cell r="K16">
            <v>6.7563490011990746E-2</v>
          </cell>
          <cell r="L16">
            <v>0.20636287287065411</v>
          </cell>
          <cell r="M16">
            <v>0.3280571795273442</v>
          </cell>
          <cell r="N16">
            <v>5.0431621516212659E-2</v>
          </cell>
          <cell r="O16">
            <v>3.4096124835226699E-2</v>
          </cell>
          <cell r="R16">
            <v>2.8952481462092266E-2</v>
          </cell>
          <cell r="S16">
            <v>4.5556088114823555E-2</v>
          </cell>
          <cell r="T16">
            <v>0.13822534415652679</v>
          </cell>
          <cell r="U16">
            <v>2.234872806736837E-2</v>
          </cell>
          <cell r="V16">
            <v>2.1634768515182555E-2</v>
          </cell>
          <cell r="W16">
            <v>0.58424937088915696</v>
          </cell>
          <cell r="Z16">
            <v>0.24406714395732906</v>
          </cell>
          <cell r="AA16">
            <v>0.11434212888170885</v>
          </cell>
          <cell r="AB16">
            <v>0.16690001530464751</v>
          </cell>
          <cell r="AC16">
            <v>0.17086881389102868</v>
          </cell>
          <cell r="AD16">
            <v>7.0855217520562869E-2</v>
          </cell>
          <cell r="AE16">
            <v>0.13784139073433271</v>
          </cell>
          <cell r="AH16">
            <v>0.90521892014048699</v>
          </cell>
          <cell r="AI16">
            <v>0.6245269539862639</v>
          </cell>
          <cell r="AJ16">
            <v>0.68363584441327407</v>
          </cell>
          <cell r="AK16">
            <v>0.86616640341267515</v>
          </cell>
          <cell r="AL16">
            <v>0.58661785404345013</v>
          </cell>
          <cell r="AM16">
            <v>0.42187469123360327</v>
          </cell>
          <cell r="AP16">
            <v>0.17539894677056139</v>
          </cell>
          <cell r="AQ16">
            <v>8.2724304151764877E-2</v>
          </cell>
          <cell r="AR16">
            <v>4.9995785462022276E-2</v>
          </cell>
          <cell r="AS16">
            <v>3.3867571016389798E-2</v>
          </cell>
          <cell r="AT16">
            <v>2.0871692871477963E-2</v>
          </cell>
          <cell r="AU16">
            <v>1.4004490360107707E-2</v>
          </cell>
        </row>
        <row r="18">
          <cell r="B18">
            <v>299.27213114754102</v>
          </cell>
          <cell r="C18">
            <v>3065.4137931034479</v>
          </cell>
          <cell r="D18">
            <v>4605.3750000000009</v>
          </cell>
          <cell r="E18">
            <v>3536.2686567164178</v>
          </cell>
          <cell r="F18">
            <v>722</v>
          </cell>
          <cell r="G18">
            <v>1459</v>
          </cell>
          <cell r="J18">
            <v>18.409011330228275</v>
          </cell>
          <cell r="K18">
            <v>51.240472318461421</v>
          </cell>
          <cell r="L18">
            <v>72.049391440910881</v>
          </cell>
          <cell r="M18">
            <v>56.696976744186031</v>
          </cell>
          <cell r="N18">
            <v>49.568834654254196</v>
          </cell>
          <cell r="O18">
            <v>63.370245504840952</v>
          </cell>
          <cell r="R18">
            <v>66.435471832075592</v>
          </cell>
          <cell r="S18">
            <v>84.961791595937925</v>
          </cell>
          <cell r="T18">
            <v>34.690276810941391</v>
          </cell>
          <cell r="U18">
            <v>38.582115631113858</v>
          </cell>
          <cell r="V18">
            <v>74.219541984732814</v>
          </cell>
          <cell r="W18">
            <v>6.8599706574136601</v>
          </cell>
          <cell r="Z18">
            <v>19.612410986775163</v>
          </cell>
          <cell r="AA18">
            <v>30.231958762886634</v>
          </cell>
          <cell r="AB18">
            <v>32.22233820459293</v>
          </cell>
          <cell r="AC18">
            <v>43.09733893557425</v>
          </cell>
          <cell r="AD18">
            <v>43.000584453535943</v>
          </cell>
          <cell r="AE18">
            <v>28.068928950159076</v>
          </cell>
          <cell r="AH18">
            <v>3.6326684564354035</v>
          </cell>
          <cell r="AI18">
            <v>5.2599642737523737</v>
          </cell>
          <cell r="AJ18">
            <v>7.7066964635771997</v>
          </cell>
          <cell r="AK18">
            <v>6.5397072936660265</v>
          </cell>
          <cell r="AL18">
            <v>7.4026756420409532</v>
          </cell>
          <cell r="AM18">
            <v>11.68931076849907</v>
          </cell>
          <cell r="AP18">
            <v>12.036582894203478</v>
          </cell>
          <cell r="AQ18">
            <v>21.473304293715007</v>
          </cell>
          <cell r="AR18">
            <v>35.559379407616355</v>
          </cell>
          <cell r="AS18">
            <v>39.531769216724484</v>
          </cell>
          <cell r="AT18">
            <v>66.606586559857561</v>
          </cell>
          <cell r="AU18">
            <v>110.99532333494601</v>
          </cell>
        </row>
      </sheetData>
      <sheetData sheetId="7">
        <row r="4">
          <cell r="B4">
            <v>0.78029999999999999</v>
          </cell>
          <cell r="C4">
            <v>0.85950000000000004</v>
          </cell>
          <cell r="D4">
            <v>0.61099999999999999</v>
          </cell>
          <cell r="E4">
            <v>0.41089999999999999</v>
          </cell>
          <cell r="F4">
            <v>0.60219999999999996</v>
          </cell>
          <cell r="G4">
            <v>0.41310000000000002</v>
          </cell>
        </row>
        <row r="11">
          <cell r="B11">
            <v>0.375</v>
          </cell>
          <cell r="C11">
            <v>8.9611934501049983E-2</v>
          </cell>
          <cell r="D11">
            <v>3.783814743668823E-2</v>
          </cell>
          <cell r="E11">
            <v>4.5369499208826922E-2</v>
          </cell>
          <cell r="F11">
            <v>5.9092314322116472E-2</v>
          </cell>
          <cell r="G11">
            <v>0.10613546635021336</v>
          </cell>
        </row>
        <row r="15">
          <cell r="B15">
            <v>2.3137824500758051E-5</v>
          </cell>
          <cell r="C15">
            <v>5.9672834123891925E-3</v>
          </cell>
          <cell r="D15">
            <v>7.781737061409022E-2</v>
          </cell>
          <cell r="E15">
            <v>4.2977175210608003E-2</v>
          </cell>
          <cell r="F15">
            <v>2.5614662472958113E-2</v>
          </cell>
          <cell r="G15">
            <v>3.4192458619509234E-3</v>
          </cell>
        </row>
        <row r="16">
          <cell r="B16">
            <v>0.13030544183074561</v>
          </cell>
          <cell r="C16">
            <v>0.13577259269222969</v>
          </cell>
          <cell r="D16">
            <v>0.11176994618058142</v>
          </cell>
          <cell r="E16">
            <v>0.10098385723650677</v>
          </cell>
          <cell r="F16">
            <v>0.11587696392376136</v>
          </cell>
          <cell r="G16">
            <v>0.10364958898859097</v>
          </cell>
        </row>
      </sheetData>
      <sheetData sheetId="8">
        <row r="7">
          <cell r="B7">
            <v>10654.676603528676</v>
          </cell>
          <cell r="C7">
            <v>11688.900863279239</v>
          </cell>
          <cell r="D7">
            <v>12823.56864303614</v>
          </cell>
          <cell r="E7">
            <v>14068.440802266763</v>
          </cell>
          <cell r="F7">
            <v>15434.227365857327</v>
          </cell>
          <cell r="I7">
            <v>61539.009655398768</v>
          </cell>
          <cell r="J7">
            <v>67045.588806830026</v>
          </cell>
          <cell r="K7">
            <v>73078.88310655691</v>
          </cell>
          <cell r="L7">
            <v>79695.933305654049</v>
          </cell>
          <cell r="M7">
            <v>86961.17830182999</v>
          </cell>
          <cell r="P7">
            <v>14497.023587145901</v>
          </cell>
          <cell r="Q7">
            <v>16508.550358046476</v>
          </cell>
          <cell r="R7">
            <v>18822.250723715078</v>
          </cell>
          <cell r="S7">
            <v>21490.3118126185</v>
          </cell>
          <cell r="T7">
            <v>24575.782392437246</v>
          </cell>
          <cell r="W7">
            <v>37419.18833532276</v>
          </cell>
          <cell r="X7">
            <v>41498.198328012462</v>
          </cell>
          <cell r="Y7">
            <v>46021.964456816786</v>
          </cell>
          <cell r="Z7">
            <v>51038.991772238827</v>
          </cell>
          <cell r="AA7">
            <v>56603.076371242205</v>
          </cell>
          <cell r="AD7">
            <v>12268.083898465249</v>
          </cell>
          <cell r="AE7">
            <v>13018.699298279022</v>
          </cell>
          <cell r="AF7">
            <v>13816.852083334245</v>
          </cell>
          <cell r="AG7">
            <v>14665.162438687184</v>
          </cell>
          <cell r="AH7">
            <v>15566.486352799584</v>
          </cell>
          <cell r="AK7">
            <v>30804.734796352906</v>
          </cell>
          <cell r="AL7">
            <v>33401.92701558891</v>
          </cell>
          <cell r="AM7">
            <v>36218.093285776806</v>
          </cell>
          <cell r="AN7">
            <v>39271.695793466606</v>
          </cell>
          <cell r="AO7">
            <v>42582.753319816242</v>
          </cell>
        </row>
        <row r="14">
          <cell r="B14">
            <v>3570.5958939007041</v>
          </cell>
          <cell r="C14">
            <v>3917.1851929147028</v>
          </cell>
          <cell r="D14">
            <v>4297.4351306743938</v>
          </cell>
          <cell r="E14">
            <v>4714.6167670187642</v>
          </cell>
          <cell r="F14">
            <v>5172.3192461616927</v>
          </cell>
          <cell r="I14">
            <v>15133.713747162237</v>
          </cell>
          <cell r="J14">
            <v>16706.207212909911</v>
          </cell>
          <cell r="K14">
            <v>18471.89720845531</v>
          </cell>
          <cell r="L14">
            <v>20459.549892560695</v>
          </cell>
          <cell r="M14">
            <v>22702.932545310599</v>
          </cell>
          <cell r="P14">
            <v>3902.4652258829065</v>
          </cell>
          <cell r="Q14">
            <v>4539.5585271235504</v>
          </cell>
          <cell r="R14">
            <v>5300.5199857457592</v>
          </cell>
          <cell r="S14">
            <v>6214.4051420358828</v>
          </cell>
          <cell r="T14">
            <v>7318.1303114732946</v>
          </cell>
          <cell r="W14">
            <v>8145.0944761848987</v>
          </cell>
          <cell r="X14">
            <v>9023.8449385830936</v>
          </cell>
          <cell r="Y14">
            <v>9997.4974609799137</v>
          </cell>
          <cell r="Z14">
            <v>11076.310859966346</v>
          </cell>
          <cell r="AA14">
            <v>12271.653899935016</v>
          </cell>
          <cell r="AD14">
            <v>3130.6560470045342</v>
          </cell>
          <cell r="AE14">
            <v>3318.2258843579593</v>
          </cell>
          <cell r="AF14">
            <v>3518.6384083396342</v>
          </cell>
          <cell r="AG14">
            <v>3732.3759270876599</v>
          </cell>
          <cell r="AH14">
            <v>3960.024816811394</v>
          </cell>
          <cell r="AK14">
            <v>4543.2404483149767</v>
          </cell>
          <cell r="AL14">
            <v>4926.2876915549678</v>
          </cell>
          <cell r="AM14">
            <v>5341.6303521063855</v>
          </cell>
          <cell r="AN14">
            <v>5791.9913280319051</v>
          </cell>
          <cell r="AO14">
            <v>6280.3230919589951</v>
          </cell>
        </row>
        <row r="16">
          <cell r="B16">
            <v>3176.2833607432003</v>
          </cell>
          <cell r="C16">
            <v>3455.0269178754634</v>
          </cell>
          <cell r="D16">
            <v>3762.9900751377932</v>
          </cell>
          <cell r="E16">
            <v>4102.8567902635587</v>
          </cell>
          <cell r="F16">
            <v>4477.5833320297143</v>
          </cell>
          <cell r="I16">
            <v>12709.798784011415</v>
          </cell>
          <cell r="J16">
            <v>13621.423853905768</v>
          </cell>
          <cell r="K16">
            <v>14754.29057445841</v>
          </cell>
          <cell r="L16">
            <v>16124.023856155982</v>
          </cell>
          <cell r="M16">
            <v>17752.999883113662</v>
          </cell>
          <cell r="P16">
            <v>3167.9434615444052</v>
          </cell>
          <cell r="Q16">
            <v>3771.4127281959445</v>
          </cell>
          <cell r="R16">
            <v>4490.5497019737068</v>
          </cell>
          <cell r="S16">
            <v>5353.4221721570475</v>
          </cell>
          <cell r="T16">
            <v>6395.7840779344879</v>
          </cell>
          <cell r="W16">
            <v>5738.3998401797162</v>
          </cell>
          <cell r="X16">
            <v>6235.8352933695096</v>
          </cell>
          <cell r="Y16">
            <v>6803.1411663886511</v>
          </cell>
          <cell r="Z16">
            <v>7445.4871906976459</v>
          </cell>
          <cell r="AA16">
            <v>8168.9299787916398</v>
          </cell>
          <cell r="AD16">
            <v>2385.4830352112413</v>
          </cell>
          <cell r="AE16">
            <v>2525.045353189952</v>
          </cell>
          <cell r="AF16">
            <v>2674.7064060347457</v>
          </cell>
          <cell r="AG16">
            <v>2834.7574605980644</v>
          </cell>
          <cell r="AH16">
            <v>3005.5843303220672</v>
          </cell>
          <cell r="AK16">
            <v>3412.0340221478768</v>
          </cell>
          <cell r="AL16">
            <v>3278.541850894404</v>
          </cell>
          <cell r="AM16">
            <v>3212.2767744341827</v>
          </cell>
          <cell r="AN16">
            <v>3204.2827256823552</v>
          </cell>
          <cell r="AO16">
            <v>3652.3230919589951</v>
          </cell>
        </row>
        <row r="20">
          <cell r="B20">
            <v>2380.5325205574004</v>
          </cell>
          <cell r="C20">
            <v>2589.5901884065979</v>
          </cell>
          <cell r="D20">
            <v>2820.5625563533449</v>
          </cell>
          <cell r="E20">
            <v>3075.4625926976692</v>
          </cell>
          <cell r="F20">
            <v>3356.5074990222856</v>
          </cell>
          <cell r="I20">
            <v>9131.1205384316781</v>
          </cell>
          <cell r="J20">
            <v>9814.8393408524425</v>
          </cell>
          <cell r="K20">
            <v>10664.489381266923</v>
          </cell>
          <cell r="L20">
            <v>11691.789342540103</v>
          </cell>
          <cell r="M20">
            <v>12913.521362758362</v>
          </cell>
          <cell r="P20">
            <v>2053.9000961583042</v>
          </cell>
          <cell r="Q20">
            <v>2506.5020461469585</v>
          </cell>
          <cell r="R20">
            <v>3045.8547764802802</v>
          </cell>
          <cell r="S20">
            <v>3693.009129117786</v>
          </cell>
          <cell r="T20">
            <v>4474.780558450866</v>
          </cell>
          <cell r="W20">
            <v>4063.0566262620941</v>
          </cell>
          <cell r="X20">
            <v>4411.8728677576009</v>
          </cell>
          <cell r="Y20">
            <v>4810.439769918783</v>
          </cell>
          <cell r="Z20">
            <v>5262.3446964308059</v>
          </cell>
          <cell r="AA20">
            <v>5771.8084759160301</v>
          </cell>
          <cell r="AD20">
            <v>1195.7328531602029</v>
          </cell>
          <cell r="AE20">
            <v>1263.8407296311657</v>
          </cell>
          <cell r="AF20">
            <v>1337.2696030456777</v>
          </cell>
          <cell r="AG20">
            <v>1416.0990910189407</v>
          </cell>
          <cell r="AH20">
            <v>1500.4711662899635</v>
          </cell>
          <cell r="AK20">
            <v>2455.9688635782595</v>
          </cell>
          <cell r="AL20">
            <v>2410.8467271709756</v>
          </cell>
          <cell r="AM20">
            <v>2319.1672782156957</v>
          </cell>
          <cell r="AN20">
            <v>2168.1867558773297</v>
          </cell>
          <cell r="AO20">
            <v>2350.9011538729792</v>
          </cell>
        </row>
        <row r="22">
          <cell r="C22">
            <v>7.6933593166442549E-2</v>
          </cell>
        </row>
        <row r="35">
          <cell r="C35">
            <v>6.0397061943283974E-2</v>
          </cell>
        </row>
      </sheetData>
      <sheetData sheetId="9">
        <row r="25">
          <cell r="C25">
            <v>0.24878558052509112</v>
          </cell>
        </row>
      </sheetData>
      <sheetData sheetId="10"/>
      <sheetData sheetId="11"/>
      <sheetData sheetId="1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Ratio Analysis"/>
      <sheetName val="WACC"/>
      <sheetName val="DCF"/>
      <sheetName val="Relative Valuation Model"/>
      <sheetName val="Summary"/>
      <sheetName val="Senstivity Analysis"/>
      <sheetName val="Calc"/>
    </sheetNames>
    <sheetDataSet>
      <sheetData sheetId="0"/>
      <sheetData sheetId="1">
        <row r="26">
          <cell r="AS26">
            <v>216519</v>
          </cell>
          <cell r="AT26">
            <v>236369</v>
          </cell>
          <cell r="AU26">
            <v>261377</v>
          </cell>
        </row>
        <row r="29">
          <cell r="N29">
            <v>27038.800000000003</v>
          </cell>
          <cell r="O29">
            <v>32498.3</v>
          </cell>
        </row>
        <row r="30">
          <cell r="R30">
            <v>1369.3300000000002</v>
          </cell>
          <cell r="S30">
            <v>1412.8200000000002</v>
          </cell>
          <cell r="T30">
            <v>1526.71</v>
          </cell>
          <cell r="U30">
            <v>1648.88</v>
          </cell>
          <cell r="V30">
            <v>1827.24</v>
          </cell>
          <cell r="W30">
            <v>1999.6200000000001</v>
          </cell>
        </row>
        <row r="33">
          <cell r="AK33">
            <v>-74359.100000000006</v>
          </cell>
          <cell r="AL33">
            <v>-104166.8</v>
          </cell>
          <cell r="AM33">
            <v>-70320.200000000012</v>
          </cell>
        </row>
        <row r="36">
          <cell r="AC36">
            <v>1548.6</v>
          </cell>
          <cell r="AD36">
            <v>1790.3000000000002</v>
          </cell>
          <cell r="AE36">
            <v>3024.28</v>
          </cell>
        </row>
        <row r="37">
          <cell r="F37">
            <v>105563.9</v>
          </cell>
          <cell r="G37">
            <v>153467.70000000001</v>
          </cell>
        </row>
      </sheetData>
      <sheetData sheetId="2">
        <row r="23">
          <cell r="AE23">
            <v>1625.6899999999985</v>
          </cell>
          <cell r="AU23">
            <v>24795</v>
          </cell>
        </row>
        <row r="25">
          <cell r="G25">
            <v>37481.300000000017</v>
          </cell>
          <cell r="W25">
            <v>299.8100000000004</v>
          </cell>
        </row>
        <row r="26">
          <cell r="O26">
            <v>9931.7000000000007</v>
          </cell>
        </row>
        <row r="32">
          <cell r="AM32">
            <v>-27383.400000000012</v>
          </cell>
        </row>
      </sheetData>
      <sheetData sheetId="3">
        <row r="39">
          <cell r="W39">
            <v>-91.46</v>
          </cell>
        </row>
        <row r="42">
          <cell r="O42">
            <v>-2640</v>
          </cell>
        </row>
        <row r="57">
          <cell r="AB57">
            <v>-399</v>
          </cell>
          <cell r="AC57">
            <v>-589.95000000000005</v>
          </cell>
          <cell r="AD57">
            <v>-598.5</v>
          </cell>
          <cell r="AE57">
            <v>-475.95</v>
          </cell>
        </row>
        <row r="58">
          <cell r="G58">
            <v>-6934.9</v>
          </cell>
        </row>
      </sheetData>
      <sheetData sheetId="4">
        <row r="8">
          <cell r="C8">
            <v>0.6305916027258528</v>
          </cell>
          <cell r="D8">
            <v>0.56091036598851618</v>
          </cell>
          <cell r="E8">
            <v>0.43699782228307171</v>
          </cell>
          <cell r="F8">
            <v>0.51858904722346477</v>
          </cell>
          <cell r="G8">
            <v>0.41763264434857988</v>
          </cell>
          <cell r="H8">
            <v>0.37207396134564252</v>
          </cell>
          <cell r="L8">
            <v>1.2940177194678932</v>
          </cell>
          <cell r="M8">
            <v>0.69027855432741236</v>
          </cell>
          <cell r="N8">
            <v>1.3947478729791889</v>
          </cell>
          <cell r="O8">
            <v>1.066741804282844</v>
          </cell>
          <cell r="P8">
            <v>1.0328361148033278</v>
          </cell>
          <cell r="Q8">
            <v>1.3203702946826337</v>
          </cell>
          <cell r="U8">
            <v>1.2607186468273708</v>
          </cell>
          <cell r="V8">
            <v>1.4697414832343614</v>
          </cell>
          <cell r="W8">
            <v>1.3094415319521937</v>
          </cell>
          <cell r="X8">
            <v>1.38510618603052</v>
          </cell>
          <cell r="Y8">
            <v>1.2040738352795088</v>
          </cell>
          <cell r="Z8">
            <v>1.2881204286443273</v>
          </cell>
          <cell r="AD8">
            <v>0.51617572950187451</v>
          </cell>
          <cell r="AE8">
            <v>0.74713805450797477</v>
          </cell>
          <cell r="AF8">
            <v>0.57313493028414164</v>
          </cell>
          <cell r="AG8">
            <v>0.57746011113904228</v>
          </cell>
          <cell r="AH8">
            <v>0.43270729628803312</v>
          </cell>
          <cell r="AI8">
            <v>0.56629006446783436</v>
          </cell>
          <cell r="AM8">
            <v>0.17426922734228981</v>
          </cell>
          <cell r="AN8">
            <v>0.21245672175099692</v>
          </cell>
          <cell r="AO8">
            <v>0.27423671645355524</v>
          </cell>
          <cell r="AP8">
            <v>0.23076502723136411</v>
          </cell>
          <cell r="AQ8">
            <v>0.2407727947594995</v>
          </cell>
          <cell r="AR8">
            <v>0.56071538253093678</v>
          </cell>
          <cell r="AV8">
            <v>0</v>
          </cell>
          <cell r="AW8">
            <v>0</v>
          </cell>
          <cell r="AX8">
            <v>0</v>
          </cell>
          <cell r="AY8">
            <v>0</v>
          </cell>
          <cell r="AZ8">
            <v>0</v>
          </cell>
          <cell r="BA8">
            <v>0</v>
          </cell>
        </row>
        <row r="9">
          <cell r="C9">
            <v>0.81202651701876771</v>
          </cell>
          <cell r="D9">
            <v>1.2203668299291235</v>
          </cell>
          <cell r="E9">
            <v>1.4374673603088</v>
          </cell>
          <cell r="F9">
            <v>1.7804145662802207</v>
          </cell>
          <cell r="G9">
            <v>1.4390951831071039</v>
          </cell>
          <cell r="H9">
            <v>0.96640726354796469</v>
          </cell>
          <cell r="L9">
            <v>0.17858118635682269</v>
          </cell>
          <cell r="M9">
            <v>0.43901870630471745</v>
          </cell>
          <cell r="N9">
            <v>0.24770546940249658</v>
          </cell>
          <cell r="O9">
            <v>0.22324545820602101</v>
          </cell>
          <cell r="P9">
            <v>0.15946713611550808</v>
          </cell>
          <cell r="Q9">
            <v>6.9615949141955111E-2</v>
          </cell>
          <cell r="U9">
            <v>3.1066287892619015E-2</v>
          </cell>
          <cell r="V9">
            <v>2.1361532254639656E-2</v>
          </cell>
          <cell r="W9">
            <v>2.0639152163803208E-2</v>
          </cell>
          <cell r="X9">
            <v>2.5344476250545828E-2</v>
          </cell>
          <cell r="Y9">
            <v>2.4966616317506182E-2</v>
          </cell>
          <cell r="Z9">
            <v>2.2274232104099779E-2</v>
          </cell>
          <cell r="AD9">
            <v>-8.4632187247273514</v>
          </cell>
          <cell r="AE9">
            <v>78.230731741279669</v>
          </cell>
          <cell r="AF9">
            <v>9.5405614592921104</v>
          </cell>
          <cell r="AG9">
            <v>5.538318481208834</v>
          </cell>
          <cell r="AH9">
            <v>6.291219348712505</v>
          </cell>
          <cell r="AI9">
            <v>4.0860370071554222</v>
          </cell>
          <cell r="AM9">
            <v>16.106055285205432</v>
          </cell>
          <cell r="AN9">
            <v>-4.1178063199748882</v>
          </cell>
          <cell r="AO9">
            <v>-3.4497182271224949</v>
          </cell>
          <cell r="AP9">
            <v>-3.197537355885157</v>
          </cell>
          <cell r="AQ9">
            <v>-2.3405634040788428</v>
          </cell>
          <cell r="AR9">
            <v>-3.3166671880910461</v>
          </cell>
          <cell r="AV9">
            <v>0.1359531107419453</v>
          </cell>
          <cell r="AW9">
            <v>6.0877834434588711E-2</v>
          </cell>
          <cell r="AX9">
            <v>0.26492132324359252</v>
          </cell>
          <cell r="AY9">
            <v>0.22809545582604759</v>
          </cell>
          <cell r="AZ9">
            <v>0.27648718740613193</v>
          </cell>
          <cell r="BA9">
            <v>0.31766375771395339</v>
          </cell>
        </row>
        <row r="21">
          <cell r="C21">
            <v>3.7309453812668472</v>
          </cell>
          <cell r="D21">
            <v>4.4318210667952975</v>
          </cell>
          <cell r="E21">
            <v>4.5106423211908515</v>
          </cell>
          <cell r="F21">
            <v>5.0088426760621534</v>
          </cell>
          <cell r="G21">
            <v>5.2660888302123388</v>
          </cell>
          <cell r="H21">
            <v>6.4495653652908214</v>
          </cell>
          <cell r="L21">
            <v>15.128358208955223</v>
          </cell>
          <cell r="M21">
            <v>12.491750358680056</v>
          </cell>
          <cell r="N21">
            <v>12.921848687082891</v>
          </cell>
          <cell r="O21">
            <v>9.3207016283524897</v>
          </cell>
          <cell r="P21">
            <v>11.38265908359266</v>
          </cell>
          <cell r="Q21">
            <v>14.898756660746004</v>
          </cell>
          <cell r="U21">
            <v>55.379362670713192</v>
          </cell>
          <cell r="V21">
            <v>87.807881773398918</v>
          </cell>
          <cell r="W21">
            <v>71.165755919854277</v>
          </cell>
          <cell r="X21">
            <v>68.297342192691019</v>
          </cell>
          <cell r="Y21">
            <v>89.756567425569258</v>
          </cell>
          <cell r="Z21">
            <v>194.18006430868181</v>
          </cell>
          <cell r="AD21">
            <v>6.1347877809406501</v>
          </cell>
          <cell r="AE21">
            <v>9.5124702522608207</v>
          </cell>
          <cell r="AF21">
            <v>11.654573213046497</v>
          </cell>
          <cell r="AG21">
            <v>9.8250011561762935</v>
          </cell>
          <cell r="AH21">
            <v>6.2708978082496163</v>
          </cell>
          <cell r="AI21">
            <v>5.4457383480097636</v>
          </cell>
          <cell r="AM21">
            <v>2.6187759875259884</v>
          </cell>
          <cell r="AN21">
            <v>2.2645945960962544</v>
          </cell>
          <cell r="AO21">
            <v>1.8945798062990926</v>
          </cell>
          <cell r="AP21">
            <v>1.720368411812814</v>
          </cell>
          <cell r="AQ21">
            <v>1.5475228503231064</v>
          </cell>
          <cell r="AR21">
            <v>1.6754157940627619</v>
          </cell>
          <cell r="AV21">
            <v>2.2724799758198579</v>
          </cell>
          <cell r="AW21">
            <v>7.1929687500000004</v>
          </cell>
          <cell r="AX21">
            <v>7.695453506968243</v>
          </cell>
          <cell r="AY21">
            <v>10.644493717664449</v>
          </cell>
          <cell r="AZ21">
            <v>12.222805701425356</v>
          </cell>
          <cell r="BA21">
            <v>11.659292950175729</v>
          </cell>
        </row>
      </sheetData>
      <sheetData sheetId="5">
        <row r="7">
          <cell r="B7">
            <v>0.70960000000000001</v>
          </cell>
          <cell r="C7">
            <v>1.1428</v>
          </cell>
          <cell r="D7">
            <v>1.3037000000000001</v>
          </cell>
          <cell r="E7">
            <v>1.4055</v>
          </cell>
          <cell r="F7">
            <v>1.0397000000000001</v>
          </cell>
          <cell r="H7">
            <v>0.50942594890741255</v>
          </cell>
        </row>
        <row r="14">
          <cell r="B14">
            <v>7.6368023905400664E-2</v>
          </cell>
          <cell r="C14">
            <v>6.586491647680541E-2</v>
          </cell>
          <cell r="D14">
            <v>5.2368657386618764E-2</v>
          </cell>
          <cell r="E14">
            <v>0.15732173319133921</v>
          </cell>
          <cell r="F14">
            <v>7.8924892176648928E-2</v>
          </cell>
        </row>
        <row r="15">
          <cell r="H15">
            <v>4.3692039022040226E-2</v>
          </cell>
        </row>
        <row r="18">
          <cell r="B18">
            <v>0.14498825969039569</v>
          </cell>
          <cell r="C18">
            <v>0.17391597434476727</v>
          </cell>
          <cell r="D18">
            <v>3.6783712760000723E-3</v>
          </cell>
          <cell r="E18">
            <v>0.18503477716217581</v>
          </cell>
          <cell r="F18">
            <v>0.69695862212816362</v>
          </cell>
        </row>
        <row r="19">
          <cell r="H19">
            <v>0.24108104655248005</v>
          </cell>
        </row>
        <row r="20">
          <cell r="B20">
            <v>0.1092423156686968</v>
          </cell>
          <cell r="C20">
            <v>0.13228402460824143</v>
          </cell>
          <cell r="D20">
            <v>0.15756025769820176</v>
          </cell>
          <cell r="E20">
            <v>0.16385577131217663</v>
          </cell>
          <cell r="F20">
            <v>9.706413927596344E-2</v>
          </cell>
          <cell r="H20">
            <v>8.6640996627750835E-2</v>
          </cell>
        </row>
      </sheetData>
      <sheetData sheetId="6">
        <row r="4">
          <cell r="D4">
            <v>210627.27432276198</v>
          </cell>
          <cell r="E4">
            <v>254148.30575029989</v>
          </cell>
          <cell r="F4">
            <v>306661.90560282854</v>
          </cell>
          <cell r="G4">
            <v>370026.17062634957</v>
          </cell>
          <cell r="H4">
            <v>446483.12831438129</v>
          </cell>
          <cell r="M4">
            <v>39052.653731182421</v>
          </cell>
          <cell r="N4">
            <v>50055.130969182581</v>
          </cell>
          <cell r="O4">
            <v>64157.384888326771</v>
          </cell>
          <cell r="P4">
            <v>82232.729312867072</v>
          </cell>
          <cell r="Q4">
            <v>105400.52064175751</v>
          </cell>
          <cell r="V4">
            <v>4275.4133021726884</v>
          </cell>
          <cell r="W4">
            <v>5147.5508314170411</v>
          </cell>
          <cell r="X4">
            <v>6197.5948731218177</v>
          </cell>
          <cell r="Y4">
            <v>7461.8364090582681</v>
          </cell>
          <cell r="Z4">
            <v>8983.9693841590652</v>
          </cell>
          <cell r="AE4">
            <v>24448.899442335052</v>
          </cell>
          <cell r="AF4">
            <v>25721.912016512459</v>
          </cell>
          <cell r="AG4">
            <v>27061.208188355929</v>
          </cell>
          <cell r="AH4">
            <v>28470.239231960219</v>
          </cell>
          <cell r="AI4">
            <v>29952.636123387034</v>
          </cell>
          <cell r="AN4">
            <v>46216.486357759641</v>
          </cell>
          <cell r="AO4">
            <v>47900.260165119304</v>
          </cell>
          <cell r="AP4">
            <v>49645.377758166265</v>
          </cell>
          <cell r="AQ4">
            <v>51454.074033313569</v>
          </cell>
          <cell r="AR4">
            <v>53328.665309434931</v>
          </cell>
          <cell r="AW4">
            <v>130396.09187318904</v>
          </cell>
          <cell r="AX4">
            <v>147740.34456938304</v>
          </cell>
          <cell r="AY4">
            <v>167391.5920325827</v>
          </cell>
          <cell r="AZ4">
            <v>189656.69238739079</v>
          </cell>
          <cell r="BA4">
            <v>214883.31958945643</v>
          </cell>
        </row>
        <row r="5">
          <cell r="C5">
            <v>0.50813104540602605</v>
          </cell>
          <cell r="D5">
            <v>107026.25709264688</v>
          </cell>
          <cell r="E5">
            <v>129140.64428907022</v>
          </cell>
          <cell r="F5">
            <v>155824.43468016933</v>
          </cell>
          <cell r="G5">
            <v>188021.78490795559</v>
          </cell>
          <cell r="H5">
            <v>226871.93874653944</v>
          </cell>
          <cell r="L5">
            <v>0.5308838313930615</v>
          </cell>
          <cell r="M5">
            <v>20732.422438876663</v>
          </cell>
          <cell r="N5">
            <v>26573.459709801136</v>
          </cell>
          <cell r="O5">
            <v>34060.118301674222</v>
          </cell>
          <cell r="P5">
            <v>43656.026403523392</v>
          </cell>
          <cell r="Q5">
            <v>55955.432229119695</v>
          </cell>
          <cell r="U5">
            <v>0.21659710856740597</v>
          </cell>
          <cell r="V5">
            <v>926.04215918122941</v>
          </cell>
          <cell r="W5">
            <v>1114.9446262886777</v>
          </cell>
          <cell r="X5">
            <v>1342.3811295903649</v>
          </cell>
          <cell r="Y5">
            <v>1616.2121908050165</v>
          </cell>
          <cell r="Z5">
            <v>1945.9017920669523</v>
          </cell>
          <cell r="AD5">
            <v>0.23079433160041055</v>
          </cell>
          <cell r="AE5">
            <v>5642.6674051593682</v>
          </cell>
          <cell r="AF5">
            <v>5936.471491335561</v>
          </cell>
          <cell r="AG5">
            <v>6245.5734561311638</v>
          </cell>
          <cell r="AH5">
            <v>6570.7698340440447</v>
          </cell>
          <cell r="AI5">
            <v>6912.8986337674223</v>
          </cell>
          <cell r="AM5">
            <v>0.40041517707181307</v>
          </cell>
          <cell r="AN5">
            <v>18505.782568579358</v>
          </cell>
          <cell r="AO5">
            <v>19179.991155802159</v>
          </cell>
          <cell r="AP5">
            <v>19878.762725833196</v>
          </cell>
          <cell r="AQ5">
            <v>20602.992165115433</v>
          </cell>
          <cell r="AR5">
            <v>21353.606962880844</v>
          </cell>
          <cell r="AV5">
            <v>0.49536316026910931</v>
          </cell>
          <cell r="AW5">
            <v>64593.420157044049</v>
          </cell>
          <cell r="AX5">
            <v>73185.123985136728</v>
          </cell>
          <cell r="AY5">
            <v>82919.628031737622</v>
          </cell>
          <cell r="AZ5">
            <v>93948.938507204235</v>
          </cell>
          <cell r="BA5">
            <v>106445.28028095014</v>
          </cell>
        </row>
        <row r="7">
          <cell r="D7">
            <v>45299.502156304996</v>
          </cell>
          <cell r="E7">
            <v>54659.54853840507</v>
          </cell>
          <cell r="F7">
            <v>65953.622097509578</v>
          </cell>
          <cell r="G7">
            <v>79581.342768039496</v>
          </cell>
          <cell r="H7">
            <v>96024.902277555608</v>
          </cell>
          <cell r="M7">
            <v>12815.80034754119</v>
          </cell>
          <cell r="N7">
            <v>16426.452585957129</v>
          </cell>
          <cell r="O7">
            <v>21054.349883849929</v>
          </cell>
          <cell r="P7">
            <v>26986.085200801885</v>
          </cell>
          <cell r="Q7">
            <v>34588.994601232174</v>
          </cell>
          <cell r="V7">
            <v>599.13317772847267</v>
          </cell>
          <cell r="W7">
            <v>721.34978987375666</v>
          </cell>
          <cell r="X7">
            <v>868.49725352171004</v>
          </cell>
          <cell r="Y7">
            <v>1045.6611895690178</v>
          </cell>
          <cell r="Z7">
            <v>1258.964629925063</v>
          </cell>
          <cell r="AE7">
            <v>2611.2669017152461</v>
          </cell>
          <cell r="AF7">
            <v>2747.2311240826853</v>
          </cell>
          <cell r="AG7">
            <v>2890.2747720545458</v>
          </cell>
          <cell r="AH7">
            <v>3040.7664592706219</v>
          </cell>
          <cell r="AI7">
            <v>3199.0939924554323</v>
          </cell>
          <cell r="AN7">
            <v>4032.4210060906025</v>
          </cell>
          <cell r="AO7">
            <v>4179.3314574335218</v>
          </cell>
          <cell r="AP7">
            <v>4331.594197310098</v>
          </cell>
          <cell r="AQ7">
            <v>4489.404222007428</v>
          </cell>
          <cell r="AR7">
            <v>4652.9636319796846</v>
          </cell>
          <cell r="AW7">
            <v>40100.193516328618</v>
          </cell>
          <cell r="AX7">
            <v>45434.00283164053</v>
          </cell>
          <cell r="AY7">
            <v>51477.273107546651</v>
          </cell>
          <cell r="AZ7">
            <v>58324.371207362172</v>
          </cell>
          <cell r="BA7">
            <v>66082.215925215307</v>
          </cell>
        </row>
        <row r="9">
          <cell r="D9">
            <v>33974.626617228743</v>
          </cell>
          <cell r="E9">
            <v>40994.661403803802</v>
          </cell>
          <cell r="F9">
            <v>49465.216573132187</v>
          </cell>
          <cell r="G9">
            <v>59686.007076029622</v>
          </cell>
          <cell r="H9">
            <v>72018.676708166706</v>
          </cell>
          <cell r="M9">
            <v>9611.8502606558923</v>
          </cell>
          <cell r="N9">
            <v>12319.839439467847</v>
          </cell>
          <cell r="O9">
            <v>15790.762412887447</v>
          </cell>
          <cell r="P9">
            <v>20239.563900601413</v>
          </cell>
          <cell r="Q9">
            <v>25941.745950924131</v>
          </cell>
          <cell r="V9">
            <v>449.34988329635451</v>
          </cell>
          <cell r="W9">
            <v>541.01234240531744</v>
          </cell>
          <cell r="X9">
            <v>651.37294014128247</v>
          </cell>
          <cell r="Y9">
            <v>784.24589217676339</v>
          </cell>
          <cell r="Z9">
            <v>944.22347244379728</v>
          </cell>
          <cell r="AE9">
            <v>1958.4501762864347</v>
          </cell>
          <cell r="AF9">
            <v>2060.4233430620138</v>
          </cell>
          <cell r="AG9">
            <v>2167.7060790409096</v>
          </cell>
          <cell r="AH9">
            <v>2280.5748444529663</v>
          </cell>
          <cell r="AI9">
            <v>2399.320494341574</v>
          </cell>
          <cell r="AN9">
            <v>3024.3157545679519</v>
          </cell>
          <cell r="AO9">
            <v>3134.4985930751413</v>
          </cell>
          <cell r="AP9">
            <v>3248.6956479825735</v>
          </cell>
          <cell r="AQ9">
            <v>3367.053166505571</v>
          </cell>
          <cell r="AR9">
            <v>3489.7227239847634</v>
          </cell>
          <cell r="AW9">
            <v>30075.145137246465</v>
          </cell>
          <cell r="AX9">
            <v>34075.502123730395</v>
          </cell>
          <cell r="AY9">
            <v>38607.95483065999</v>
          </cell>
          <cell r="AZ9">
            <v>43743.278405521633</v>
          </cell>
          <cell r="BA9">
            <v>49561.66194391148</v>
          </cell>
        </row>
        <row r="10">
          <cell r="C10">
            <v>0.22238459349707157</v>
          </cell>
          <cell r="L10">
            <v>0.18644675301968439</v>
          </cell>
          <cell r="U10">
            <v>7.9374901664366088E-2</v>
          </cell>
          <cell r="AD10">
            <v>9.1996477107120431E-2</v>
          </cell>
          <cell r="AM10">
            <v>0.23393166529885032</v>
          </cell>
          <cell r="AV10">
            <v>0.45493792048329834</v>
          </cell>
        </row>
      </sheetData>
      <sheetData sheetId="7"/>
      <sheetData sheetId="8">
        <row r="9">
          <cell r="L9">
            <v>0.11957547741869638</v>
          </cell>
        </row>
        <row r="16">
          <cell r="L16">
            <v>0.21151205184506519</v>
          </cell>
        </row>
      </sheetData>
      <sheetData sheetId="9"/>
      <sheetData sheetId="10">
        <row r="2">
          <cell r="N2">
            <v>0.71821561807794176</v>
          </cell>
        </row>
        <row r="3">
          <cell r="O3">
            <v>0.15</v>
          </cell>
        </row>
        <row r="4">
          <cell r="O4">
            <v>0.15</v>
          </cell>
        </row>
        <row r="5">
          <cell r="O5">
            <v>0.15</v>
          </cell>
        </row>
        <row r="6">
          <cell r="O6">
            <v>5.3363931554523306E-2</v>
          </cell>
        </row>
        <row r="7">
          <cell r="O7">
            <v>0.15</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Banks"/>
      <sheetName val="Balance Sheet-NBFCs"/>
      <sheetName val="Income Statement-Banks"/>
      <sheetName val="Income Statement-NBFCs"/>
      <sheetName val="Cash Flow Statement-Banks"/>
      <sheetName val="Cash Flow Statement-NBFCs"/>
      <sheetName val="Financial Ratios-Banks"/>
      <sheetName val="Financial Ratios-NBFCs"/>
      <sheetName val="Dupont Analysis"/>
      <sheetName val="Input &amp; Assumptions-Banks"/>
      <sheetName val="Financial Projections"/>
      <sheetName val="Calc"/>
      <sheetName val="WACC"/>
      <sheetName val="DCF-DDM-RIM"/>
      <sheetName val="Intrinsic Value"/>
      <sheetName val="Senstivity Analysis-Intrinsic "/>
      <sheetName val="Senstivity Analysis"/>
      <sheetName val="Data"/>
      <sheetName val="Axis"/>
      <sheetName val="HDFC"/>
      <sheetName val="ICICI"/>
      <sheetName val="BankData"/>
      <sheetName val="ChartData"/>
      <sheetName val="Holdings"/>
      <sheetName val="Transactions"/>
      <sheetName val="DashBoard"/>
    </sheetNames>
    <sheetDataSet>
      <sheetData sheetId="0"/>
      <sheetData sheetId="1"/>
      <sheetData sheetId="2"/>
      <sheetData sheetId="3"/>
      <sheetData sheetId="4"/>
      <sheetData sheetId="5"/>
      <sheetData sheetId="6"/>
      <sheetData sheetId="7"/>
      <sheetData sheetId="8"/>
      <sheetData sheetId="9"/>
      <sheetData sheetId="10"/>
      <sheetData sheetId="11">
        <row r="6">
          <cell r="I6">
            <v>117817.47810780611</v>
          </cell>
          <cell r="P6">
            <v>239512.15316142168</v>
          </cell>
          <cell r="Q6">
            <v>279307.90277724405</v>
          </cell>
          <cell r="R6">
            <v>325715.85000634519</v>
          </cell>
          <cell r="Y6">
            <v>156160.64186398254</v>
          </cell>
          <cell r="Z6">
            <v>181589.25448522237</v>
          </cell>
          <cell r="AA6">
            <v>211158.56691483187</v>
          </cell>
          <cell r="AG6">
            <v>242389.94414144295</v>
          </cell>
          <cell r="AH6">
            <v>267939.24093366176</v>
          </cell>
          <cell r="AI6">
            <v>296181.58082586981</v>
          </cell>
          <cell r="AJ6">
            <v>327400.82607844082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Basic info"/>
      <sheetName val="Balance Sheet "/>
      <sheetName val="Income Statement"/>
      <sheetName val="Cash Flow Statement"/>
      <sheetName val="Ratio Analysis"/>
      <sheetName val="WACC"/>
      <sheetName val="DCF"/>
      <sheetName val="Relative Model"/>
      <sheetName val="Calc"/>
    </sheetNames>
    <sheetDataSet>
      <sheetData sheetId="0"/>
      <sheetData sheetId="1"/>
      <sheetData sheetId="2"/>
      <sheetData sheetId="3"/>
      <sheetData sheetId="4">
        <row r="14">
          <cell r="C14">
            <v>0</v>
          </cell>
          <cell r="D14">
            <v>2.275483382199038E-4</v>
          </cell>
          <cell r="E14">
            <v>4.2837622650128788E-3</v>
          </cell>
          <cell r="F14">
            <v>4.4195057704306678E-3</v>
          </cell>
          <cell r="G14">
            <v>3.8245538683303569E-3</v>
          </cell>
          <cell r="I14">
            <v>0</v>
          </cell>
          <cell r="J14">
            <v>0</v>
          </cell>
          <cell r="K14">
            <v>0</v>
          </cell>
          <cell r="L14">
            <v>0</v>
          </cell>
          <cell r="M14">
            <v>0</v>
          </cell>
          <cell r="O14">
            <v>4.1963615805052402E-3</v>
          </cell>
          <cell r="P14">
            <v>2.8724864672547198E-3</v>
          </cell>
          <cell r="Q14">
            <v>2.1537622088926615E-3</v>
          </cell>
          <cell r="R14">
            <v>1.6215175866387821E-3</v>
          </cell>
          <cell r="S14">
            <v>1.0286724680849907E-3</v>
          </cell>
          <cell r="U14">
            <v>0</v>
          </cell>
          <cell r="V14">
            <v>0</v>
          </cell>
          <cell r="W14">
            <v>8.9071331873270074E-3</v>
          </cell>
          <cell r="X14">
            <v>0.22075515404215892</v>
          </cell>
          <cell r="Y14">
            <v>3.9242902743565955E-2</v>
          </cell>
          <cell r="AA14">
            <v>0.44416961823974066</v>
          </cell>
          <cell r="AB14">
            <v>5.8834289687847454E-4</v>
          </cell>
          <cell r="AC14">
            <v>1.2890280417955695E-4</v>
          </cell>
          <cell r="AD14">
            <v>1.1240296760800971E-4</v>
          </cell>
          <cell r="AE14">
            <v>3.7746454321128306E-5</v>
          </cell>
          <cell r="AF14">
            <v>3.3156906197683189E-5</v>
          </cell>
        </row>
        <row r="15">
          <cell r="C15">
            <v>688.44444444444377</v>
          </cell>
          <cell r="D15">
            <v>482.69901315789474</v>
          </cell>
          <cell r="E15">
            <v>651.09278350515467</v>
          </cell>
          <cell r="F15">
            <v>269.43069641649765</v>
          </cell>
          <cell r="G15">
            <v>759.90883190883198</v>
          </cell>
          <cell r="I15">
            <v>79.413606911447033</v>
          </cell>
          <cell r="J15">
            <v>72.227272727272734</v>
          </cell>
          <cell r="K15">
            <v>107.91759776536314</v>
          </cell>
          <cell r="L15">
            <v>224.38461538461536</v>
          </cell>
          <cell r="M15">
            <v>480.73828125</v>
          </cell>
          <cell r="O15">
            <v>160.47204502008285</v>
          </cell>
          <cell r="P15">
            <v>88.119479656511984</v>
          </cell>
          <cell r="Q15">
            <v>218.12414216044155</v>
          </cell>
          <cell r="R15">
            <v>107.20833700731856</v>
          </cell>
          <cell r="S15">
            <v>267.72529949761673</v>
          </cell>
          <cell r="U15">
            <v>176.56004791853854</v>
          </cell>
          <cell r="V15">
            <v>85.363865235098032</v>
          </cell>
          <cell r="W15">
            <v>347.70789163721992</v>
          </cell>
          <cell r="X15">
            <v>48.096440199361197</v>
          </cell>
          <cell r="Y15">
            <v>42.858519305086517</v>
          </cell>
          <cell r="AA15">
            <v>12.056362279745167</v>
          </cell>
          <cell r="AB15">
            <v>17.47628969402324</v>
          </cell>
          <cell r="AC15">
            <v>90.772508591065261</v>
          </cell>
          <cell r="AD15">
            <v>113.24133172330518</v>
          </cell>
          <cell r="AE15">
            <v>318.60759887885399</v>
          </cell>
          <cell r="AF15">
            <v>1247.6255760368667</v>
          </cell>
        </row>
        <row r="31">
          <cell r="C31">
            <v>0</v>
          </cell>
          <cell r="D31">
            <v>1.066340603406602E-4</v>
          </cell>
          <cell r="E31">
            <v>8.3045233831651228E-5</v>
          </cell>
          <cell r="F31">
            <v>1.2863985463696425E-4</v>
          </cell>
          <cell r="G31">
            <v>1.2914322612350316E-4</v>
          </cell>
          <cell r="I31">
            <v>0</v>
          </cell>
          <cell r="J31">
            <v>0</v>
          </cell>
          <cell r="K31">
            <v>0</v>
          </cell>
          <cell r="L31">
            <v>0</v>
          </cell>
          <cell r="M31">
            <v>0</v>
          </cell>
          <cell r="O31">
            <v>3.2454778938903876E-3</v>
          </cell>
          <cell r="P31">
            <v>2.2413198662130911E-3</v>
          </cell>
          <cell r="Q31">
            <v>1.6388127173333164E-3</v>
          </cell>
          <cell r="R31">
            <v>8.0534594437293452E-4</v>
          </cell>
          <cell r="S31">
            <v>5.1008322778692283E-4</v>
          </cell>
          <cell r="U31">
            <v>0.26575404804836794</v>
          </cell>
          <cell r="V31">
            <v>3.4310326500395887E-4</v>
          </cell>
          <cell r="W31">
            <v>7.4619172512334643E-5</v>
          </cell>
          <cell r="X31">
            <v>7.2849169505722507E-5</v>
          </cell>
          <cell r="Y31">
            <v>2.6334154081135538E-5</v>
          </cell>
          <cell r="AA31">
            <v>0</v>
          </cell>
          <cell r="AB31">
            <v>0</v>
          </cell>
          <cell r="AC31">
            <v>8.1445351500856727E-3</v>
          </cell>
          <cell r="AD31">
            <v>0.2033173745081189</v>
          </cell>
          <cell r="AE31">
            <v>3.4561150811074415E-2</v>
          </cell>
          <cell r="AF31">
            <v>3.3615214387959273E-2</v>
          </cell>
        </row>
      </sheetData>
      <sheetData sheetId="5">
        <row r="9">
          <cell r="B9">
            <v>0.15190986764952252</v>
          </cell>
          <cell r="C9">
            <v>0</v>
          </cell>
          <cell r="D9">
            <v>0.34412507010656201</v>
          </cell>
          <cell r="E9">
            <v>1.8060418717831303E-2</v>
          </cell>
          <cell r="F9">
            <v>3.2401890403388894E-2</v>
          </cell>
        </row>
      </sheetData>
      <sheetData sheetId="6"/>
      <sheetData sheetId="7"/>
      <sheetData sheetId="8"/>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Financial Ratio"/>
      <sheetName val="Key Assumptions"/>
      <sheetName val="FCFF Projections (5y )"/>
      <sheetName val="Weighted Avg Cost of Capital"/>
      <sheetName val="Intrinsic Value calculation"/>
      <sheetName val="Calc"/>
    </sheetNames>
    <sheetDataSet>
      <sheetData sheetId="0"/>
      <sheetData sheetId="1"/>
      <sheetData sheetId="2"/>
      <sheetData sheetId="3"/>
      <sheetData sheetId="4">
        <row r="13">
          <cell r="B13">
            <v>8.0809434530009465</v>
          </cell>
          <cell r="C13">
            <v>3.9970158473529285</v>
          </cell>
          <cell r="D13">
            <v>2.6089147237085801</v>
          </cell>
          <cell r="E13">
            <v>1.414263316693255</v>
          </cell>
          <cell r="F13">
            <v>0.79862871807019264</v>
          </cell>
          <cell r="I13">
            <v>1.8313804771866771</v>
          </cell>
          <cell r="J13">
            <v>1.4930529866764153</v>
          </cell>
          <cell r="K13">
            <v>1.6411449790898958</v>
          </cell>
          <cell r="L13">
            <v>1.5982405530765482</v>
          </cell>
          <cell r="M13">
            <v>1.6158133471558982</v>
          </cell>
          <cell r="P13">
            <v>2.0339472994411376</v>
          </cell>
          <cell r="Q13">
            <v>1.5240360624105924</v>
          </cell>
          <cell r="R13">
            <v>1.8283832389622743</v>
          </cell>
          <cell r="S13">
            <v>1.4318283879251972</v>
          </cell>
          <cell r="T13">
            <v>1.2907966212720863</v>
          </cell>
          <cell r="W13">
            <v>0.71251908055392554</v>
          </cell>
          <cell r="X13">
            <v>0.50091321177408632</v>
          </cell>
          <cell r="Y13">
            <v>0.51056786029249646</v>
          </cell>
          <cell r="Z13">
            <v>1.3247027625441841</v>
          </cell>
          <cell r="AA13">
            <v>1.4907324747409374</v>
          </cell>
          <cell r="AD13">
            <v>1.576473511201014</v>
          </cell>
          <cell r="AE13">
            <v>1.5258641777509863</v>
          </cell>
          <cell r="AF13">
            <v>1.50613821265304</v>
          </cell>
          <cell r="AG13">
            <v>1.456110691482589</v>
          </cell>
          <cell r="AH13">
            <v>1.4234317743190075</v>
          </cell>
        </row>
        <row r="14">
          <cell r="B14">
            <v>-0.23743607497525726</v>
          </cell>
          <cell r="C14">
            <v>0.44821623357675699</v>
          </cell>
          <cell r="D14">
            <v>1.6062230449499129</v>
          </cell>
          <cell r="E14">
            <v>2.3022948852557383</v>
          </cell>
          <cell r="F14">
            <v>6.1366463110484064</v>
          </cell>
          <cell r="I14">
            <v>-7.4493200653575509E-2</v>
          </cell>
          <cell r="J14">
            <v>0.16062065949995863</v>
          </cell>
          <cell r="K14">
            <v>-0.22195923510480683</v>
          </cell>
          <cell r="L14">
            <v>-0.52810287301957937</v>
          </cell>
          <cell r="M14">
            <v>-0.81104234913045803</v>
          </cell>
          <cell r="P14">
            <v>0.30668064169409365</v>
          </cell>
          <cell r="Q14">
            <v>0.15250137767149832</v>
          </cell>
          <cell r="R14">
            <v>0.37571974231799687</v>
          </cell>
          <cell r="S14">
            <v>0.30503128109523819</v>
          </cell>
          <cell r="T14">
            <v>0.90383361895183123</v>
          </cell>
          <cell r="W14">
            <v>1.0016078852978378</v>
          </cell>
          <cell r="X14">
            <v>1.2265840451069052</v>
          </cell>
          <cell r="Y14">
            <v>2.8809900760705869</v>
          </cell>
          <cell r="Z14">
            <v>2.1589956176714429</v>
          </cell>
          <cell r="AA14">
            <v>1.0557660465569298</v>
          </cell>
          <cell r="AD14">
            <v>1.9677633564744919</v>
          </cell>
          <cell r="AE14">
            <v>1.7687350799098884</v>
          </cell>
          <cell r="AF14">
            <v>2.0932612564646984</v>
          </cell>
          <cell r="AG14">
            <v>2.1110338237693216</v>
          </cell>
          <cell r="AH14">
            <v>2.1169825227149932</v>
          </cell>
        </row>
        <row r="29">
          <cell r="B29">
            <v>0.92139292365645975</v>
          </cell>
          <cell r="C29">
            <v>0.8723789318518953</v>
          </cell>
          <cell r="D29">
            <v>0.75258597089486201</v>
          </cell>
          <cell r="E29">
            <v>0.6206537980406801</v>
          </cell>
          <cell r="F29">
            <v>0.45020402137030757</v>
          </cell>
          <cell r="I29">
            <v>0.64761566748124944</v>
          </cell>
          <cell r="J29">
            <v>0.59175500514580548</v>
          </cell>
          <cell r="K29">
            <v>0.70931650257454248</v>
          </cell>
          <cell r="L29">
            <v>0.70407481563484142</v>
          </cell>
          <cell r="M29">
            <v>0.7251645507791743</v>
          </cell>
          <cell r="P29">
            <v>0.70444109705516933</v>
          </cell>
          <cell r="Q29">
            <v>0.5652095364579246</v>
          </cell>
          <cell r="R29">
            <v>0.64081761810824822</v>
          </cell>
          <cell r="S29">
            <v>0.58047332565128118</v>
          </cell>
          <cell r="T29">
            <v>0.50276429977710835</v>
          </cell>
          <cell r="W29">
            <v>0.39932448821832806</v>
          </cell>
          <cell r="X29">
            <v>0.31759133006166945</v>
          </cell>
          <cell r="Y29">
            <v>0.34414267353826616</v>
          </cell>
          <cell r="Z29">
            <v>0.62455128940751081</v>
          </cell>
          <cell r="AA29">
            <v>0.6142513499109602</v>
          </cell>
          <cell r="AD29">
            <v>0.61341012374479476</v>
          </cell>
          <cell r="AE29">
            <v>0.60152652698139752</v>
          </cell>
          <cell r="AF29">
            <v>0.61647585764039614</v>
          </cell>
          <cell r="AG29">
            <v>0.60805920044367912</v>
          </cell>
          <cell r="AH29">
            <v>0.6156235814437605</v>
          </cell>
        </row>
      </sheetData>
      <sheetData sheetId="5"/>
      <sheetData sheetId="6"/>
      <sheetData sheetId="7">
        <row r="4">
          <cell r="B4">
            <v>7.3746345430198812E-2</v>
          </cell>
          <cell r="C4">
            <v>9.796888813337859E-2</v>
          </cell>
          <cell r="D4">
            <v>7.0228947928458102E-2</v>
          </cell>
          <cell r="E4">
            <v>4.9161080627619771E-2</v>
          </cell>
          <cell r="F4">
            <v>3.844514110984372E-2</v>
          </cell>
        </row>
      </sheetData>
      <sheetData sheetId="8"/>
      <sheetData sheetId="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Common Size Balance Sheet"/>
      <sheetName val="Income Statement"/>
      <sheetName val="Common Size Income Statement"/>
      <sheetName val="Cash Flow Statement"/>
      <sheetName val="Financial Ratio"/>
      <sheetName val="Dupont Analysis"/>
      <sheetName val="Balance Sheet Forecast"/>
      <sheetName val="Income Statement Forecast"/>
      <sheetName val="WACC &amp; Key Assumptions"/>
      <sheetName val="DCF Valuation"/>
      <sheetName val="Calc"/>
      <sheetName val="Relative Valuation"/>
    </sheetNames>
    <sheetDataSet>
      <sheetData sheetId="0"/>
      <sheetData sheetId="1"/>
      <sheetData sheetId="2"/>
      <sheetData sheetId="3"/>
      <sheetData sheetId="4"/>
      <sheetData sheetId="5"/>
      <sheetData sheetId="6">
        <row r="20">
          <cell r="B20">
            <v>3.3663652280644757E-4</v>
          </cell>
          <cell r="C20">
            <v>0</v>
          </cell>
          <cell r="D20">
            <v>0</v>
          </cell>
          <cell r="E20">
            <v>0</v>
          </cell>
          <cell r="F20">
            <v>0</v>
          </cell>
          <cell r="G20">
            <v>0</v>
          </cell>
          <cell r="J20">
            <v>1.2555485098287888E-2</v>
          </cell>
          <cell r="K20">
            <v>0</v>
          </cell>
          <cell r="L20">
            <v>0</v>
          </cell>
          <cell r="M20">
            <v>0</v>
          </cell>
          <cell r="N20">
            <v>2.5280516500398654E-4</v>
          </cell>
          <cell r="Q20">
            <v>1.1149914098441862E-4</v>
          </cell>
          <cell r="R20">
            <v>1.5586345636276315E-4</v>
          </cell>
          <cell r="S20">
            <v>8.8981751100373162E-5</v>
          </cell>
          <cell r="T20">
            <v>5.5810577089420159E-4</v>
          </cell>
          <cell r="U20">
            <v>1.5062097100586365E-4</v>
          </cell>
          <cell r="V20">
            <v>1.2963447509969752E-3</v>
          </cell>
          <cell r="Y20">
            <v>0.10834707028323093</v>
          </cell>
          <cell r="Z20">
            <v>2.1994134897360705E-2</v>
          </cell>
          <cell r="AA20">
            <v>5.5501982213650485E-2</v>
          </cell>
          <cell r="AB20">
            <v>0.18439180107526881</v>
          </cell>
          <cell r="AC20">
            <v>0.8344511870541893</v>
          </cell>
          <cell r="AD20">
            <v>0.88489332415691668</v>
          </cell>
          <cell r="AG20">
            <v>0.12148206990467544</v>
          </cell>
          <cell r="AH20">
            <v>0</v>
          </cell>
          <cell r="AI20">
            <v>0.20638688100118674</v>
          </cell>
          <cell r="AJ20">
            <v>0.18699046553284487</v>
          </cell>
          <cell r="AK20">
            <v>0.12152323288459241</v>
          </cell>
          <cell r="AL20">
            <v>8.940852819807428E-2</v>
          </cell>
          <cell r="AO20">
            <v>0.75056630766842869</v>
          </cell>
          <cell r="AP20">
            <v>0.79631553099973618</v>
          </cell>
          <cell r="AQ20">
            <v>0.70843087136445737</v>
          </cell>
          <cell r="AR20">
            <v>0.7331886261754812</v>
          </cell>
          <cell r="AS20">
            <v>0.1412375394542629</v>
          </cell>
        </row>
        <row r="21">
          <cell r="B21">
            <v>26.242621527777832</v>
          </cell>
          <cell r="C21">
            <v>36.617046818727509</v>
          </cell>
          <cell r="D21">
            <v>39.373675404350301</v>
          </cell>
          <cell r="E21">
            <v>46.395193591455111</v>
          </cell>
          <cell r="F21">
            <v>60.544641321176577</v>
          </cell>
          <cell r="G21">
            <v>53.882217422606161</v>
          </cell>
          <cell r="J21">
            <v>80.432203389830505</v>
          </cell>
          <cell r="K21">
            <v>93.692307692307693</v>
          </cell>
          <cell r="L21">
            <v>113.43396226415095</v>
          </cell>
          <cell r="M21">
            <v>118.62280701754386</v>
          </cell>
          <cell r="N21">
            <v>42.688622754491021</v>
          </cell>
          <cell r="Q21">
            <v>369.81272860277983</v>
          </cell>
          <cell r="R21">
            <v>403.38156123822341</v>
          </cell>
          <cell r="S21">
            <v>527.94283536585363</v>
          </cell>
          <cell r="T21">
            <v>599.20023148148175</v>
          </cell>
          <cell r="U21">
            <v>676.02633597545366</v>
          </cell>
          <cell r="V21">
            <v>598.57967154904577</v>
          </cell>
          <cell r="Y21">
            <v>13.686746987951807</v>
          </cell>
          <cell r="Z21">
            <v>7.5615763546798034</v>
          </cell>
          <cell r="AA21">
            <v>14.568807339449542</v>
          </cell>
          <cell r="AB21">
            <v>15.82</v>
          </cell>
          <cell r="AC21">
            <v>8.4668820678513725</v>
          </cell>
          <cell r="AD21">
            <v>5.7576075550891916</v>
          </cell>
          <cell r="AG21">
            <v>1.7950366151342538</v>
          </cell>
          <cell r="AH21">
            <v>0.46732354715463392</v>
          </cell>
          <cell r="AI21">
            <v>1.4381439915993977</v>
          </cell>
          <cell r="AJ21">
            <v>2.277449758951307</v>
          </cell>
          <cell r="AK21">
            <v>4.8269821372610417</v>
          </cell>
          <cell r="AL21">
            <v>15.021502272891274</v>
          </cell>
          <cell r="AO21">
            <v>2.5262358415390778</v>
          </cell>
          <cell r="AP21">
            <v>6.4499621007038357</v>
          </cell>
          <cell r="AQ21">
            <v>11.872669539334423</v>
          </cell>
          <cell r="AR21">
            <v>11.219504735191105</v>
          </cell>
          <cell r="AS21">
            <v>8.6258298437340386</v>
          </cell>
        </row>
        <row r="39">
          <cell r="B39">
            <v>2.6358842885649721E-2</v>
          </cell>
          <cell r="C39">
            <v>3.1291134802632625E-2</v>
          </cell>
          <cell r="D39">
            <v>4.538544374173497E-2</v>
          </cell>
          <cell r="E39">
            <v>3.8641600328854442E-2</v>
          </cell>
          <cell r="F39">
            <v>3.084478327497674E-2</v>
          </cell>
          <cell r="J39">
            <v>9.9377635013049581E-3</v>
          </cell>
          <cell r="K39">
            <v>0</v>
          </cell>
          <cell r="L39">
            <v>1.7500953966767267E-2</v>
          </cell>
          <cell r="M39">
            <v>1.7607238719043839E-2</v>
          </cell>
          <cell r="N39">
            <v>2.2614022522591166E-2</v>
          </cell>
          <cell r="Q39">
            <v>4.0584383263819728E-3</v>
          </cell>
          <cell r="R39">
            <v>4.2845181073480247E-3</v>
          </cell>
          <cell r="S39">
            <v>3.8318884893412532E-3</v>
          </cell>
          <cell r="T39">
            <v>4.2420978729214194E-3</v>
          </cell>
          <cell r="U39">
            <v>3.8833691513335249E-3</v>
          </cell>
          <cell r="V39">
            <v>3.8578258180932226E-3</v>
          </cell>
          <cell r="Y39">
            <v>0.44824539257763191</v>
          </cell>
          <cell r="Z39">
            <v>0.64442664225223167</v>
          </cell>
          <cell r="AA39">
            <v>0.681052237408725</v>
          </cell>
          <cell r="AB39">
            <v>0.68079075514208887</v>
          </cell>
          <cell r="AC39">
            <v>1.0337527461553824</v>
          </cell>
          <cell r="AD39">
            <v>1.3987478120371617</v>
          </cell>
          <cell r="AG39">
            <v>0.50343367049115317</v>
          </cell>
          <cell r="AH39">
            <v>0.52131512844182448</v>
          </cell>
          <cell r="AI39">
            <v>0.66812488246846602</v>
          </cell>
          <cell r="AJ39">
            <v>0.63887056264355879</v>
          </cell>
          <cell r="AK39">
            <v>0.31190438910516916</v>
          </cell>
          <cell r="AL39">
            <v>0.30195776729496082</v>
          </cell>
          <cell r="AO39">
            <v>0.44716692291588533</v>
          </cell>
          <cell r="AP39">
            <v>0.50825398775954544</v>
          </cell>
          <cell r="AQ39">
            <v>0.48153006894506062</v>
          </cell>
          <cell r="AR39">
            <v>0.47076315498744742</v>
          </cell>
          <cell r="AS39">
            <v>0.12697800180832067</v>
          </cell>
        </row>
      </sheetData>
      <sheetData sheetId="7"/>
      <sheetData sheetId="8"/>
      <sheetData sheetId="9"/>
      <sheetData sheetId="10">
        <row r="10">
          <cell r="B10">
            <v>7.8860419274769722E-2</v>
          </cell>
          <cell r="C10">
            <v>9.8634065680400437E-2</v>
          </cell>
          <cell r="D10">
            <v>0.13168563906745248</v>
          </cell>
          <cell r="E10">
            <v>8.386030757488605E-2</v>
          </cell>
          <cell r="F10">
            <v>6.5374004943859546E-2</v>
          </cell>
          <cell r="G10">
            <v>6.1236174673220449E-2</v>
          </cell>
        </row>
      </sheetData>
      <sheetData sheetId="11"/>
      <sheetData sheetId="12"/>
      <sheetData sheetId="1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Info"/>
      <sheetName val="Balance Sheet"/>
      <sheetName val="Income Statement"/>
      <sheetName val="Cash Flow Statement"/>
      <sheetName val="Ratio Analysis"/>
      <sheetName val="WACC &amp; Key Assumptions"/>
      <sheetName val="DCF"/>
      <sheetName val="Relative Valuation"/>
    </sheetNames>
    <sheetDataSet>
      <sheetData sheetId="0"/>
      <sheetData sheetId="1"/>
      <sheetData sheetId="2"/>
      <sheetData sheetId="3"/>
      <sheetData sheetId="4">
        <row r="14">
          <cell r="B14">
            <v>1.0728384542399747</v>
          </cell>
          <cell r="C14">
            <v>1.0385958320364723</v>
          </cell>
          <cell r="D14">
            <v>1.0724865086917508</v>
          </cell>
          <cell r="E14">
            <v>1.061745331463283</v>
          </cell>
          <cell r="F14">
            <v>0.84849073208294368</v>
          </cell>
          <cell r="G14">
            <v>0.70505887491700447</v>
          </cell>
          <cell r="J14">
            <v>0.83795065762180376</v>
          </cell>
          <cell r="K14">
            <v>0.64837235095648016</v>
          </cell>
          <cell r="L14">
            <v>0.83960728652373418</v>
          </cell>
          <cell r="M14">
            <v>0.78452702040538069</v>
          </cell>
          <cell r="N14">
            <v>0.76458933541438079</v>
          </cell>
          <cell r="O14">
            <v>0.6475051245505391</v>
          </cell>
          <cell r="R14">
            <v>0.73699411634341117</v>
          </cell>
          <cell r="S14">
            <v>0.54868752771833118</v>
          </cell>
          <cell r="T14">
            <v>0.79081915948650938</v>
          </cell>
          <cell r="U14">
            <v>0.84701518261026343</v>
          </cell>
          <cell r="V14">
            <v>0.9249407915618818</v>
          </cell>
          <cell r="W14">
            <v>0.69212428353701294</v>
          </cell>
          <cell r="Z14">
            <v>0.49420463878057358</v>
          </cell>
          <cell r="AA14">
            <v>0.39409559512652292</v>
          </cell>
          <cell r="AB14">
            <v>1.2945727298282244</v>
          </cell>
          <cell r="AC14">
            <v>1.1443136158332723</v>
          </cell>
          <cell r="AD14">
            <v>1.1120443500251489</v>
          </cell>
          <cell r="AE14">
            <v>1.1226621196135167</v>
          </cell>
          <cell r="AH14">
            <v>0.83204414973617946</v>
          </cell>
          <cell r="AI14">
            <v>1.047146243488382</v>
          </cell>
          <cell r="AJ14">
            <v>1.030946947197299</v>
          </cell>
          <cell r="AK14">
            <v>0.8843076371063453</v>
          </cell>
          <cell r="AL14">
            <v>0.68464014361096981</v>
          </cell>
          <cell r="AM14">
            <v>0.62490665281340319</v>
          </cell>
        </row>
        <row r="15">
          <cell r="B15">
            <v>3.3754039952789086</v>
          </cell>
          <cell r="C15">
            <v>3.7962168945013723</v>
          </cell>
          <cell r="D15">
            <v>3.3998160319506909</v>
          </cell>
          <cell r="E15">
            <v>3.8420453391121794</v>
          </cell>
          <cell r="F15">
            <v>4.8892621133285044</v>
          </cell>
          <cell r="G15">
            <v>6.1889628804575372</v>
          </cell>
          <cell r="J15">
            <v>2.2805198794371209</v>
          </cell>
          <cell r="K15">
            <v>2.7621462832488</v>
          </cell>
          <cell r="L15">
            <v>2.3407261625413138</v>
          </cell>
          <cell r="M15">
            <v>2.1799464381360427</v>
          </cell>
          <cell r="N15">
            <v>2.3534396232242094</v>
          </cell>
          <cell r="O15">
            <v>2.4271590376910059</v>
          </cell>
          <cell r="R15">
            <v>3.5659783102798897</v>
          </cell>
          <cell r="S15">
            <v>3.8775743271536718</v>
          </cell>
          <cell r="T15">
            <v>2.402120253164556</v>
          </cell>
          <cell r="U15">
            <v>1.298891550158747</v>
          </cell>
          <cell r="V15">
            <v>1.6510005647734007</v>
          </cell>
          <cell r="W15">
            <v>2.0962943986497655</v>
          </cell>
          <cell r="Z15">
            <v>5.8024965494554266</v>
          </cell>
          <cell r="AA15">
            <v>4.1266098368698687</v>
          </cell>
          <cell r="AB15">
            <v>5.6063409796205592</v>
          </cell>
          <cell r="AC15">
            <v>6.2922336272590105</v>
          </cell>
          <cell r="AD15">
            <v>6.7598319161837077</v>
          </cell>
          <cell r="AE15">
            <v>7.9290480660514691</v>
          </cell>
          <cell r="AH15">
            <v>15.013890011119752</v>
          </cell>
          <cell r="AI15">
            <v>24.688816776664897</v>
          </cell>
          <cell r="AJ15">
            <v>3.4839350416903163</v>
          </cell>
          <cell r="AK15">
            <v>3.481151655993326</v>
          </cell>
          <cell r="AL15">
            <v>3.819495329996391</v>
          </cell>
          <cell r="AM15">
            <v>4.4283276750690375</v>
          </cell>
        </row>
        <row r="32">
          <cell r="B32">
            <v>0.50865665453371289</v>
          </cell>
          <cell r="C32">
            <v>0.48863048879714971</v>
          </cell>
          <cell r="D32">
            <v>0.51288392210237421</v>
          </cell>
          <cell r="E32">
            <v>0.48133654963095918</v>
          </cell>
          <cell r="F32">
            <v>0.4514937589802705</v>
          </cell>
          <cell r="G32">
            <v>0.40045906338097542</v>
          </cell>
          <cell r="J32">
            <v>0.39332809572732186</v>
          </cell>
          <cell r="K32">
            <v>0.35688223883151698</v>
          </cell>
          <cell r="L32">
            <v>0.48308082649967171</v>
          </cell>
          <cell r="M32">
            <v>0.49458867772480036</v>
          </cell>
          <cell r="N32">
            <v>0.51037140708556161</v>
          </cell>
          <cell r="O32">
            <v>0.46690513798304084</v>
          </cell>
          <cell r="R32">
            <v>0.65386091263989476</v>
          </cell>
          <cell r="S32">
            <v>0.49020087540619178</v>
          </cell>
          <cell r="T32">
            <v>0.67538408546137363</v>
          </cell>
          <cell r="U32">
            <v>0.71631988124309021</v>
          </cell>
          <cell r="V32">
            <v>0.8422573853265064</v>
          </cell>
          <cell r="W32">
            <v>0.62171596360850978</v>
          </cell>
          <cell r="Z32">
            <v>0.36941148435322807</v>
          </cell>
          <cell r="AA32">
            <v>0.29597906346969682</v>
          </cell>
          <cell r="AB32">
            <v>0.57334984117829513</v>
          </cell>
          <cell r="AC32">
            <v>0.54736475311837585</v>
          </cell>
          <cell r="AD32">
            <v>0.51734677998075296</v>
          </cell>
          <cell r="AE32">
            <v>0.5258403678446798</v>
          </cell>
          <cell r="AH32">
            <v>0.43909747519472708</v>
          </cell>
          <cell r="AI32">
            <v>0.50389072833546489</v>
          </cell>
          <cell r="AJ32">
            <v>0.50596381512326549</v>
          </cell>
          <cell r="AK32">
            <v>0.4609550624438451</v>
          </cell>
          <cell r="AL32">
            <v>0.39831646673545024</v>
          </cell>
          <cell r="AM32">
            <v>0.38836368982330921</v>
          </cell>
        </row>
      </sheetData>
      <sheetData sheetId="5">
        <row r="10">
          <cell r="B10">
            <v>4.1239662475298422E-2</v>
          </cell>
          <cell r="C10">
            <v>0.10679355678441853</v>
          </cell>
          <cell r="D10">
            <v>0.13290619517236407</v>
          </cell>
          <cell r="E10">
            <v>8.1341709120711134E-2</v>
          </cell>
          <cell r="F10">
            <v>7.4953985222532202E-2</v>
          </cell>
        </row>
      </sheetData>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Balance Sheet Forecast"/>
      <sheetName val="Income Statement"/>
      <sheetName val="Cash Flow Statement"/>
      <sheetName val="Cash Flow Statement Forecast"/>
      <sheetName val="Ratio Analysis"/>
      <sheetName val="WACC"/>
      <sheetName val="Income Statement Forecast"/>
      <sheetName val="Calc"/>
      <sheetName val="DCF"/>
      <sheetName val="Relative Valuation"/>
      <sheetName val="Senstivity Analysis"/>
    </sheetNames>
    <sheetDataSet>
      <sheetData sheetId="0"/>
      <sheetData sheetId="1"/>
      <sheetData sheetId="2"/>
      <sheetData sheetId="3"/>
      <sheetData sheetId="4"/>
      <sheetData sheetId="5"/>
      <sheetData sheetId="6">
        <row r="16">
          <cell r="B16">
            <v>5.3146956464639834E-3</v>
          </cell>
          <cell r="C16">
            <v>5.1965601569081428E-4</v>
          </cell>
          <cell r="D16">
            <v>3.1462682189393407E-4</v>
          </cell>
          <cell r="E16">
            <v>2.5534401339694481E-4</v>
          </cell>
          <cell r="F16">
            <v>2.2105961240881291E-4</v>
          </cell>
          <cell r="G16">
            <v>2.6721891909947226E-4</v>
          </cell>
          <cell r="J16">
            <v>0.15426662234407995</v>
          </cell>
          <cell r="K16">
            <v>6.7563490011990746E-2</v>
          </cell>
          <cell r="L16">
            <v>0.20636287287065411</v>
          </cell>
          <cell r="M16">
            <v>0.3280571795273442</v>
          </cell>
          <cell r="N16">
            <v>5.0431621516212659E-2</v>
          </cell>
          <cell r="O16">
            <v>3.4096124835226699E-2</v>
          </cell>
          <cell r="R16">
            <v>2.8952481462092266E-2</v>
          </cell>
          <cell r="S16">
            <v>4.5556088114823555E-2</v>
          </cell>
          <cell r="T16">
            <v>0.13822534415652679</v>
          </cell>
          <cell r="U16">
            <v>2.234872806736837E-2</v>
          </cell>
          <cell r="V16">
            <v>2.1634768515182555E-2</v>
          </cell>
          <cell r="W16">
            <v>0.58424937088915696</v>
          </cell>
          <cell r="Z16">
            <v>0.24406714395732906</v>
          </cell>
          <cell r="AA16">
            <v>0.11434212888170885</v>
          </cell>
          <cell r="AB16">
            <v>0.16690001530464751</v>
          </cell>
          <cell r="AC16">
            <v>0.17086881389102868</v>
          </cell>
          <cell r="AD16">
            <v>7.0855217520562869E-2</v>
          </cell>
          <cell r="AE16">
            <v>0.13784139073433271</v>
          </cell>
          <cell r="AH16">
            <v>0.90521892014048699</v>
          </cell>
          <cell r="AI16">
            <v>0.6245269539862639</v>
          </cell>
          <cell r="AJ16">
            <v>0.68363584441327407</v>
          </cell>
          <cell r="AK16">
            <v>0.86616640341267515</v>
          </cell>
          <cell r="AL16">
            <v>0.58661785404345013</v>
          </cell>
          <cell r="AM16">
            <v>0.42187469123360327</v>
          </cell>
          <cell r="AP16">
            <v>0.17539894677056139</v>
          </cell>
          <cell r="AQ16">
            <v>8.2724304151764877E-2</v>
          </cell>
          <cell r="AR16">
            <v>4.9995785462022276E-2</v>
          </cell>
          <cell r="AS16">
            <v>3.3867571016389798E-2</v>
          </cell>
          <cell r="AT16">
            <v>2.0871692871477963E-2</v>
          </cell>
          <cell r="AU16">
            <v>1.4004490360107707E-2</v>
          </cell>
        </row>
        <row r="17">
          <cell r="B17">
            <v>4.5514720526728921E-3</v>
          </cell>
          <cell r="C17">
            <v>4.4829855384269829E-4</v>
          </cell>
          <cell r="D17">
            <v>2.7589383246440485E-4</v>
          </cell>
          <cell r="E17">
            <v>2.2578100489169088E-4</v>
          </cell>
          <cell r="F17">
            <v>1.9392372333548803E-4</v>
          </cell>
          <cell r="G17">
            <v>2.3623907394283014E-4</v>
          </cell>
          <cell r="J17">
            <v>0.11103336055579537</v>
          </cell>
          <cell r="K17">
            <v>4.9331434466440983E-2</v>
          </cell>
          <cell r="L17">
            <v>0.12440372982684629</v>
          </cell>
          <cell r="M17">
            <v>0.19007799696931915</v>
          </cell>
          <cell r="N17">
            <v>3.9613362294222951E-2</v>
          </cell>
          <cell r="O17">
            <v>2.6843547698456514E-2</v>
          </cell>
          <cell r="R17">
            <v>2.0953128435277166E-2</v>
          </cell>
          <cell r="S17">
            <v>3.4763428967443895E-2</v>
          </cell>
          <cell r="T17">
            <v>9.5441549098819953E-2</v>
          </cell>
          <cell r="U17">
            <v>1.7536098805868695E-2</v>
          </cell>
          <cell r="V17">
            <v>1.7317200593484211E-2</v>
          </cell>
          <cell r="W17">
            <v>0.30661362061965736</v>
          </cell>
          <cell r="Z17">
            <v>0.15100857687420585</v>
          </cell>
          <cell r="AA17">
            <v>7.6795563458814331E-2</v>
          </cell>
          <cell r="AB17">
            <v>0.11068465549194226</v>
          </cell>
          <cell r="AC17">
            <v>0.11035771794708019</v>
          </cell>
          <cell r="AD17">
            <v>5.1513233394572838E-2</v>
          </cell>
          <cell r="AE17">
            <v>9.4617068542040106E-2</v>
          </cell>
          <cell r="AH17">
            <v>0.31164532675124584</v>
          </cell>
          <cell r="AI17">
            <v>0.25516654382454085</v>
          </cell>
          <cell r="AJ17">
            <v>0.31066409971419501</v>
          </cell>
          <cell r="AK17">
            <v>0.35762147903156505</v>
          </cell>
          <cell r="AL17">
            <v>0.26705098147015682</v>
          </cell>
          <cell r="AM17">
            <v>0.21363412574200752</v>
          </cell>
          <cell r="AP17">
            <v>0.11902473781366006</v>
          </cell>
          <cell r="AQ17">
            <v>6.1127811866225568E-2</v>
          </cell>
          <cell r="AR17">
            <v>3.8957061553175659E-2</v>
          </cell>
          <cell r="AS17">
            <v>2.7258336478491196E-2</v>
          </cell>
          <cell r="AT17">
            <v>1.7098021811966693E-2</v>
          </cell>
          <cell r="AU17">
            <v>1.1720371551211329E-2</v>
          </cell>
        </row>
        <row r="18">
          <cell r="B18">
            <v>299.27213114754102</v>
          </cell>
          <cell r="C18">
            <v>3065.4137931034479</v>
          </cell>
          <cell r="D18">
            <v>4605.3750000000009</v>
          </cell>
          <cell r="E18">
            <v>3536.2686567164178</v>
          </cell>
          <cell r="F18">
            <v>722</v>
          </cell>
          <cell r="G18">
            <v>1459</v>
          </cell>
          <cell r="J18">
            <v>18.409011330228275</v>
          </cell>
          <cell r="K18">
            <v>51.240472318461421</v>
          </cell>
          <cell r="L18">
            <v>72.049391440910881</v>
          </cell>
          <cell r="M18">
            <v>56.696976744186031</v>
          </cell>
          <cell r="N18">
            <v>49.568834654254196</v>
          </cell>
          <cell r="O18">
            <v>63.370245504840952</v>
          </cell>
          <cell r="R18">
            <v>66.435471832075592</v>
          </cell>
          <cell r="S18">
            <v>84.961791595937925</v>
          </cell>
          <cell r="T18">
            <v>34.690276810941391</v>
          </cell>
          <cell r="U18">
            <v>38.582115631113858</v>
          </cell>
          <cell r="V18">
            <v>74.219541984732814</v>
          </cell>
          <cell r="W18">
            <v>6.8599706574136601</v>
          </cell>
          <cell r="Z18">
            <v>19.612410986775163</v>
          </cell>
          <cell r="AA18">
            <v>30.231958762886634</v>
          </cell>
          <cell r="AB18">
            <v>32.22233820459293</v>
          </cell>
          <cell r="AC18">
            <v>43.09733893557425</v>
          </cell>
          <cell r="AD18">
            <v>43.000584453535943</v>
          </cell>
          <cell r="AE18">
            <v>28.068928950159076</v>
          </cell>
          <cell r="AH18">
            <v>3.6326684564354035</v>
          </cell>
          <cell r="AI18">
            <v>5.2599642737523737</v>
          </cell>
          <cell r="AJ18">
            <v>7.7066964635771997</v>
          </cell>
          <cell r="AK18">
            <v>6.5397072936660265</v>
          </cell>
          <cell r="AL18">
            <v>7.4026756420409532</v>
          </cell>
          <cell r="AM18">
            <v>11.68931076849907</v>
          </cell>
          <cell r="AP18">
            <v>12.036582894203478</v>
          </cell>
          <cell r="AQ18">
            <v>21.473304293715007</v>
          </cell>
          <cell r="AR18">
            <v>35.559379407616355</v>
          </cell>
          <cell r="AS18">
            <v>39.531769216724484</v>
          </cell>
          <cell r="AT18">
            <v>66.606586559857561</v>
          </cell>
          <cell r="AU18">
            <v>110.99532333494601</v>
          </cell>
        </row>
      </sheetData>
      <sheetData sheetId="7">
        <row r="11">
          <cell r="B11">
            <v>0.375</v>
          </cell>
          <cell r="C11">
            <v>8.9611934501049983E-2</v>
          </cell>
          <cell r="D11">
            <v>3.783814743668823E-2</v>
          </cell>
          <cell r="E11">
            <v>4.5369499208826922E-2</v>
          </cell>
          <cell r="F11">
            <v>5.9092314322116472E-2</v>
          </cell>
          <cell r="G11">
            <v>0.10613546635021336</v>
          </cell>
        </row>
      </sheetData>
      <sheetData sheetId="8"/>
      <sheetData sheetId="9"/>
      <sheetData sheetId="10"/>
      <sheetData sheetId="11"/>
      <sheetData sheetId="1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Balance Sheet"/>
      <sheetName val="Income Statement"/>
      <sheetName val="Cash Flow Statement"/>
      <sheetName val="Ratio Analysis"/>
      <sheetName val="WACC"/>
      <sheetName val="DCF"/>
      <sheetName val="Relative Valuation Model"/>
      <sheetName val="Summary"/>
      <sheetName val="Senstivity Analysis"/>
      <sheetName val="Calc"/>
    </sheetNames>
    <sheetDataSet>
      <sheetData sheetId="0"/>
      <sheetData sheetId="1"/>
      <sheetData sheetId="2"/>
      <sheetData sheetId="3"/>
      <sheetData sheetId="4">
        <row r="9">
          <cell r="C9">
            <v>0.81202651701876771</v>
          </cell>
          <cell r="D9">
            <v>1.2203668299291235</v>
          </cell>
          <cell r="E9">
            <v>1.4374673603088</v>
          </cell>
          <cell r="F9">
            <v>1.7804145662802207</v>
          </cell>
          <cell r="G9">
            <v>1.4390951831071039</v>
          </cell>
          <cell r="H9">
            <v>0.96640726354796469</v>
          </cell>
          <cell r="L9">
            <v>0.17858118635682269</v>
          </cell>
          <cell r="M9">
            <v>0.43901870630471745</v>
          </cell>
          <cell r="N9">
            <v>0.24770546940249658</v>
          </cell>
          <cell r="O9">
            <v>0.22324545820602101</v>
          </cell>
          <cell r="P9">
            <v>0.15946713611550808</v>
          </cell>
          <cell r="Q9">
            <v>6.9615949141955111E-2</v>
          </cell>
          <cell r="U9">
            <v>3.1066287892619015E-2</v>
          </cell>
          <cell r="V9">
            <v>2.1361532254639656E-2</v>
          </cell>
          <cell r="W9">
            <v>2.0639152163803208E-2</v>
          </cell>
          <cell r="X9">
            <v>2.5344476250545828E-2</v>
          </cell>
          <cell r="Y9">
            <v>2.4966616317506182E-2</v>
          </cell>
          <cell r="Z9">
            <v>2.2274232104099779E-2</v>
          </cell>
          <cell r="AD9">
            <v>-8.4632187247273514</v>
          </cell>
          <cell r="AE9">
            <v>78.230731741279669</v>
          </cell>
          <cell r="AF9">
            <v>9.5405614592921104</v>
          </cell>
          <cell r="AG9">
            <v>5.538318481208834</v>
          </cell>
          <cell r="AH9">
            <v>6.291219348712505</v>
          </cell>
          <cell r="AI9">
            <v>4.0860370071554222</v>
          </cell>
          <cell r="AM9">
            <v>16.106055285205432</v>
          </cell>
          <cell r="AN9">
            <v>-4.1178063199748882</v>
          </cell>
          <cell r="AO9">
            <v>-3.4497182271224949</v>
          </cell>
          <cell r="AP9">
            <v>-3.197537355885157</v>
          </cell>
          <cell r="AQ9">
            <v>-2.3405634040788428</v>
          </cell>
          <cell r="AR9">
            <v>-3.3166671880910461</v>
          </cell>
          <cell r="AV9">
            <v>0.1359531107419453</v>
          </cell>
          <cell r="AW9">
            <v>6.0877834434588711E-2</v>
          </cell>
          <cell r="AX9">
            <v>0.26492132324359252</v>
          </cell>
          <cell r="AY9">
            <v>0.22809545582604759</v>
          </cell>
          <cell r="AZ9">
            <v>0.27648718740613193</v>
          </cell>
          <cell r="BA9">
            <v>0.31766375771395339</v>
          </cell>
        </row>
        <row r="10">
          <cell r="C10">
            <v>5.1587944279834286</v>
          </cell>
          <cell r="D10">
            <v>4.2609838008692211</v>
          </cell>
          <cell r="E10">
            <v>3.6707728476539825</v>
          </cell>
          <cell r="F10">
            <v>3.8831378883325249</v>
          </cell>
          <cell r="G10">
            <v>2.6173852838178195</v>
          </cell>
          <cell r="H10">
            <v>2.1907542152726238</v>
          </cell>
          <cell r="L10">
            <v>1.1963804286896405</v>
          </cell>
          <cell r="M10">
            <v>2.7314263491041744</v>
          </cell>
          <cell r="N10">
            <v>1.2255841625586779</v>
          </cell>
          <cell r="O10">
            <v>1.8919759485797223</v>
          </cell>
          <cell r="P10">
            <v>1.3595416805048159</v>
          </cell>
          <cell r="Q10">
            <v>0.99129798730563234</v>
          </cell>
          <cell r="U10">
            <v>-0.24756419228077742</v>
          </cell>
          <cell r="V10">
            <v>-0.61235300643443602</v>
          </cell>
          <cell r="W10">
            <v>-0.39274085665968356</v>
          </cell>
          <cell r="X10">
            <v>-0.35040870628281046</v>
          </cell>
          <cell r="Y10">
            <v>-0.38985373007602914</v>
          </cell>
          <cell r="Z10">
            <v>-0.43409499019785475</v>
          </cell>
          <cell r="AD10">
            <v>2.9562172671595244</v>
          </cell>
          <cell r="AE10">
            <v>2.3585302467095599</v>
          </cell>
          <cell r="AF10">
            <v>1.847999806967169</v>
          </cell>
          <cell r="AG10">
            <v>1.6175059491004788</v>
          </cell>
          <cell r="AH10">
            <v>2.2987086691171976</v>
          </cell>
          <cell r="AI10">
            <v>2.5159799375655689</v>
          </cell>
          <cell r="AM10">
            <v>6.0144811243872116</v>
          </cell>
          <cell r="AN10">
            <v>9.1744227477964291</v>
          </cell>
          <cell r="AO10">
            <v>13.133395193467564</v>
          </cell>
          <cell r="AP10">
            <v>13.868113005960897</v>
          </cell>
          <cell r="AQ10">
            <v>14.132976008167438</v>
          </cell>
          <cell r="AR10">
            <v>12.167413512158442</v>
          </cell>
          <cell r="AV10">
            <v>0.74702133555001382</v>
          </cell>
          <cell r="AW10">
            <v>0.34839960586122498</v>
          </cell>
          <cell r="AX10">
            <v>1.3675512348922754</v>
          </cell>
          <cell r="AY10">
            <v>1.0260446419126203</v>
          </cell>
          <cell r="AZ10">
            <v>1.2176330420969024</v>
          </cell>
          <cell r="BA10">
            <v>1.2591413126908693</v>
          </cell>
        </row>
        <row r="21">
          <cell r="C21">
            <v>3.7309453812668472</v>
          </cell>
          <cell r="D21">
            <v>4.4318210667952975</v>
          </cell>
          <cell r="E21">
            <v>4.5106423211908515</v>
          </cell>
          <cell r="F21">
            <v>5.0088426760621534</v>
          </cell>
          <cell r="G21">
            <v>5.2660888302123388</v>
          </cell>
          <cell r="H21">
            <v>6.4495653652908214</v>
          </cell>
          <cell r="L21">
            <v>15.128358208955223</v>
          </cell>
          <cell r="M21">
            <v>12.491750358680056</v>
          </cell>
          <cell r="N21">
            <v>12.921848687082891</v>
          </cell>
          <cell r="O21">
            <v>9.3207016283524897</v>
          </cell>
          <cell r="P21">
            <v>11.38265908359266</v>
          </cell>
          <cell r="Q21">
            <v>14.898756660746004</v>
          </cell>
          <cell r="U21">
            <v>55.379362670713192</v>
          </cell>
          <cell r="V21">
            <v>87.807881773398918</v>
          </cell>
          <cell r="W21">
            <v>71.165755919854277</v>
          </cell>
          <cell r="X21">
            <v>68.297342192691019</v>
          </cell>
          <cell r="Y21">
            <v>89.756567425569258</v>
          </cell>
          <cell r="Z21">
            <v>194.18006430868181</v>
          </cell>
          <cell r="AD21">
            <v>6.1347877809406501</v>
          </cell>
          <cell r="AE21">
            <v>9.5124702522608207</v>
          </cell>
          <cell r="AF21">
            <v>11.654573213046497</v>
          </cell>
          <cell r="AG21">
            <v>9.8250011561762935</v>
          </cell>
          <cell r="AH21">
            <v>6.2708978082496163</v>
          </cell>
          <cell r="AI21">
            <v>5.4457383480097636</v>
          </cell>
          <cell r="AM21">
            <v>2.6187759875259884</v>
          </cell>
          <cell r="AN21">
            <v>2.2645945960962544</v>
          </cell>
          <cell r="AO21">
            <v>1.8945798062990926</v>
          </cell>
          <cell r="AP21">
            <v>1.720368411812814</v>
          </cell>
          <cell r="AQ21">
            <v>1.5475228503231064</v>
          </cell>
          <cell r="AR21">
            <v>1.6754157940627619</v>
          </cell>
          <cell r="AV21">
            <v>2.2724799758198579</v>
          </cell>
          <cell r="AW21">
            <v>7.1929687500000004</v>
          </cell>
          <cell r="AX21">
            <v>7.695453506968243</v>
          </cell>
          <cell r="AY21">
            <v>10.644493717664449</v>
          </cell>
          <cell r="AZ21">
            <v>12.222805701425356</v>
          </cell>
          <cell r="BA21">
            <v>11.659292950175729</v>
          </cell>
        </row>
        <row r="22">
          <cell r="C22">
            <v>0.37545761376625775</v>
          </cell>
          <cell r="D22">
            <v>0.44400814899298469</v>
          </cell>
          <cell r="E22">
            <v>0.55174738452405181</v>
          </cell>
          <cell r="F22">
            <v>0.54653479043819619</v>
          </cell>
          <cell r="G22">
            <v>0.49668119603796707</v>
          </cell>
          <cell r="H22">
            <v>0.44415492084635799</v>
          </cell>
          <cell r="L22">
            <v>0.15183706270875708</v>
          </cell>
          <cell r="M22">
            <v>0.22489844513778873</v>
          </cell>
          <cell r="N22">
            <v>0.1401814479557085</v>
          </cell>
          <cell r="O22">
            <v>0.12269328501208035</v>
          </cell>
          <cell r="P22">
            <v>9.4327198426640349E-2</v>
          </cell>
          <cell r="Q22">
            <v>4.2380215572631191E-2</v>
          </cell>
          <cell r="U22">
            <v>0</v>
          </cell>
          <cell r="V22">
            <v>0</v>
          </cell>
          <cell r="W22">
            <v>0</v>
          </cell>
          <cell r="X22">
            <v>0</v>
          </cell>
          <cell r="Y22">
            <v>0</v>
          </cell>
          <cell r="Z22">
            <v>0</v>
          </cell>
          <cell r="AD22">
            <v>0.84201708083743543</v>
          </cell>
          <cell r="AE22">
            <v>0.72243352173387465</v>
          </cell>
          <cell r="AF22">
            <v>0.70273206926593379</v>
          </cell>
          <cell r="AG22">
            <v>0.69970315826234275</v>
          </cell>
          <cell r="AH22">
            <v>0.92902837193970289</v>
          </cell>
          <cell r="AI22">
            <v>0.77269954270317154</v>
          </cell>
          <cell r="AM22">
            <v>0.73417404448085777</v>
          </cell>
          <cell r="AN22">
            <v>1.1480183828216188</v>
          </cell>
          <cell r="AO22">
            <v>1.4373393212653194</v>
          </cell>
          <cell r="AP22">
            <v>1.3696139553787376</v>
          </cell>
          <cell r="AQ22">
            <v>1.5803218796737821</v>
          </cell>
          <cell r="AR22">
            <v>1.3774050673769711</v>
          </cell>
          <cell r="AV22">
            <v>0.1143320953341368</v>
          </cell>
          <cell r="AW22">
            <v>5.0667515749732765E-2</v>
          </cell>
          <cell r="AX22">
            <v>0.15519149635636403</v>
          </cell>
          <cell r="AY22">
            <v>9.3334135577524263E-2</v>
          </cell>
          <cell r="AZ22">
            <v>0.12485529427640037</v>
          </cell>
          <cell r="BA22">
            <v>0.15520663703182078</v>
          </cell>
        </row>
      </sheetData>
      <sheetData sheetId="5">
        <row r="14">
          <cell r="B14">
            <v>7.6368023905400664E-2</v>
          </cell>
          <cell r="C14">
            <v>6.586491647680541E-2</v>
          </cell>
          <cell r="D14">
            <v>5.2368657386618764E-2</v>
          </cell>
          <cell r="E14">
            <v>0.15732173319133921</v>
          </cell>
          <cell r="F14">
            <v>7.8924892176648928E-2</v>
          </cell>
        </row>
        <row r="15">
          <cell r="H15">
            <v>4.3692039022040226E-2</v>
          </cell>
        </row>
      </sheetData>
      <sheetData sheetId="6"/>
      <sheetData sheetId="7"/>
      <sheetData sheetId="8"/>
      <sheetData sheetId="9"/>
      <sheetData sheetId="10"/>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sheetData sheetId="1">
        <row r="7">
          <cell r="F7">
            <v>6670</v>
          </cell>
          <cell r="M7">
            <v>7013</v>
          </cell>
          <cell r="T7">
            <v>4796</v>
          </cell>
          <cell r="AA7">
            <v>1764</v>
          </cell>
          <cell r="AH7">
            <v>6342</v>
          </cell>
        </row>
        <row r="8">
          <cell r="F8">
            <v>1862</v>
          </cell>
          <cell r="M8">
            <v>1036</v>
          </cell>
          <cell r="T8">
            <v>324</v>
          </cell>
          <cell r="AA8">
            <v>543</v>
          </cell>
          <cell r="AH8">
            <v>506</v>
          </cell>
        </row>
        <row r="16">
          <cell r="T16">
            <v>17824</v>
          </cell>
          <cell r="AA16">
            <v>8004</v>
          </cell>
          <cell r="AH16">
            <v>11587</v>
          </cell>
        </row>
        <row r="21">
          <cell r="F21">
            <v>41261</v>
          </cell>
          <cell r="M21">
            <v>20270</v>
          </cell>
          <cell r="T21">
            <v>8762</v>
          </cell>
          <cell r="AA21">
            <v>13125</v>
          </cell>
          <cell r="AH21">
            <v>11805</v>
          </cell>
        </row>
        <row r="22">
          <cell r="F22">
            <v>61923</v>
          </cell>
          <cell r="M22">
            <v>6333</v>
          </cell>
          <cell r="T22">
            <v>22063</v>
          </cell>
          <cell r="AA22">
            <v>18829</v>
          </cell>
          <cell r="AH22">
            <v>15312</v>
          </cell>
        </row>
        <row r="23">
          <cell r="T23">
            <v>55880</v>
          </cell>
          <cell r="AA23">
            <v>41687</v>
          </cell>
          <cell r="AH23">
            <v>43755</v>
          </cell>
        </row>
        <row r="28">
          <cell r="F28">
            <v>4364</v>
          </cell>
        </row>
        <row r="29">
          <cell r="M29">
            <v>1559</v>
          </cell>
          <cell r="T29">
            <v>886</v>
          </cell>
          <cell r="AA29">
            <v>1166</v>
          </cell>
          <cell r="AH29">
            <v>1342</v>
          </cell>
        </row>
      </sheetData>
      <sheetData sheetId="2">
        <row r="14">
          <cell r="B14">
            <v>3.1306472186789419E-2</v>
          </cell>
          <cell r="C14">
            <v>3.7291399229781766E-2</v>
          </cell>
          <cell r="D14">
            <v>2.8062325511205011E-2</v>
          </cell>
          <cell r="E14">
            <v>3.3731594265387514E-2</v>
          </cell>
          <cell r="F14">
            <v>3.2265860578422782E-2</v>
          </cell>
        </row>
      </sheetData>
      <sheetData sheetId="3"/>
      <sheetData sheetId="4"/>
      <sheetData sheetId="5"/>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sheetName val="DCF"/>
      <sheetName val="Relative"/>
      <sheetName val="Calc"/>
    </sheetNames>
    <sheetDataSet>
      <sheetData sheetId="0"/>
      <sheetData sheetId="1">
        <row r="14">
          <cell r="T14">
            <v>102415</v>
          </cell>
          <cell r="AA14">
            <v>145180</v>
          </cell>
          <cell r="AH14">
            <v>70035</v>
          </cell>
        </row>
        <row r="18">
          <cell r="T18">
            <v>9289</v>
          </cell>
          <cell r="AA18">
            <v>15993</v>
          </cell>
          <cell r="AH18">
            <v>6459</v>
          </cell>
        </row>
        <row r="20">
          <cell r="T20">
            <v>40025</v>
          </cell>
          <cell r="AA20">
            <v>58768</v>
          </cell>
          <cell r="AH20">
            <v>29114</v>
          </cell>
        </row>
      </sheetData>
      <sheetData sheetId="2"/>
      <sheetData sheetId="3"/>
      <sheetData sheetId="4"/>
      <sheetData sheetId="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sheetData sheetId="1">
        <row r="6">
          <cell r="F6">
            <v>18545</v>
          </cell>
          <cell r="M6">
            <v>12887</v>
          </cell>
          <cell r="T6">
            <v>14742</v>
          </cell>
          <cell r="AA6">
            <v>3569</v>
          </cell>
          <cell r="AH6">
            <v>18890</v>
          </cell>
        </row>
        <row r="7">
          <cell r="F7">
            <v>2896</v>
          </cell>
          <cell r="M7">
            <v>3160</v>
          </cell>
          <cell r="T7">
            <v>1075</v>
          </cell>
          <cell r="AA7">
            <v>567</v>
          </cell>
          <cell r="AH7">
            <v>10945</v>
          </cell>
        </row>
        <row r="8">
          <cell r="F8">
            <v>925</v>
          </cell>
          <cell r="M8">
            <v>919</v>
          </cell>
          <cell r="T8">
            <v>1656</v>
          </cell>
          <cell r="AA8">
            <v>287</v>
          </cell>
          <cell r="AH8">
            <v>1874</v>
          </cell>
        </row>
        <row r="15">
          <cell r="T15">
            <v>100549</v>
          </cell>
          <cell r="AA15">
            <v>16393</v>
          </cell>
          <cell r="AH15">
            <v>243197</v>
          </cell>
        </row>
        <row r="20">
          <cell r="T20">
            <v>25249</v>
          </cell>
          <cell r="AA20">
            <v>4741</v>
          </cell>
          <cell r="AH20">
            <v>92198</v>
          </cell>
        </row>
        <row r="21">
          <cell r="F21">
            <v>32460</v>
          </cell>
          <cell r="M21">
            <v>44306</v>
          </cell>
          <cell r="T21">
            <v>44522</v>
          </cell>
          <cell r="AA21">
            <v>8549</v>
          </cell>
          <cell r="AH21">
            <v>58923</v>
          </cell>
        </row>
        <row r="22">
          <cell r="F22">
            <v>50559</v>
          </cell>
          <cell r="M22">
            <v>18171</v>
          </cell>
          <cell r="T22">
            <v>26372</v>
          </cell>
          <cell r="AA22">
            <v>957</v>
          </cell>
          <cell r="AH22">
            <v>83754</v>
          </cell>
        </row>
      </sheetData>
      <sheetData sheetId="2">
        <row r="15">
          <cell r="B15">
            <v>1.4470195047118124E-2</v>
          </cell>
          <cell r="C15">
            <v>2.0589905928309258E-2</v>
          </cell>
          <cell r="D15">
            <v>2.5870868810018502E-2</v>
          </cell>
          <cell r="E15">
            <v>2.0560209424083768E-2</v>
          </cell>
          <cell r="F15">
            <v>2.6319406367657269E-2</v>
          </cell>
        </row>
      </sheetData>
      <sheetData sheetId="3"/>
      <sheetData sheetId="4"/>
      <sheetData sheetId="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le"/>
      <sheetName val="Financials"/>
      <sheetName val="Assumptions &amp; WACC"/>
      <sheetName val="DCF"/>
      <sheetName val="Relative"/>
      <sheetName val="Calc"/>
    </sheetNames>
    <sheetDataSet>
      <sheetData sheetId="0"/>
      <sheetData sheetId="1">
        <row r="6">
          <cell r="F6">
            <v>14358</v>
          </cell>
          <cell r="M6">
            <v>692.43600000000106</v>
          </cell>
          <cell r="T6">
            <v>903.57200000000034</v>
          </cell>
          <cell r="AA6">
            <v>375</v>
          </cell>
          <cell r="AH6">
            <v>1139.6999999999998</v>
          </cell>
        </row>
        <row r="7">
          <cell r="F7">
            <v>2153</v>
          </cell>
          <cell r="M7">
            <v>308.73900000000003</v>
          </cell>
          <cell r="T7">
            <v>178.81200000000001</v>
          </cell>
          <cell r="AA7">
            <v>74</v>
          </cell>
          <cell r="AH7">
            <v>587.5</v>
          </cell>
        </row>
        <row r="8">
          <cell r="F8">
            <v>1798</v>
          </cell>
          <cell r="M8">
            <v>169.05799999999999</v>
          </cell>
          <cell r="T8">
            <v>185.42</v>
          </cell>
          <cell r="AA8">
            <v>60</v>
          </cell>
          <cell r="AH8">
            <v>169.2</v>
          </cell>
        </row>
        <row r="15">
          <cell r="T15">
            <v>12061.669</v>
          </cell>
          <cell r="AA15">
            <v>6973</v>
          </cell>
          <cell r="AH15">
            <v>14234.6</v>
          </cell>
        </row>
        <row r="20">
          <cell r="T20">
            <v>6374.0810000000001</v>
          </cell>
          <cell r="AA20">
            <v>3163</v>
          </cell>
          <cell r="AH20">
            <v>956.6</v>
          </cell>
        </row>
        <row r="21">
          <cell r="F21">
            <v>38409</v>
          </cell>
          <cell r="M21">
            <v>2224.3540000000003</v>
          </cell>
          <cell r="T21">
            <v>2517.2539999999999</v>
          </cell>
          <cell r="AA21">
            <v>1158</v>
          </cell>
          <cell r="AH21">
            <v>3975.7</v>
          </cell>
        </row>
        <row r="22">
          <cell r="F22">
            <v>19494</v>
          </cell>
          <cell r="M22">
            <v>4567.3029999999999</v>
          </cell>
          <cell r="T22">
            <v>2370.41</v>
          </cell>
          <cell r="AA22">
            <v>2052</v>
          </cell>
          <cell r="AH22">
            <v>6952.2</v>
          </cell>
        </row>
      </sheetData>
      <sheetData sheetId="2">
        <row r="15">
          <cell r="B15">
            <v>2.9404691504040997E-2</v>
          </cell>
          <cell r="C15">
            <v>3.3698042616891487E-2</v>
          </cell>
          <cell r="D15">
            <v>5.8669976141528156E-2</v>
          </cell>
          <cell r="E15">
            <v>3.9858291420389887E-2</v>
          </cell>
          <cell r="F15">
            <v>3.188394661209653E-2</v>
          </cell>
        </row>
      </sheetData>
      <sheetData sheetId="3"/>
      <sheetData sheetId="4"/>
      <sheetData sheetId="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sheetData sheetId="1">
        <row r="6">
          <cell r="F6">
            <v>9595.8470000000034</v>
          </cell>
          <cell r="M6">
            <v>7510</v>
          </cell>
          <cell r="T6">
            <v>119815</v>
          </cell>
          <cell r="AA6">
            <v>107787</v>
          </cell>
          <cell r="AH6">
            <v>16213</v>
          </cell>
        </row>
        <row r="7">
          <cell r="F7">
            <v>2168.038</v>
          </cell>
          <cell r="M7">
            <v>4667</v>
          </cell>
          <cell r="T7">
            <v>15311</v>
          </cell>
          <cell r="AA7">
            <v>22287</v>
          </cell>
          <cell r="AH7">
            <v>3582</v>
          </cell>
        </row>
        <row r="8">
          <cell r="F8">
            <v>58.969000000000001</v>
          </cell>
          <cell r="M8">
            <v>1712</v>
          </cell>
          <cell r="T8">
            <v>268</v>
          </cell>
          <cell r="AA8">
            <v>2983</v>
          </cell>
          <cell r="AH8">
            <v>3505</v>
          </cell>
        </row>
        <row r="15">
          <cell r="T15">
            <v>450256</v>
          </cell>
          <cell r="AA15">
            <v>512163</v>
          </cell>
          <cell r="AH15">
            <v>134384</v>
          </cell>
        </row>
        <row r="20">
          <cell r="T20">
            <v>89122</v>
          </cell>
          <cell r="AA20">
            <v>125286</v>
          </cell>
          <cell r="AH20">
            <v>23090</v>
          </cell>
        </row>
        <row r="21">
          <cell r="F21">
            <v>1024.857</v>
          </cell>
          <cell r="M21">
            <v>54973</v>
          </cell>
          <cell r="T21">
            <v>10883</v>
          </cell>
          <cell r="AA21">
            <v>51630</v>
          </cell>
          <cell r="AH21">
            <v>90481</v>
          </cell>
        </row>
        <row r="22">
          <cell r="F22">
            <v>29168.248</v>
          </cell>
          <cell r="M22">
            <v>27393</v>
          </cell>
          <cell r="T22">
            <v>325084</v>
          </cell>
          <cell r="AA22">
            <v>268477</v>
          </cell>
          <cell r="AH22">
            <v>1556</v>
          </cell>
        </row>
      </sheetData>
      <sheetData sheetId="2">
        <row r="15">
          <cell r="B15">
            <v>0.13998145733674819</v>
          </cell>
          <cell r="C15">
            <v>1.9488014624008471E-2</v>
          </cell>
          <cell r="D15">
            <v>1.6446082503814026E-2</v>
          </cell>
          <cell r="E15">
            <v>3.6290383884454581E-2</v>
          </cell>
          <cell r="F15">
            <v>2.8932598655197598E-2</v>
          </cell>
        </row>
      </sheetData>
      <sheetData sheetId="3"/>
      <sheetData sheetId="4"/>
      <sheetData sheetId="5"/>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sheetData sheetId="1">
        <row r="6">
          <cell r="F6">
            <v>73311</v>
          </cell>
          <cell r="M6">
            <v>45382</v>
          </cell>
          <cell r="T6">
            <v>24054</v>
          </cell>
          <cell r="AA6">
            <v>17821</v>
          </cell>
          <cell r="AH6">
            <v>16887</v>
          </cell>
        </row>
        <row r="7">
          <cell r="F7">
            <v>23442</v>
          </cell>
          <cell r="M7">
            <v>17282</v>
          </cell>
          <cell r="T7">
            <v>9599</v>
          </cell>
          <cell r="AA7">
            <v>3307</v>
          </cell>
          <cell r="AH7">
            <v>1629</v>
          </cell>
        </row>
        <row r="8">
          <cell r="F8">
            <v>996</v>
          </cell>
          <cell r="M8">
            <v>594</v>
          </cell>
          <cell r="T8">
            <v>783</v>
          </cell>
          <cell r="AA8">
            <v>525</v>
          </cell>
          <cell r="AH8">
            <v>619</v>
          </cell>
        </row>
        <row r="15">
          <cell r="T15">
            <v>122780</v>
          </cell>
          <cell r="AA15">
            <v>85987</v>
          </cell>
          <cell r="AH15">
            <v>76442</v>
          </cell>
        </row>
        <row r="20">
          <cell r="T20">
            <v>12124</v>
          </cell>
          <cell r="AA20">
            <v>20150</v>
          </cell>
          <cell r="AH20">
            <v>15889</v>
          </cell>
        </row>
        <row r="21">
          <cell r="F21">
            <v>41710</v>
          </cell>
          <cell r="M21">
            <v>24541</v>
          </cell>
          <cell r="T21">
            <v>24324</v>
          </cell>
          <cell r="AA21">
            <v>27283</v>
          </cell>
          <cell r="AH21">
            <v>17190</v>
          </cell>
        </row>
        <row r="22">
          <cell r="F22">
            <v>270606</v>
          </cell>
          <cell r="M22">
            <v>153157</v>
          </cell>
          <cell r="T22">
            <v>64796</v>
          </cell>
          <cell r="AA22">
            <v>30504</v>
          </cell>
          <cell r="AH22">
            <v>34106</v>
          </cell>
        </row>
      </sheetData>
      <sheetData sheetId="2">
        <row r="15">
          <cell r="B15">
            <v>1.5640563756150447E-2</v>
          </cell>
          <cell r="C15">
            <v>1.6347091412742383E-2</v>
          </cell>
          <cell r="D15">
            <v>3.3672103941937037E-2</v>
          </cell>
          <cell r="E15">
            <v>2.971043460064797E-2</v>
          </cell>
          <cell r="F15">
            <v>3.1826409973318613E-2</v>
          </cell>
        </row>
      </sheetData>
      <sheetData sheetId="3"/>
      <sheetData sheetId="4"/>
      <sheetData sheetId="5"/>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Profile"/>
      <sheetName val="Financials"/>
      <sheetName val="Assumptions &amp; WACC"/>
      <sheetName val="DCF"/>
      <sheetName val="Relative"/>
      <sheetName val="Calc"/>
    </sheetNames>
    <sheetDataSet>
      <sheetData sheetId="0"/>
      <sheetData sheetId="1">
        <row r="7">
          <cell r="F7">
            <v>13309</v>
          </cell>
          <cell r="M7">
            <v>19936</v>
          </cell>
          <cell r="T7">
            <v>7764</v>
          </cell>
          <cell r="AA7">
            <v>6554.5999999999985</v>
          </cell>
          <cell r="AH7">
            <v>22001</v>
          </cell>
        </row>
        <row r="8">
          <cell r="F8">
            <v>5286</v>
          </cell>
          <cell r="M8">
            <v>4499</v>
          </cell>
        </row>
        <row r="9">
          <cell r="F9">
            <v>3091</v>
          </cell>
          <cell r="M9">
            <v>1271</v>
          </cell>
          <cell r="T9">
            <v>3155</v>
          </cell>
          <cell r="AA9">
            <v>781</v>
          </cell>
          <cell r="AH9">
            <v>276</v>
          </cell>
        </row>
        <row r="16">
          <cell r="T16">
            <v>91839</v>
          </cell>
          <cell r="AA16">
            <v>64006.3</v>
          </cell>
          <cell r="AH16">
            <v>187378</v>
          </cell>
        </row>
        <row r="20">
          <cell r="T20">
            <v>23099</v>
          </cell>
          <cell r="AA20">
            <v>27293.200000000001</v>
          </cell>
          <cell r="AH20">
            <v>55802</v>
          </cell>
        </row>
        <row r="22">
          <cell r="F22">
            <v>64351</v>
          </cell>
          <cell r="M22">
            <v>37111</v>
          </cell>
          <cell r="T22">
            <v>60099</v>
          </cell>
          <cell r="AA22">
            <v>25225.3</v>
          </cell>
          <cell r="AH22">
            <v>39659</v>
          </cell>
        </row>
        <row r="23">
          <cell r="F23">
            <v>88497</v>
          </cell>
          <cell r="M23">
            <v>46372</v>
          </cell>
          <cell r="T23">
            <v>5877</v>
          </cell>
          <cell r="AA23">
            <v>10863.7</v>
          </cell>
          <cell r="AH23">
            <v>76804</v>
          </cell>
        </row>
        <row r="31">
          <cell r="T31">
            <v>5590</v>
          </cell>
          <cell r="AA31">
            <v>1527</v>
          </cell>
          <cell r="AH31">
            <v>6970</v>
          </cell>
        </row>
      </sheetData>
      <sheetData sheetId="2">
        <row r="15">
          <cell r="B15">
            <v>3.3587920428217628E-2</v>
          </cell>
          <cell r="C15">
            <v>2.3024262295081969E-2</v>
          </cell>
          <cell r="D15">
            <v>3.3133653979961035E-2</v>
          </cell>
          <cell r="E15">
            <v>1.9308837708736044E-2</v>
          </cell>
          <cell r="F15">
            <v>9.6425258528876207E-3</v>
          </cell>
        </row>
      </sheetData>
      <sheetData sheetId="3"/>
      <sheetData sheetId="4"/>
      <sheetData sheetId="5"/>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le"/>
      <sheetName val="Financials"/>
      <sheetName val="Assumptions &amp; WACC"/>
      <sheetName val="DCF"/>
      <sheetName val="Relative"/>
      <sheetName val="Calc"/>
    </sheetNames>
    <sheetDataSet>
      <sheetData sheetId="0"/>
      <sheetData sheetId="1">
        <row r="6">
          <cell r="F6">
            <v>39629</v>
          </cell>
          <cell r="M6">
            <v>46578</v>
          </cell>
          <cell r="T6">
            <v>21404</v>
          </cell>
          <cell r="AA6">
            <v>27938</v>
          </cell>
          <cell r="AH6">
            <v>20161</v>
          </cell>
        </row>
        <row r="7">
          <cell r="F7">
            <v>20580</v>
          </cell>
          <cell r="M7">
            <v>17892</v>
          </cell>
          <cell r="T7">
            <v>8673</v>
          </cell>
          <cell r="AA7">
            <v>14336</v>
          </cell>
          <cell r="AH7">
            <v>13651</v>
          </cell>
        </row>
        <row r="8">
          <cell r="F8">
            <v>6759</v>
          </cell>
          <cell r="M8">
            <v>6649</v>
          </cell>
          <cell r="T8">
            <v>5229</v>
          </cell>
          <cell r="AA8">
            <v>4087</v>
          </cell>
          <cell r="AH8">
            <v>3364</v>
          </cell>
        </row>
        <row r="15">
          <cell r="T15">
            <v>150020</v>
          </cell>
          <cell r="AA15">
            <v>264811</v>
          </cell>
          <cell r="AH15">
            <v>211338</v>
          </cell>
        </row>
        <row r="20">
          <cell r="T20">
            <v>13486</v>
          </cell>
          <cell r="AA20">
            <v>40198</v>
          </cell>
          <cell r="AH20">
            <v>24742</v>
          </cell>
        </row>
        <row r="21">
          <cell r="F21">
            <v>123532</v>
          </cell>
          <cell r="M21">
            <v>144014</v>
          </cell>
          <cell r="T21">
            <v>93933</v>
          </cell>
          <cell r="AA21">
            <v>97090</v>
          </cell>
          <cell r="AH21">
            <v>71960</v>
          </cell>
        </row>
        <row r="22">
          <cell r="F22">
            <v>118245</v>
          </cell>
          <cell r="M22">
            <v>100575</v>
          </cell>
          <cell r="T22">
            <v>19707</v>
          </cell>
          <cell r="AA22">
            <v>83226</v>
          </cell>
          <cell r="AH22">
            <v>69656</v>
          </cell>
        </row>
      </sheetData>
      <sheetData sheetId="2">
        <row r="15">
          <cell r="B15">
            <v>3.610497937993145E-2</v>
          </cell>
          <cell r="C15">
            <v>2.4968886891129631E-2</v>
          </cell>
          <cell r="D15">
            <v>3.7963056429104497E-2</v>
          </cell>
          <cell r="E15">
            <v>3.3004673164434929E-2</v>
          </cell>
          <cell r="F15">
            <v>3.3625071175865787E-2</v>
          </cell>
        </row>
      </sheetData>
      <sheetData sheetId="3"/>
      <sheetData sheetId="4"/>
      <sheetData sheetId="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en-IN</v>
    <v>avyo8m</v>
    <v>268435456</v>
    <v>1</v>
    <v>Powered by Refinitiv</v>
    <v>0</v>
    <v>USD/INR</v>
    <v>2</v>
    <v>3</v>
    <v>Finance</v>
    <v>4</v>
    <v>89.724000000000004</v>
    <v>83.76</v>
    <v>-0.46700000000000003</v>
    <v>-5.2110000000000004E-3</v>
    <v>INR</v>
    <v>USD</v>
    <v>89.533000000000001</v>
    <v>Currency Pair</v>
    <v>45985.46806712963</v>
    <v>89.067999999999998</v>
    <v>US Dollar/Indian Rupee FX Spot Rate</v>
    <v>89.522000000000006</v>
    <v>89.611999999999995</v>
    <v>89.144999999999996</v>
    <v>USDINR</v>
    <v>USD/INR</v>
  </rv>
  <rv s="1">
    <v>0</v>
  </rv>
  <rv s="2">
    <v>0</v>
    <v>5</v>
  </rv>
</rvData>
</file>

<file path=xl/richData/rdrichvaluestructure.xml><?xml version="1.0" encoding="utf-8"?>
<rvStructures xmlns="http://schemas.microsoft.com/office/spreadsheetml/2017/richdata" count="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ocalImage">
    <k n="_rvRel:LocalImageIdentifier" t="i"/>
    <k n="CalcOrigin" t="i"/>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yyyy/mm/dd\ hh:mm"/>
    </x:dxf>
    <x:dxf>
      <x:numFmt numFmtId="14" formatCode="0.00%"/>
    </x:dxf>
  </dxfs>
  <richProperties>
    <rPr n="NumberFormat" t="s"/>
    <rPr n="IsTitleField" t="b"/>
  </richProperties>
  <richStyles>
    <rSty dxfid="1">
      <rpv i="0" xml:space="preserve">_ [$₹-en-IN] * #,##0.00_ ;_ [$₹-en-IN] * -#,##0.00_ ;_ [$₹-en-IN] * "-"??_ ;_ @_ </rpv>
    </rSty>
    <rSty>
      <rpv i="1">1</rpv>
    </rSty>
    <rSty dxfid="3"/>
    <rSty dxfid="2"/>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72BB8-7783-4BE4-A7EA-1C2D986A6D2B}" name="Table1" displayName="Table1" ref="A1:F826" totalsRowShown="0" headerRowDxfId="1658" dataDxfId="1657">
  <autoFilter ref="A1:F826" xr:uid="{51972BB8-7783-4BE4-A7EA-1C2D986A6D2B}">
    <filterColumn colId="0" hiddenButton="1"/>
    <filterColumn colId="1" hiddenButton="1"/>
    <filterColumn colId="2" hiddenButton="1"/>
    <filterColumn colId="3" hiddenButton="1"/>
    <filterColumn colId="4" hiddenButton="1"/>
    <filterColumn colId="5" hiddenButton="1"/>
  </autoFilter>
  <tableColumns count="6">
    <tableColumn id="1" xr3:uid="{3F4B0AD5-FDE6-4D8C-A6F6-5F7BF2646BDE}" name="Sector" dataDxfId="1656"/>
    <tableColumn id="2" xr3:uid="{6D8831E2-2BDD-4E1F-A00A-B578FB4A2320}" name="Company" dataDxfId="1655" dataCellStyle="Comma"/>
    <tableColumn id="3" xr3:uid="{0B531E5F-37F7-4EAA-9F29-A8F92632981E}" name="Metric" dataDxfId="1654"/>
    <tableColumn id="4" xr3:uid="{2845D521-E739-4BF0-B954-1D3070261CEF}" name="Year" dataDxfId="1653"/>
    <tableColumn id="5" xr3:uid="{14890C85-5CF1-4C11-B399-8B04FA89FD64}" name="Value" dataDxfId="1652" dataCellStyle="Comma"/>
    <tableColumn id="6" xr3:uid="{6096F878-BDDE-48E9-B0CE-0F6F71FED42C}" name="Type" dataDxfId="1651">
      <calculatedColumnFormula>IF(VALUE(D2)&gt;2024,"Forecast","Actual")</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5BFDED-ACB8-4E6C-847F-AF362A12FA45}" name="HDFC" displayName="HDFC" ref="A1:F8" totalsRowShown="0" headerRowDxfId="1650" dataDxfId="1648" headerRowBorderDxfId="1649" tableBorderDxfId="1647" dataCellStyle="Percent">
  <autoFilter ref="A1:F8" xr:uid="{835BFDED-ACB8-4E6C-847F-AF362A12FA45}">
    <filterColumn colId="0" hiddenButton="1"/>
    <filterColumn colId="1" hiddenButton="1"/>
    <filterColumn colId="2" hiddenButton="1"/>
    <filterColumn colId="3" hiddenButton="1"/>
    <filterColumn colId="4" hiddenButton="1"/>
    <filterColumn colId="5" hiddenButton="1"/>
  </autoFilter>
  <tableColumns count="6">
    <tableColumn id="1" xr3:uid="{8D29FD20-EBE4-49E1-9271-FECC559D4633}" name="KPI" dataDxfId="1646"/>
    <tableColumn id="2" xr3:uid="{0AE6D885-050D-4124-9AF4-FB95E2EAC3A9}" name="2020" dataDxfId="1645" dataCellStyle="Percent"/>
    <tableColumn id="3" xr3:uid="{454821D6-4270-466A-9CAE-CCB95CB2F1B0}" name="2021" dataDxfId="1644" dataCellStyle="Percent"/>
    <tableColumn id="4" xr3:uid="{0393F108-7230-4D99-8732-18C2E0F602D2}" name="2022" dataDxfId="1643" dataCellStyle="Percent"/>
    <tableColumn id="5" xr3:uid="{E56B6461-9C64-40BD-BABF-1AF396239863}" name="2023" dataDxfId="1642" dataCellStyle="Percent"/>
    <tableColumn id="6" xr3:uid="{5138491F-1782-451A-8E62-26FD86EFE06B}" name="2024" dataDxfId="1641" dataCellStyle="Percent"/>
  </tableColumns>
  <tableStyleInfo name="TableStyleDark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BEE9EA-0390-4D50-8833-F9E3BADB68B3}" name="ICICI" displayName="ICICI" ref="A10:F17" totalsRowShown="0" headerRowDxfId="1640" dataDxfId="1638" headerRowBorderDxfId="1639" tableBorderDxfId="1637" dataCellStyle="Percent">
  <autoFilter ref="A10:F17" xr:uid="{3FBEE9EA-0390-4D50-8833-F9E3BADB68B3}">
    <filterColumn colId="0" hiddenButton="1"/>
    <filterColumn colId="1" hiddenButton="1"/>
    <filterColumn colId="2" hiddenButton="1"/>
    <filterColumn colId="3" hiddenButton="1"/>
    <filterColumn colId="4" hiddenButton="1"/>
    <filterColumn colId="5" hiddenButton="1"/>
  </autoFilter>
  <tableColumns count="6">
    <tableColumn id="1" xr3:uid="{9AE010C0-0107-4387-816D-C533EF165CE6}" name="KPI" dataDxfId="1636"/>
    <tableColumn id="2" xr3:uid="{B5E7E1D4-0DDE-4E5A-BFCE-3A908F593F80}" name="2020" dataDxfId="1635" dataCellStyle="Percent"/>
    <tableColumn id="3" xr3:uid="{95BED8B1-0CBF-40DF-9802-9779675C7684}" name="2021" dataDxfId="1634" dataCellStyle="Percent"/>
    <tableColumn id="4" xr3:uid="{B87C02DE-A70F-4871-918D-FE911F4A3E1A}" name="2022" dataDxfId="1633" dataCellStyle="Percent"/>
    <tableColumn id="5" xr3:uid="{14EDDA5C-4A1C-46B7-8089-93A7B96FADC1}" name="2023" dataDxfId="1632" dataCellStyle="Percent"/>
    <tableColumn id="6" xr3:uid="{C0754B88-F2F5-4C15-BD6C-1C4A1D20F19E}" name="2024" dataDxfId="1631" dataCellStyle="Percent"/>
  </tableColumns>
  <tableStyleInfo name="TableStyleDark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3CF025-525C-4EBD-ACF5-00C4A1C6DB68}" name="SBI" displayName="SBI" ref="A19:F26" totalsRowShown="0" headerRowDxfId="1630" dataDxfId="1628" headerRowBorderDxfId="1629" tableBorderDxfId="1627" dataCellStyle="Percent">
  <autoFilter ref="A19:F26" xr:uid="{873CF025-525C-4EBD-ACF5-00C4A1C6DB68}">
    <filterColumn colId="0" hiddenButton="1"/>
    <filterColumn colId="1" hiddenButton="1"/>
    <filterColumn colId="2" hiddenButton="1"/>
    <filterColumn colId="3" hiddenButton="1"/>
    <filterColumn colId="4" hiddenButton="1"/>
    <filterColumn colId="5" hiddenButton="1"/>
  </autoFilter>
  <tableColumns count="6">
    <tableColumn id="1" xr3:uid="{5EFFDC7D-68EB-4EC1-8B83-1ACDACF8D1A7}" name="KPI" dataDxfId="1626"/>
    <tableColumn id="2" xr3:uid="{DF84606B-F7DC-4903-BDDA-889D2B22FBDB}" name="2020" dataDxfId="1625" dataCellStyle="Percent"/>
    <tableColumn id="3" xr3:uid="{43C6147B-E17C-4268-A280-031B842AE809}" name="2021" dataDxfId="1624" dataCellStyle="Percent"/>
    <tableColumn id="4" xr3:uid="{C997115C-E98B-4A54-8B1B-B0E14AE8B524}" name="2022" dataDxfId="1623" dataCellStyle="Percent"/>
    <tableColumn id="5" xr3:uid="{0A51FAB8-24CD-4F26-925C-868D3CE8FDD8}" name="2023" dataDxfId="1622" dataCellStyle="Percent"/>
    <tableColumn id="6" xr3:uid="{CF8F7564-4B27-41C4-A6FF-713CBA6063B8}" name="2024" dataDxfId="1621" dataCellStyle="Percent"/>
  </tableColumns>
  <tableStyleInfo name="TableStyleDark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3564B37-8348-4D27-986C-49ED4BF9FF15}" name="HDFC_1" displayName="HDFC_1" ref="H1:N5" totalsRowShown="0" headerRowDxfId="1620" tableBorderDxfId="1619">
  <autoFilter ref="H1:N5" xr:uid="{93564B37-8348-4D27-986C-49ED4BF9FF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9B084C3-D60F-40DC-BB84-D7D7CE97CF01}" name="KPI"/>
    <tableColumn id="2" xr3:uid="{32508F42-F7C7-4752-B126-A1C6A796C565}" name="2025"/>
    <tableColumn id="3" xr3:uid="{E0C6AB39-15D7-4A34-A8E3-F1ACE9A6849E}" name="2026"/>
    <tableColumn id="4" xr3:uid="{EE8BB88E-4A17-4498-81DC-76D99FCAA39C}" name="2027"/>
    <tableColumn id="5" xr3:uid="{0DA4C9B9-DBF8-465D-B537-B7C7F95DC7C4}" name="2028"/>
    <tableColumn id="6" xr3:uid="{B3873C84-8B92-4566-B4BE-87D230E786E9}" name="2029"/>
    <tableColumn id="7" xr3:uid="{4FE5B4BF-8737-494F-BD59-69AB93CF471B}" name="2030" dataDxfId="1618"/>
  </tableColumns>
  <tableStyleInfo name="TableStyleDark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8DA846-5E08-44A1-BD7B-D10BD12A558A}" name="ICICI_1" displayName="ICICI_1" ref="H7:N11" totalsRowShown="0" headerRowDxfId="1617" tableBorderDxfId="1616">
  <autoFilter ref="H7:N11" xr:uid="{E68DA846-5E08-44A1-BD7B-D10BD12A55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54A6180-84EA-4F10-9E51-076B9188AAB2}" name="KPI"/>
    <tableColumn id="2" xr3:uid="{2273EA80-9C41-4180-82D0-3DD7973AA562}" name="2025"/>
    <tableColumn id="3" xr3:uid="{58ABEB3F-6A93-47B7-BBFF-2293ED3AAC15}" name="2026"/>
    <tableColumn id="4" xr3:uid="{B04D90DC-E3DE-4543-AFBB-96A9BC6E1BC9}" name="2027"/>
    <tableColumn id="5" xr3:uid="{A943047A-B635-4D9C-AD5C-F7F789E1B3E1}" name="2028"/>
    <tableColumn id="6" xr3:uid="{0C3B90DD-0D75-4C71-832A-C72DF5800258}" name="2029"/>
    <tableColumn id="7" xr3:uid="{D3A5697C-4D2D-4D4D-A0D6-1ACF35CCF34D}" name="2030" dataDxfId="1615"/>
  </tableColumns>
  <tableStyleInfo name="TableStyleDark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0822B4-88B8-48E2-9E34-A791CAA60AE8}" name="SBI_1" displayName="SBI_1" ref="H13:N17" totalsRowShown="0" headerRowDxfId="1614" tableBorderDxfId="1613">
  <autoFilter ref="H13:N17" xr:uid="{840822B4-88B8-48E2-9E34-A791CAA60AE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3FDE2E0-013A-4723-85DA-23D279AA93C8}" name="KPI"/>
    <tableColumn id="2" xr3:uid="{C7E882F3-45D0-4B02-9641-DBB2025E554C}" name="2025"/>
    <tableColumn id="3" xr3:uid="{C9C5CBE3-FA26-442E-A1CD-250FFA15D26F}" name="2026"/>
    <tableColumn id="4" xr3:uid="{F078B6A6-469F-4F4A-8918-3CE9AACF35E4}" name="2027"/>
    <tableColumn id="5" xr3:uid="{3B7C48EC-6DDB-4842-813E-6BFA86B35458}" name="2028"/>
    <tableColumn id="6" xr3:uid="{48AA656E-EF7F-40EE-BEDD-78001B8EC951}" name="2029"/>
    <tableColumn id="7" xr3:uid="{09E8A24C-7BEE-4418-9235-6D42B36D9990}" name="203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72A7848-582A-4A21-88F5-8A9950B25DF5}" name="Axis_1" displayName="Axis_1" ref="H19:N23" totalsRowShown="0" headerRowDxfId="1612" tableBorderDxfId="1611">
  <autoFilter ref="H19:N23" xr:uid="{672A7848-582A-4A21-88F5-8A9950B25DF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FAC7DB-67A0-4DFA-A31A-0379D9B0A03D}" name="KPI"/>
    <tableColumn id="2" xr3:uid="{8478B37E-BA9B-4D60-8C1C-ECA4777A142B}" name="2025"/>
    <tableColumn id="3" xr3:uid="{D8CEFBA1-7652-44E2-9A0A-D1236BE32802}" name="2026"/>
    <tableColumn id="4" xr3:uid="{90F6EC77-E2C1-4364-BE4C-876269222B15}" name="2027"/>
    <tableColumn id="5" xr3:uid="{E5DECE33-C309-48B3-9F17-8F3444893909}" name="2028"/>
    <tableColumn id="6" xr3:uid="{4856CACC-9BE8-4454-A6E4-5941FF60CE80}" name="2029"/>
    <tableColumn id="7" xr3:uid="{DCB347B7-D405-4E4B-B602-6DD190418241}" name="203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F76273E-DED3-4A3A-9FA7-FE688CEE8F31}" name="Muthoot_1" displayName="Muthoot_1" ref="H25:N29" totalsRowShown="0" headerRowDxfId="1610" tableBorderDxfId="1609">
  <autoFilter ref="H25:N29" xr:uid="{AF76273E-DED3-4A3A-9FA7-FE688CEE8F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E9B341-FB3C-4B66-86A4-B947438960BD}" name="KPI"/>
    <tableColumn id="2" xr3:uid="{4A396F55-DF04-4751-905B-73BB52703C77}" name="2025"/>
    <tableColumn id="3" xr3:uid="{CB4E3BB4-60AF-457C-A6E8-912D565EDB60}" name="2026"/>
    <tableColumn id="4" xr3:uid="{42984994-8765-4260-88E0-5DFAB1490DD4}" name="2027"/>
    <tableColumn id="5" xr3:uid="{651C36BC-3E04-4A83-9018-CE2B51BEA606}" name="2028"/>
    <tableColumn id="6" xr3:uid="{3CFF9681-2A85-4D78-A2A3-047D2860ED22}" name="2029"/>
    <tableColumn id="7" xr3:uid="{930CA578-DE98-44F1-B2D2-BCF067629AC4}" name="203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FF0ECAA-1128-420F-8723-91EF35FFE4B9}" name="BajajFinserv_1" displayName="BajajFinserv_1" ref="H31:N35" totalsRowShown="0" headerRowDxfId="1608" tableBorderDxfId="1607">
  <autoFilter ref="H31:N35" xr:uid="{1FF0ECAA-1128-420F-8723-91EF35FFE4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BFFC238-F275-4EAC-8D70-D67AB0BF701F}" name="KPI"/>
    <tableColumn id="2" xr3:uid="{15C15B27-2482-44FB-9F5A-610F6B8142E2}" name="2025"/>
    <tableColumn id="3" xr3:uid="{70FDD4EA-38A6-4E24-9832-D44092CE9E35}" name="2026"/>
    <tableColumn id="4" xr3:uid="{084B44C5-A232-495A-ABB7-DA3B0A7DFA6F}" name="2027"/>
    <tableColumn id="5" xr3:uid="{9EDFBBEF-2739-4614-8EBD-FF00212D0B26}" name="2028"/>
    <tableColumn id="6" xr3:uid="{DDF5940B-CBB8-4D85-9405-16C5AD5FE90F}" name="2029"/>
    <tableColumn id="7" xr3:uid="{E6487DF1-DBDF-4F34-B20A-C952E571AF6B}" name="2030" dataDxfId="1606"/>
  </tableColumns>
  <tableStyleInfo name="TableStyleDark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69F396-C92B-47AA-807E-A8CC7EA08C7F}" name="BHFL_1" displayName="BHFL_1" ref="H37:N41" totalsRowShown="0" headerRowDxfId="1605" tableBorderDxfId="1604">
  <autoFilter ref="H37:N41" xr:uid="{5A69F396-C92B-47AA-807E-A8CC7EA08C7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68CD87-A228-49BB-9829-C34F5C191743}" name="KPI"/>
    <tableColumn id="2" xr3:uid="{7205A058-6261-49E1-8741-919D6E741A0D}" name="20252" dataDxfId="1603"/>
    <tableColumn id="3" xr3:uid="{1D62E519-03E3-47F8-A0B8-220BF784F7D2}" name="2026" dataDxfId="1602"/>
    <tableColumn id="4" xr3:uid="{EC51A131-FCD4-4244-9B5A-2A4AA425AB65}" name="2027" dataDxfId="1601"/>
    <tableColumn id="5" xr3:uid="{F3CEC669-B2F3-4B4B-87DC-5DE98DCCBEF8}" name="2028" dataDxfId="1600"/>
    <tableColumn id="6" xr3:uid="{6176BFFE-D006-4316-ABE4-D0D547549C6D}" name="2029" dataDxfId="1599"/>
    <tableColumn id="7" xr3:uid="{E3FDB2F8-282E-4B87-9428-D6940AA98ABE}" name="2030" dataDxfId="1598"/>
  </tableColumns>
  <tableStyleInfo name="TableStyleDark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CE5E4E6-7388-4819-8793-D8CCFB03D002}" name="Axis_Bank" displayName="Axis_Bank" ref="A28:F35" totalsRowShown="0" headerRowDxfId="1597" dataDxfId="1595" headerRowBorderDxfId="1596" tableBorderDxfId="1594" dataCellStyle="Percent">
  <autoFilter ref="A28:F35" xr:uid="{5CE5E4E6-7388-4819-8793-D8CCFB03D002}">
    <filterColumn colId="0" hiddenButton="1"/>
    <filterColumn colId="1" hiddenButton="1"/>
    <filterColumn colId="2" hiddenButton="1"/>
    <filterColumn colId="3" hiddenButton="1"/>
    <filterColumn colId="4" hiddenButton="1"/>
    <filterColumn colId="5" hiddenButton="1"/>
  </autoFilter>
  <tableColumns count="6">
    <tableColumn id="1" xr3:uid="{E9CCD122-6350-412C-A3A6-61A39E92B025}" name="KPI" dataDxfId="1593"/>
    <tableColumn id="2" xr3:uid="{30CA0A19-BB2F-40F8-9B49-FB6D121F9408}" name="2020" dataDxfId="1592" dataCellStyle="Percent"/>
    <tableColumn id="3" xr3:uid="{8ED5FE99-94CB-4FCB-91AF-F1EFEE21315F}" name="2021" dataDxfId="1591" dataCellStyle="Percent"/>
    <tableColumn id="4" xr3:uid="{B1183576-8B6D-4436-A1A6-D5642B21C263}" name="2022" dataDxfId="1590" dataCellStyle="Percent"/>
    <tableColumn id="5" xr3:uid="{FFF12E97-9636-4C47-A4C5-2EC9C136F06E}" name="2023" dataDxfId="1589" dataCellStyle="Percent"/>
    <tableColumn id="6" xr3:uid="{F2F4CB0C-9CC0-4F76-A36B-069EE9031C5E}" name="2024" dataDxfId="1588" dataCellStyle="Percent"/>
  </tableColumns>
  <tableStyleInfo name="TableStyleDark1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33C78C8-E787-413C-9B9C-F18B71600316}" name="Muthoot_Finance" displayName="Muthoot_Finance" ref="A37:F44" totalsRowShown="0" headerRowDxfId="1587" dataDxfId="1585" headerRowBorderDxfId="1586" tableBorderDxfId="1584" dataCellStyle="Percent">
  <autoFilter ref="A37:F44" xr:uid="{333C78C8-E787-413C-9B9C-F18B71600316}">
    <filterColumn colId="0" hiddenButton="1"/>
    <filterColumn colId="1" hiddenButton="1"/>
    <filterColumn colId="2" hiddenButton="1"/>
    <filterColumn colId="3" hiddenButton="1"/>
    <filterColumn colId="4" hiddenButton="1"/>
    <filterColumn colId="5" hiddenButton="1"/>
  </autoFilter>
  <tableColumns count="6">
    <tableColumn id="1" xr3:uid="{3B0A42F9-9047-4DBF-ADFF-387726D3AEB4}" name="KPI" dataDxfId="1583"/>
    <tableColumn id="2" xr3:uid="{411C2993-37BA-444C-99EE-674F8C4E6011}" name="2020" dataDxfId="1582" dataCellStyle="Percent"/>
    <tableColumn id="3" xr3:uid="{A8320E10-1360-4EC2-A9D7-13E1C98093CA}" name="2021" dataDxfId="1581" dataCellStyle="Percent"/>
    <tableColumn id="4" xr3:uid="{CFD5E033-E33C-43F9-9D4E-231AC7C6C1BB}" name="2022" dataDxfId="1580" dataCellStyle="Percent"/>
    <tableColumn id="5" xr3:uid="{4A62F3D2-6E51-49FB-8257-E9E23185E057}" name="2023" dataDxfId="1579" dataCellStyle="Percent"/>
    <tableColumn id="6" xr3:uid="{31D08F64-9068-4D6C-90EA-ACCB78493AA4}" name="2024" dataDxfId="1578" dataCellStyle="Percent"/>
  </tableColumns>
  <tableStyleInfo name="TableStyleDark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D2366A8-AEE5-46D1-8BFF-1EA402EFD7B7}" name="Bajaj_Finance" displayName="Bajaj_Finance" ref="H44:M51" totalsRowShown="0" headerRowDxfId="1577" dataDxfId="1575" headerRowBorderDxfId="1576" tableBorderDxfId="1574" dataCellStyle="Percent">
  <autoFilter ref="H44:M51" xr:uid="{3D2366A8-AEE5-46D1-8BFF-1EA402EFD7B7}">
    <filterColumn colId="0" hiddenButton="1"/>
    <filterColumn colId="1" hiddenButton="1"/>
    <filterColumn colId="2" hiddenButton="1"/>
    <filterColumn colId="3" hiddenButton="1"/>
    <filterColumn colId="4" hiddenButton="1"/>
    <filterColumn colId="5" hiddenButton="1"/>
  </autoFilter>
  <tableColumns count="6">
    <tableColumn id="1" xr3:uid="{AC9D1F38-EEC2-411C-9092-2D791A154949}" name="KPI" dataDxfId="1573"/>
    <tableColumn id="2" xr3:uid="{CC132C43-B4EA-408E-BD4D-10B7F3B72B35}" name="2020" dataDxfId="1572" dataCellStyle="Percent"/>
    <tableColumn id="3" xr3:uid="{69C27481-9C36-423C-A7F4-2970513277DF}" name="2021" dataDxfId="1571" dataCellStyle="Percent"/>
    <tableColumn id="4" xr3:uid="{1A2C5B44-F9A4-4C43-B16A-0CBAA23B5EF0}" name="2022" dataDxfId="1570" dataCellStyle="Percent"/>
    <tableColumn id="5" xr3:uid="{4C172901-5958-4075-AA5F-CFFD7DFBE64D}" name="2023" dataDxfId="1569" dataCellStyle="Percent"/>
    <tableColumn id="6" xr3:uid="{F20CFD5C-E15B-4FD5-9E9F-E97793DA51AC}" name="2024" dataDxfId="1568" dataCellStyle="Percent"/>
  </tableColumns>
  <tableStyleInfo name="TableStyleDark1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88BB8C5-1147-4111-A159-0E25852A6A8F}" name="Bajaj_Finserv" displayName="Bajaj_Finserv" ref="A46:F53" totalsRowShown="0" headerRowDxfId="1567" dataDxfId="1565" headerRowBorderDxfId="1566" tableBorderDxfId="1564" dataCellStyle="Percent">
  <autoFilter ref="A46:F53" xr:uid="{088BB8C5-1147-4111-A159-0E25852A6A8F}">
    <filterColumn colId="0" hiddenButton="1"/>
    <filterColumn colId="1" hiddenButton="1"/>
    <filterColumn colId="2" hiddenButton="1"/>
    <filterColumn colId="3" hiddenButton="1"/>
    <filterColumn colId="4" hiddenButton="1"/>
    <filterColumn colId="5" hiddenButton="1"/>
  </autoFilter>
  <tableColumns count="6">
    <tableColumn id="1" xr3:uid="{8DDD2138-6FD6-478F-B007-C28163378F94}" name="KPI" dataDxfId="1563"/>
    <tableColumn id="2" xr3:uid="{51F93961-5BD1-4437-893E-B594E3AB5B7A}" name="2020" dataDxfId="1562" dataCellStyle="Percent"/>
    <tableColumn id="3" xr3:uid="{8AE7AE26-230F-432B-AD1E-995149248212}" name="2021" dataDxfId="1561" dataCellStyle="Percent"/>
    <tableColumn id="4" xr3:uid="{4492622C-86DC-4696-A170-33B52D211712}" name="2022" dataDxfId="1560" dataCellStyle="Percent"/>
    <tableColumn id="5" xr3:uid="{8612221D-F097-4229-9E8D-9E147E3B14E5}" name="2023" dataDxfId="1559" dataCellStyle="Percent"/>
    <tableColumn id="6" xr3:uid="{57337A44-34FD-4880-8AF1-C5AB9A787331}" name="2024" dataDxfId="1558" dataCellStyle="Percent"/>
  </tableColumns>
  <tableStyleInfo name="TableStyleDark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0904325-A549-4353-8C17-E02165F82B3B}" name="Table24" displayName="Table24" ref="A1:G6" totalsRowShown="0" headerRowDxfId="1557" dataDxfId="1556" tableBorderDxfId="1555">
  <autoFilter ref="A1:G6" xr:uid="{F0904325-A549-4353-8C17-E02165F82B3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7D65FEA-3EF6-4B0F-948C-EBF601273654}" name="KPI" dataDxfId="1554"/>
    <tableColumn id="2" xr3:uid="{C38D79C0-79E5-418A-9729-34B275369E8C}" name="2020" dataDxfId="1553"/>
    <tableColumn id="3" xr3:uid="{F560B7C9-1A3C-4A7B-8028-A8E766E791F2}" name="2021" dataDxfId="1552"/>
    <tableColumn id="4" xr3:uid="{02FE889D-4153-43C8-8DC2-519975445EB2}" name="2022" dataDxfId="1551"/>
    <tableColumn id="5" xr3:uid="{65D81E34-496E-4A9F-89ED-6F3873CEF249}" name="2023" dataDxfId="1550"/>
    <tableColumn id="6" xr3:uid="{02506028-51F6-4028-9DF5-29337867B666}" name="2024" dataDxfId="1549"/>
    <tableColumn id="7" xr3:uid="{A8EA46DC-B919-4E6C-B639-DEFD19F5860E}" name="2025" dataDxfId="1548"/>
  </tableColumns>
  <tableStyleInfo name="TableStyleDark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AF7AE5E-893A-4E33-9168-75CA5D9C11D5}" name="Table25" displayName="Table25" ref="A8:F13" totalsRowShown="0" headerRowDxfId="1547" dataDxfId="1546" tableBorderDxfId="1545">
  <autoFilter ref="A8:F13" xr:uid="{4AF7AE5E-893A-4E33-9168-75CA5D9C11D5}">
    <filterColumn colId="0" hiddenButton="1"/>
    <filterColumn colId="1" hiddenButton="1"/>
    <filterColumn colId="2" hiddenButton="1"/>
    <filterColumn colId="3" hiddenButton="1"/>
    <filterColumn colId="4" hiddenButton="1"/>
    <filterColumn colId="5" hiddenButton="1"/>
  </autoFilter>
  <tableColumns count="6">
    <tableColumn id="1" xr3:uid="{EADFE8C9-808E-4397-83A1-42ED820503D5}" name="Forecasts" dataDxfId="1544"/>
    <tableColumn id="2" xr3:uid="{BC6A9461-C7F5-407F-8AD3-A0FB7C5D5B17}" name="2026" dataDxfId="1543"/>
    <tableColumn id="3" xr3:uid="{D7FC3805-D889-4295-B02E-7F11E080E6D7}" name="2027" dataDxfId="1542"/>
    <tableColumn id="4" xr3:uid="{E1C0F180-CBC8-431A-894E-5DBFCCDE27D9}" name="2028" dataDxfId="1541"/>
    <tableColumn id="5" xr3:uid="{C54AC25C-CD7F-4CBC-96FE-F6724BE1B881}" name="2029" dataDxfId="1540"/>
    <tableColumn id="6" xr3:uid="{145346C8-F0A7-4D70-B0FA-543526EB5154}" name="2030" dataDxfId="1539"/>
  </tableColumns>
  <tableStyleInfo name="TableStyleDark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D136E-D39F-4E78-8BC8-0BED1D4FA250}" name="Table2429" displayName="Table2429" ref="A15:F20" totalsRowShown="0" headerRowDxfId="1538" dataDxfId="1537" tableBorderDxfId="1536">
  <autoFilter ref="A15:F20" xr:uid="{A93D136E-D39F-4E78-8BC8-0BED1D4FA250}">
    <filterColumn colId="0" hiddenButton="1"/>
    <filterColumn colId="1" hiddenButton="1"/>
    <filterColumn colId="2" hiddenButton="1"/>
    <filterColumn colId="3" hiddenButton="1"/>
    <filterColumn colId="4" hiddenButton="1"/>
    <filterColumn colId="5" hiddenButton="1"/>
  </autoFilter>
  <tableColumns count="6">
    <tableColumn id="1" xr3:uid="{2B002AE7-BBB9-4B54-8D41-3DF3D194D1B7}" name="KPI" dataDxfId="1535"/>
    <tableColumn id="2" xr3:uid="{F30D1C61-1AD8-4D3C-ADFE-3764B485AB30}" name="2020" dataDxfId="1534"/>
    <tableColumn id="3" xr3:uid="{1B0606A5-50C1-466B-A275-77B048A046E5}" name="2021" dataDxfId="1533"/>
    <tableColumn id="4" xr3:uid="{FCB1F58F-FA9A-49FA-AB28-10219D56BED6}" name="2022" dataDxfId="1532"/>
    <tableColumn id="5" xr3:uid="{D7490C8B-907C-45F4-8423-8AD3141347B6}" name="2023" dataDxfId="1531"/>
    <tableColumn id="6" xr3:uid="{81CD2CEC-C4EC-4B43-9753-A97859F28244}" name="2024" dataDxfId="1530"/>
  </tableColumns>
  <tableStyleInfo name="TableStyleDark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B4640FB-CE6D-48CF-98BB-AFCE51B0EB49}" name="Table2530" displayName="Table2530" ref="A22:G27" totalsRowShown="0" headerRowDxfId="1529" dataDxfId="1528" tableBorderDxfId="1527">
  <autoFilter ref="A22:G27" xr:uid="{BB4640FB-CE6D-48CF-98BB-AFCE51B0EB4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FE50A09-27BF-4E71-874D-2E1F194F6ABD}" name="Forecasts" dataDxfId="1526"/>
    <tableColumn id="2" xr3:uid="{383DA38F-8F31-4220-B511-27B325D73D20}" name="2025" dataDxfId="1525"/>
    <tableColumn id="3" xr3:uid="{2B064278-B3C3-4004-9672-47AAAE61685A}" name="2026" dataDxfId="1524"/>
    <tableColumn id="4" xr3:uid="{6946C419-3A9F-4F09-B7DE-17BEE099F16C}" name="2027" dataDxfId="1523"/>
    <tableColumn id="5" xr3:uid="{11E2E516-9E0E-4DAD-BCCC-A386EAD06565}" name="2028" dataDxfId="1522"/>
    <tableColumn id="6" xr3:uid="{08154308-1611-46A8-AD19-D953C0FB4093}" name="2029" dataDxfId="1521"/>
    <tableColumn id="7" xr3:uid="{FAC8E64B-9809-4531-810C-492D42B24849}" name="2030" dataDxfId="1520"/>
  </tableColumns>
  <tableStyleInfo name="TableStyleDark1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EEE536B-883F-48C1-8B61-9BD5F13351B3}" name="Table2431" displayName="Table2431" ref="I1:O6" totalsRowShown="0" headerRowDxfId="1519" dataDxfId="1518" tableBorderDxfId="1517">
  <autoFilter ref="I1:O6" xr:uid="{5EEE536B-883F-48C1-8B61-9BD5F13351B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4ADEBEA-826E-4BBE-ACEF-A0537CEF7E1C}" name="KPI" dataDxfId="1516"/>
    <tableColumn id="2" xr3:uid="{B5B37F95-A41C-4E12-9937-7E39E62A965E}" name="2020" dataDxfId="1515"/>
    <tableColumn id="3" xr3:uid="{CEF314C1-5D62-4796-9D82-6FE38D6D34B1}" name="2021" dataDxfId="1514"/>
    <tableColumn id="4" xr3:uid="{76DD0114-397D-485A-BB52-C67F598AFA9F}" name="2022" dataDxfId="1513"/>
    <tableColumn id="5" xr3:uid="{173FB745-05A7-4958-8C65-37DF5831DA7B}" name="2023" dataDxfId="1512"/>
    <tableColumn id="6" xr3:uid="{43E9AE2C-C506-4B51-A82A-848E85DF4641}" name="2024" dataDxfId="1511"/>
    <tableColumn id="7" xr3:uid="{E577F2C8-21F2-407E-9726-760569ED3D6B}" name="2025" dataDxfId="1510"/>
  </tableColumns>
  <tableStyleInfo name="TableStyleDark1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4C3D861-0E3A-47CA-BC56-FC406AD8E648}" name="Table2532" displayName="Table2532" ref="I8:N13" totalsRowShown="0" headerRowDxfId="1509" dataDxfId="1508" tableBorderDxfId="1507">
  <autoFilter ref="I8:N13" xr:uid="{F4C3D861-0E3A-47CA-BC56-FC406AD8E648}">
    <filterColumn colId="0" hiddenButton="1"/>
    <filterColumn colId="1" hiddenButton="1"/>
    <filterColumn colId="2" hiddenButton="1"/>
    <filterColumn colId="3" hiddenButton="1"/>
    <filterColumn colId="4" hiddenButton="1"/>
    <filterColumn colId="5" hiddenButton="1"/>
  </autoFilter>
  <tableColumns count="6">
    <tableColumn id="1" xr3:uid="{40C49455-9B95-4DB0-8BBA-755C7B33B2E0}" name="Forecasts" dataDxfId="1506"/>
    <tableColumn id="2" xr3:uid="{623087C2-A220-4964-A19F-08961BAEDF70}" name="2026" dataDxfId="1505"/>
    <tableColumn id="3" xr3:uid="{E6563CEB-4606-4591-BEC5-C4DE5EDD193E}" name="2027" dataDxfId="1504"/>
    <tableColumn id="4" xr3:uid="{8D5F1998-825A-4342-A3B1-826B66842673}" name="2028" dataDxfId="1503"/>
    <tableColumn id="5" xr3:uid="{D7002F05-3C44-4EB6-BAAE-44D7D7F42DDF}" name="2029" dataDxfId="1502"/>
    <tableColumn id="6" xr3:uid="{F2537C13-60D1-4C32-8290-2C14A84D4809}" name="2030" dataDxfId="1501"/>
  </tableColumns>
  <tableStyleInfo name="TableStyleDark10"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009D5F6-3E33-41C7-A12A-27D61CA7705D}" name="Table243137" displayName="Table243137" ref="I15:O20" totalsRowShown="0" headerRowDxfId="1500" dataDxfId="1499" tableBorderDxfId="1498">
  <autoFilter ref="I15:O20" xr:uid="{C009D5F6-3E33-41C7-A12A-27D61CA7705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A99C764-239D-4906-B59B-700CCCBAEB6E}" name="KPI" dataDxfId="1497"/>
    <tableColumn id="2" xr3:uid="{3F748E06-6DB0-4DDA-84A6-14778977EE44}" name="2020" dataDxfId="1496"/>
    <tableColumn id="3" xr3:uid="{BC266632-DE89-4860-A119-60390A4A2A10}" name="2021" dataDxfId="1495"/>
    <tableColumn id="4" xr3:uid="{4264B83F-E210-4788-B3A5-7C795808A74B}" name="2022" dataDxfId="1494"/>
    <tableColumn id="5" xr3:uid="{1A2E912C-2CCB-43FD-B265-C312C71B1790}" name="2023" dataDxfId="1493"/>
    <tableColumn id="6" xr3:uid="{091ED5F6-680B-4869-968D-3569C896EDEA}" name="2024" dataDxfId="1492"/>
    <tableColumn id="7" xr3:uid="{963374CC-2A3F-456C-B8E7-B933D0F4B07F}" name="2025" dataDxfId="1491"/>
  </tableColumns>
  <tableStyleInfo name="TableStyleDark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ACCD6A2-D3C9-40B5-8A5F-CBEBC1B866E0}" name="Table253238" displayName="Table253238" ref="I22:N27" totalsRowShown="0" headerRowDxfId="1490" dataDxfId="1489" tableBorderDxfId="1488">
  <autoFilter ref="I22:N27" xr:uid="{AACCD6A2-D3C9-40B5-8A5F-CBEBC1B866E0}">
    <filterColumn colId="0" hiddenButton="1"/>
    <filterColumn colId="1" hiddenButton="1"/>
    <filterColumn colId="2" hiddenButton="1"/>
    <filterColumn colId="3" hiddenButton="1"/>
    <filterColumn colId="4" hiddenButton="1"/>
    <filterColumn colId="5" hiddenButton="1"/>
  </autoFilter>
  <tableColumns count="6">
    <tableColumn id="1" xr3:uid="{8AECCDDC-D253-406D-A7BE-546B394E1271}" name="Forecasts" dataDxfId="1487"/>
    <tableColumn id="2" xr3:uid="{41EAD114-886C-4F58-B5BA-767563803E12}" name="2026" dataDxfId="1486"/>
    <tableColumn id="3" xr3:uid="{8E648B05-231E-406D-8C3C-BA27C2417ED3}" name="2027" dataDxfId="1485"/>
    <tableColumn id="4" xr3:uid="{CA36A7E5-CFBD-4ED2-8E12-A190DF7549AD}" name="2028" dataDxfId="1484"/>
    <tableColumn id="5" xr3:uid="{04A8165C-FFA7-4355-A566-594A09AB2CFE}" name="2029" dataDxfId="1483"/>
    <tableColumn id="6" xr3:uid="{1E4685DB-3B7A-476C-8E7B-C13C81FEE416}" name="2030" dataDxfId="1482"/>
  </tableColumns>
  <tableStyleInfo name="TableStyleDark1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859B13-0B2C-4BEA-8C85-32DD7D8E3DCC}" name="Table24313739" displayName="Table24313739" ref="Q1:W6" totalsRowShown="0" headerRowDxfId="1481" dataDxfId="1480" tableBorderDxfId="1479">
  <autoFilter ref="Q1:W6" xr:uid="{27859B13-0B2C-4BEA-8C85-32DD7D8E3DC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E487CE-FCFF-46B0-B656-1A0ED192BF87}" name="KPI" dataDxfId="1478"/>
    <tableColumn id="2" xr3:uid="{DB13FC33-3BD2-40D5-9E87-CB373C8DE63D}" name="2020" dataDxfId="1477"/>
    <tableColumn id="3" xr3:uid="{D3EEC284-9AA1-4834-BC44-465391B9962F}" name="2021" dataDxfId="1476"/>
    <tableColumn id="4" xr3:uid="{E5587691-84EA-486B-B429-FB44D200173F}" name="2022" dataDxfId="1475"/>
    <tableColumn id="5" xr3:uid="{05877085-C17B-46F4-A952-E5DAE77B2CE0}" name="2023" dataDxfId="1474"/>
    <tableColumn id="6" xr3:uid="{3D62C3EF-B975-4778-8A08-0C3DD5A115EE}" name="2024" dataDxfId="1473"/>
    <tableColumn id="7" xr3:uid="{4F8BC5A4-72C8-4306-A1D7-1B5CE6D7EAAC}" name="2025" dataDxfId="1472"/>
  </tableColumns>
  <tableStyleInfo name="TableStyleDark10"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39A85FE-3C0C-4082-8452-ED0942F1E0B1}" name="Table253240" displayName="Table253240" ref="Q8:V13" totalsRowShown="0" headerRowDxfId="1471" dataDxfId="1470" tableBorderDxfId="1469">
  <autoFilter ref="Q8:V13" xr:uid="{A39A85FE-3C0C-4082-8452-ED0942F1E0B1}">
    <filterColumn colId="0" hiddenButton="1"/>
    <filterColumn colId="1" hiddenButton="1"/>
    <filterColumn colId="2" hiddenButton="1"/>
    <filterColumn colId="3" hiddenButton="1"/>
    <filterColumn colId="4" hiddenButton="1"/>
    <filterColumn colId="5" hiddenButton="1"/>
  </autoFilter>
  <tableColumns count="6">
    <tableColumn id="1" xr3:uid="{3ED42302-9530-4951-AAFD-2D48F646069A}" name="Forecasts" dataDxfId="1468"/>
    <tableColumn id="2" xr3:uid="{738A2AC0-76CF-4137-8C05-F3190B8623CC}" name="2026" dataDxfId="1467"/>
    <tableColumn id="3" xr3:uid="{C63F1013-30C4-480C-8B28-3458F91434E1}" name="2027" dataDxfId="1466"/>
    <tableColumn id="4" xr3:uid="{4F760126-055B-498E-8A44-10348D676BCF}" name="2028" dataDxfId="1465"/>
    <tableColumn id="5" xr3:uid="{2EC4181A-D585-497C-AC63-1EB76FD0264F}" name="2029" dataDxfId="1464"/>
    <tableColumn id="6" xr3:uid="{28B8E363-D101-4288-AFB3-5B6B99E028A9}" name="2030" dataDxfId="1463"/>
  </tableColumns>
  <tableStyleInfo name="TableStyleDark10"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25F0FDA-9FA7-49E9-B556-3F5D5EE09CFA}" name="Table242943" displayName="Table242943" ref="Q15:V20" totalsRowShown="0" headerRowDxfId="1462" dataDxfId="1461" tableBorderDxfId="1460">
  <autoFilter ref="Q15:V20" xr:uid="{725F0FDA-9FA7-49E9-B556-3F5D5EE09CFA}">
    <filterColumn colId="0" hiddenButton="1"/>
    <filterColumn colId="1" hiddenButton="1"/>
    <filterColumn colId="2" hiddenButton="1"/>
    <filterColumn colId="3" hiddenButton="1"/>
    <filterColumn colId="4" hiddenButton="1"/>
    <filterColumn colId="5" hiddenButton="1"/>
  </autoFilter>
  <tableColumns count="6">
    <tableColumn id="1" xr3:uid="{291C54AE-1DBA-46AF-8A79-8824CA7A74B7}" name="KPI" dataDxfId="1459"/>
    <tableColumn id="2" xr3:uid="{93E68C0E-BE81-4156-99C4-67397515D1F0}" name="2020" dataDxfId="1458"/>
    <tableColumn id="3" xr3:uid="{3AC5BFC6-1128-47C8-946F-9AD8E262D01B}" name="2021" dataDxfId="1457"/>
    <tableColumn id="4" xr3:uid="{A95E99C3-54C1-4CEB-8469-BA9D16B3672D}" name="2022" dataDxfId="1456"/>
    <tableColumn id="5" xr3:uid="{10C7A139-FDAE-4E80-A7F5-264AFB71C2FF}" name="2023" dataDxfId="1455"/>
    <tableColumn id="6" xr3:uid="{53DA2416-173D-4807-BDB1-80C879C29C96}" name="2024" dataDxfId="1454"/>
  </tableColumns>
  <tableStyleInfo name="TableStyleDark10"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B342BA1-33F9-4B09-AFB0-B9CFCBB804E0}" name="Table253044" displayName="Table253044" ref="Q22:W27" totalsRowShown="0" headerRowDxfId="1453" dataDxfId="1452" tableBorderDxfId="1451">
  <autoFilter ref="Q22:W27" xr:uid="{CB342BA1-33F9-4B09-AFB0-B9CFCBB804E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A93113-2E88-490A-A910-7149B1DB7028}" name="Forecasts" dataDxfId="1450"/>
    <tableColumn id="2" xr3:uid="{6D07D777-9682-43F0-AED3-CAAB15492BC7}" name="2025" dataDxfId="1449"/>
    <tableColumn id="3" xr3:uid="{DC2CC557-E799-4587-9221-3A197FF8744E}" name="2026" dataDxfId="1448"/>
    <tableColumn id="4" xr3:uid="{CEA7B6E6-D1BD-48A6-95D4-FFC402A7AF24}" name="2027" dataDxfId="1447"/>
    <tableColumn id="5" xr3:uid="{B714DDAF-A272-4489-8328-14C61069C535}" name="2028" dataDxfId="1446"/>
    <tableColumn id="6" xr3:uid="{18ACA59E-7219-43D6-9E19-281E88B96DBA}" name="2029" dataDxfId="1445"/>
    <tableColumn id="7" xr3:uid="{7CE80154-08CC-4F19-A74F-68EF32674931}" name="2030" dataDxfId="1444"/>
  </tableColumns>
  <tableStyleInfo name="TableStyleDark10"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BA5AECC-D6E2-4562-A12D-3344D0859964}" name="Table45" displayName="Table45" ref="A1:G10" totalsRowShown="0" headerRowDxfId="1443" dataDxfId="1442" tableBorderDxfId="1441">
  <autoFilter ref="A1:G10" xr:uid="{FBA5AECC-D6E2-4562-A12D-3344D085996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C1E013E-4357-433D-94E6-5EBBB6472845}" name="KPI" dataDxfId="1440"/>
    <tableColumn id="2" xr3:uid="{55658ED6-C569-4F5D-A7B4-02383D8C669B}" name="2020" dataDxfId="1439"/>
    <tableColumn id="3" xr3:uid="{4A40248D-AC4B-4A71-929B-31FD210E7BE6}" name="2021" dataDxfId="1438"/>
    <tableColumn id="4" xr3:uid="{3B468660-1DBA-4E71-9B83-380FC54FCEEC}" name="2022" dataDxfId="1437"/>
    <tableColumn id="5" xr3:uid="{E6F6D9CF-759D-4BF2-8DD4-0467C57DD74E}" name="2023" dataDxfId="1436"/>
    <tableColumn id="6" xr3:uid="{6B77B962-F28E-42A6-BB19-2A43EE9C377A}" name="2024" dataDxfId="1435"/>
    <tableColumn id="7" xr3:uid="{ABF34C05-9515-41DC-8C94-C750D0B598D0}" name="2025" dataDxfId="1434"/>
  </tableColumns>
  <tableStyleInfo name="TableStyleDark10"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50D7991-8DF2-4100-BE20-E2E170BCA8D4}" name="Table46" displayName="Table46" ref="A12:F18" totalsRowShown="0" headerRowDxfId="1433" dataDxfId="1432" tableBorderDxfId="1431">
  <autoFilter ref="A12:F18" xr:uid="{850D7991-8DF2-4100-BE20-E2E170BCA8D4}">
    <filterColumn colId="0" hiddenButton="1"/>
    <filterColumn colId="1" hiddenButton="1"/>
    <filterColumn colId="2" hiddenButton="1"/>
    <filterColumn colId="3" hiddenButton="1"/>
    <filterColumn colId="4" hiddenButton="1"/>
    <filterColumn colId="5" hiddenButton="1"/>
  </autoFilter>
  <tableColumns count="6">
    <tableColumn id="1" xr3:uid="{BC363A3C-7783-4DE2-83A6-63FC415B7ED6}" name="Forecasts" dataDxfId="1430"/>
    <tableColumn id="2" xr3:uid="{3CCB227D-9071-4D59-B2D5-98BE8BDE4F26}" name="2026" dataDxfId="1429"/>
    <tableColumn id="3" xr3:uid="{FF59050F-D78E-4F8F-91B1-ABB6FD332D3E}" name="2027" dataDxfId="1428"/>
    <tableColumn id="4" xr3:uid="{D46595EB-531C-42C5-9C54-6D1EC06C48AD}" name="2028" dataDxfId="1427"/>
    <tableColumn id="5" xr3:uid="{EE352651-B05D-47DB-96D7-608391AD7877}" name="2029" dataDxfId="1426"/>
    <tableColumn id="6" xr3:uid="{3250096F-3CF8-4DF5-84CC-4FEA46DF0BAF}" name="2030" dataDxfId="1425"/>
  </tableColumns>
  <tableStyleInfo name="TableStyleDark10"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7C2227-1526-454B-B3D1-F20597AF50BD}" name="Table458" displayName="Table458" ref="A20:G29" totalsRowShown="0" headerRowDxfId="1424" dataDxfId="1423" tableBorderDxfId="1422">
  <autoFilter ref="A20:G29" xr:uid="{E37C2227-1526-454B-B3D1-F20597AF50B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96DF165-3C6C-4456-A359-F3730D09617A}" name="KPI" dataDxfId="1421"/>
    <tableColumn id="2" xr3:uid="{EA170494-CB6F-4649-92B1-C6484F5C9835}" name="2020" dataDxfId="1420"/>
    <tableColumn id="3" xr3:uid="{AB7E2F1E-B2E3-4AFE-969B-28163C3DF11B}" name="2021" dataDxfId="1419"/>
    <tableColumn id="4" xr3:uid="{9C68C3C3-B96B-4B00-996F-2FA5826539C7}" name="2022" dataDxfId="1418"/>
    <tableColumn id="5" xr3:uid="{BB03847A-4433-4621-9714-B7851CECD69B}" name="2023" dataDxfId="1417"/>
    <tableColumn id="6" xr3:uid="{80E6580F-6B71-4065-9F55-7BF5BB0CC3D3}" name="2024" dataDxfId="1416"/>
    <tableColumn id="7" xr3:uid="{D4373816-2D65-4F1B-A250-86DF6442EF4A}" name="2025" dataDxfId="1415"/>
  </tableColumns>
  <tableStyleInfo name="TableStyleDark10"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F9EF00-B9D6-49EA-AFC0-DC4290B25A9B}" name="Table469" displayName="Table469" ref="A31:F37" totalsRowShown="0" headerRowDxfId="1414" dataDxfId="1413" tableBorderDxfId="1412">
  <autoFilter ref="A31:F37" xr:uid="{6EF9EF00-B9D6-49EA-AFC0-DC4290B25A9B}">
    <filterColumn colId="0" hiddenButton="1"/>
    <filterColumn colId="1" hiddenButton="1"/>
    <filterColumn colId="2" hiddenButton="1"/>
    <filterColumn colId="3" hiddenButton="1"/>
    <filterColumn colId="4" hiddenButton="1"/>
    <filterColumn colId="5" hiddenButton="1"/>
  </autoFilter>
  <tableColumns count="6">
    <tableColumn id="1" xr3:uid="{45C3CDF1-7733-4268-AA31-050852245B55}" name="Forecasts" dataDxfId="1411"/>
    <tableColumn id="2" xr3:uid="{CCC6548C-2C0C-4F42-9050-4D5E977F8856}" name="2026" dataDxfId="1410"/>
    <tableColumn id="3" xr3:uid="{4044A841-74F0-4CF8-A254-DFB1E3ECD606}" name="2027" dataDxfId="1409"/>
    <tableColumn id="4" xr3:uid="{7391C958-C89C-460E-B254-2A662164BFB1}" name="2028" dataDxfId="1408"/>
    <tableColumn id="5" xr3:uid="{E65C1C29-A248-458A-978C-62511BF8B8B9}" name="2029" dataDxfId="1407"/>
    <tableColumn id="6" xr3:uid="{65F72494-BC64-4C42-9B04-985521D4BFDF}" name="2030" dataDxfId="1406"/>
  </tableColumns>
  <tableStyleInfo name="TableStyleDark10"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A3F9DA2-26DE-48EB-84BB-DD3419B16021}" name="Table45834" displayName="Table45834" ref="A39:G48" totalsRowShown="0" headerRowDxfId="1405" dataDxfId="1404" tableBorderDxfId="1403">
  <autoFilter ref="A39:G48" xr:uid="{BA3F9DA2-26DE-48EB-84BB-DD3419B1602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D749F78-5B6A-4CB2-880E-8896F6ACF364}" name="KPI" dataDxfId="1402"/>
    <tableColumn id="2" xr3:uid="{40D54F9B-5D4A-4215-AF71-040B73C8810E}" name="2020" dataDxfId="1401"/>
    <tableColumn id="3" xr3:uid="{D8CB2648-7453-44C0-A08C-616B4FC8BD4F}" name="2021" dataDxfId="1400"/>
    <tableColumn id="4" xr3:uid="{5DB7850E-FE82-4C95-A7B0-2E1439DB69DC}" name="2022" dataDxfId="1399"/>
    <tableColumn id="5" xr3:uid="{AE1993B5-F974-4A7A-9C22-94DFB682569D}" name="2023" dataDxfId="1398"/>
    <tableColumn id="6" xr3:uid="{5085B178-CDE6-4E23-AAEF-48E03ABBBAFA}" name="2024" dataDxfId="1397"/>
    <tableColumn id="7" xr3:uid="{5022746E-D277-4FCF-817A-66AD13356736}" name="2025" dataDxfId="1396"/>
  </tableColumns>
  <tableStyleInfo name="TableStyleDark10"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5148FBE-5236-4CBE-A6E5-DE9C4750C3DA}" name="Table46935" displayName="Table46935" ref="A50:F56" totalsRowShown="0" headerRowDxfId="1395" dataDxfId="1394" tableBorderDxfId="1393">
  <autoFilter ref="A50:F56" xr:uid="{F5148FBE-5236-4CBE-A6E5-DE9C4750C3DA}">
    <filterColumn colId="0" hiddenButton="1"/>
    <filterColumn colId="1" hiddenButton="1"/>
    <filterColumn colId="2" hiddenButton="1"/>
    <filterColumn colId="3" hiddenButton="1"/>
    <filterColumn colId="4" hiddenButton="1"/>
    <filterColumn colId="5" hiddenButton="1"/>
  </autoFilter>
  <tableColumns count="6">
    <tableColumn id="1" xr3:uid="{54E0FA0A-80AB-4CE5-946E-D3CB49A7AA66}" name="Forecasts" dataDxfId="1392"/>
    <tableColumn id="2" xr3:uid="{731AB250-506F-4927-8CF9-0D9E97387846}" name="2026" dataDxfId="1391"/>
    <tableColumn id="3" xr3:uid="{99BEAF62-7067-4E14-BE76-25617C980D9D}" name="2027" dataDxfId="1390"/>
    <tableColumn id="4" xr3:uid="{671AFE93-ACD7-4CB4-BCF7-D9AEA4C4BBBC}" name="2028" dataDxfId="1389"/>
    <tableColumn id="5" xr3:uid="{F633CEC0-23D5-4903-978F-D8E92EF92D3E}" name="2029" dataDxfId="1388"/>
    <tableColumn id="6" xr3:uid="{A2091553-D00A-496D-B66D-A550F6AA1345}" name="2030" dataDxfId="1387"/>
  </tableColumns>
  <tableStyleInfo name="TableStyleDark10"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F0AD473-97DC-43DA-84AA-ABB183B79CAA}" name="Table4551" displayName="Table4551" ref="I1:O10" totalsRowShown="0" headerRowDxfId="1386" dataDxfId="1385" tableBorderDxfId="1384">
  <autoFilter ref="I1:O10" xr:uid="{3F0AD473-97DC-43DA-84AA-ABB183B79CA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5F3210-22CC-4AD1-BFCB-15961F1F69F5}" name="KPI" dataDxfId="1383"/>
    <tableColumn id="2" xr3:uid="{0D073EC1-0E1A-48A7-9228-4F47E0AED8FB}" name="2020" dataDxfId="1382"/>
    <tableColumn id="3" xr3:uid="{201C5D1D-8825-473A-B16F-78F5FD8C27EC}" name="2021" dataDxfId="1381"/>
    <tableColumn id="4" xr3:uid="{35CD7278-03ED-41B1-AF73-BA0F0FB3605D}" name="2022" dataDxfId="1380"/>
    <tableColumn id="5" xr3:uid="{3F305C6A-D363-4F1C-971F-496527B274A1}" name="2023" dataDxfId="1379"/>
    <tableColumn id="6" xr3:uid="{397D4472-876D-41BB-8871-DEE7C880D50E}" name="2024" dataDxfId="1378"/>
    <tableColumn id="7" xr3:uid="{5695461F-CE09-4CFB-B8FC-AE9C5E8004F9}" name="2025" dataDxfId="1377"/>
  </tableColumns>
  <tableStyleInfo name="TableStyleDark10"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80F8E35-8E2B-4078-AEE1-ED83282558FF}" name="Table4652" displayName="Table4652" ref="I12:N18" totalsRowShown="0" headerRowDxfId="1376" dataDxfId="1375" tableBorderDxfId="1374">
  <autoFilter ref="I12:N18" xr:uid="{180F8E35-8E2B-4078-AEE1-ED83282558FF}">
    <filterColumn colId="0" hiddenButton="1"/>
    <filterColumn colId="1" hiddenButton="1"/>
    <filterColumn colId="2" hiddenButton="1"/>
    <filterColumn colId="3" hiddenButton="1"/>
    <filterColumn colId="4" hiddenButton="1"/>
    <filterColumn colId="5" hiddenButton="1"/>
  </autoFilter>
  <tableColumns count="6">
    <tableColumn id="1" xr3:uid="{759DB809-867E-449D-8775-C1055CFBDCB6}" name="Forecasts" dataDxfId="1373"/>
    <tableColumn id="2" xr3:uid="{8B69BE36-8785-4789-8E3F-AC2AE2CC1586}" name="2026" dataDxfId="1372"/>
    <tableColumn id="3" xr3:uid="{154FB0AD-A2CF-41F5-B23E-BC80251484FD}" name="2027" dataDxfId="1371"/>
    <tableColumn id="4" xr3:uid="{7589591C-41BC-49E1-BADE-ED86B6B7988C}" name="2028" dataDxfId="1370"/>
    <tableColumn id="5" xr3:uid="{0CADE240-FC46-4187-8749-6ED105B4AE35}" name="2029" dataDxfId="1369"/>
    <tableColumn id="6" xr3:uid="{118F7552-500D-4AAA-8D2E-6A6AA04F9DB1}" name="2030" dataDxfId="1368"/>
  </tableColumns>
  <tableStyleInfo name="TableStyleDark10"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9903612-E5A1-4DC7-9A00-3106F981F601}" name="Table45853" displayName="Table45853" ref="I20:O29" totalsRowShown="0" headerRowDxfId="1367" dataDxfId="1366" tableBorderDxfId="1365">
  <autoFilter ref="I20:O29" xr:uid="{49903612-E5A1-4DC7-9A00-3106F981F60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2654681-4405-42D3-B636-5822BD618F95}" name="KPI" dataDxfId="1364"/>
    <tableColumn id="2" xr3:uid="{195731E3-F5ED-47A4-B9B5-71387A4AFC62}" name="2020" dataDxfId="1363"/>
    <tableColumn id="3" xr3:uid="{BBE35486-62CB-42DD-8080-4393608A495E}" name="2021" dataDxfId="1362"/>
    <tableColumn id="4" xr3:uid="{30D572B6-7027-43A4-A2F4-7B82CCB6A124}" name="2022" dataDxfId="1361"/>
    <tableColumn id="5" xr3:uid="{60D4B3E1-3B71-4745-9E6D-AC0ECED73972}" name="2023" dataDxfId="1360"/>
    <tableColumn id="6" xr3:uid="{93D40490-5365-4B62-95DA-55102BEDC03C}" name="2024" dataDxfId="1359"/>
    <tableColumn id="7" xr3:uid="{ABA8481B-1DA0-4882-ACD5-E8092FA88100}" name="2025" dataDxfId="1358"/>
  </tableColumns>
  <tableStyleInfo name="TableStyleDark10"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EEE9495-B631-48FF-949E-8512F2AE6763}" name="Table46954" displayName="Table46954" ref="I31:N37" totalsRowShown="0" headerRowDxfId="1357" dataDxfId="1356" tableBorderDxfId="1355">
  <autoFilter ref="I31:N37" xr:uid="{AEEE9495-B631-48FF-949E-8512F2AE6763}">
    <filterColumn colId="0" hiddenButton="1"/>
    <filterColumn colId="1" hiddenButton="1"/>
    <filterColumn colId="2" hiddenButton="1"/>
    <filterColumn colId="3" hiddenButton="1"/>
    <filterColumn colId="4" hiddenButton="1"/>
    <filterColumn colId="5" hiddenButton="1"/>
  </autoFilter>
  <tableColumns count="6">
    <tableColumn id="1" xr3:uid="{E24C24A5-4ECB-46BF-9B43-DD4B146E9B08}" name="Forecasts" dataDxfId="1354"/>
    <tableColumn id="2" xr3:uid="{49F47C81-9963-4C3D-8257-348F90C8BDE8}" name="2026" dataDxfId="1353"/>
    <tableColumn id="3" xr3:uid="{67991B42-FFBA-4708-B4AA-A1F7D8AF8240}" name="2027" dataDxfId="1352"/>
    <tableColumn id="4" xr3:uid="{B9ED6B3D-858A-490E-8B54-6CF5FD7445E7}" name="2028" dataDxfId="1351"/>
    <tableColumn id="5" xr3:uid="{1F08F326-1FBC-4A7A-A9EF-F9BFEDEFF38E}" name="2029" dataDxfId="1350"/>
    <tableColumn id="6" xr3:uid="{278BD320-CFDB-4B29-A653-8EF34CD3D7E0}" name="2030" dataDxfId="1349"/>
  </tableColumns>
  <tableStyleInfo name="TableStyleDark10"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7E08F5C-51DD-4AD1-809A-C8612BF05CA3}" name="Table4583455" displayName="Table4583455" ref="I39:O48" totalsRowShown="0" headerRowDxfId="1348" dataDxfId="1347" tableBorderDxfId="1346">
  <autoFilter ref="I39:O48" xr:uid="{F7E08F5C-51DD-4AD1-809A-C8612BF05CA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C781F1-341D-40F5-9BCC-98A86E7B6B0E}" name="KPI" dataDxfId="1345"/>
    <tableColumn id="2" xr3:uid="{C9E050AE-FB49-46CC-AB21-8FF33A2A4D32}" name="2020" dataDxfId="1344"/>
    <tableColumn id="3" xr3:uid="{44697753-2CAC-415A-BFF2-041BC0C8ADA0}" name="2021" dataDxfId="1343"/>
    <tableColumn id="4" xr3:uid="{B17AF803-C0F1-4F4C-8B98-832188499B15}" name="2022" dataDxfId="1342"/>
    <tableColumn id="5" xr3:uid="{33554835-EB9C-41A0-98DB-6166EF63355B}" name="2023" dataDxfId="1341"/>
    <tableColumn id="6" xr3:uid="{7C582906-58B1-476E-BFBB-24D8DB07FDDA}" name="2024" dataDxfId="1340"/>
    <tableColumn id="7" xr3:uid="{80CBA881-607E-484C-A743-DA42D0AF7D21}" name="2025" dataDxfId="1339"/>
  </tableColumns>
  <tableStyleInfo name="TableStyleDark10"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5CD9E07-DFF0-4E90-86AC-98771E136F0B}" name="Table4693556" displayName="Table4693556" ref="I50:N56" totalsRowShown="0" headerRowDxfId="1338" dataDxfId="1337" tableBorderDxfId="1336">
  <autoFilter ref="I50:N56" xr:uid="{D5CD9E07-DFF0-4E90-86AC-98771E136F0B}">
    <filterColumn colId="0" hiddenButton="1"/>
    <filterColumn colId="1" hiddenButton="1"/>
    <filterColumn colId="2" hiddenButton="1"/>
    <filterColumn colId="3" hiddenButton="1"/>
    <filterColumn colId="4" hiddenButton="1"/>
    <filterColumn colId="5" hiddenButton="1"/>
  </autoFilter>
  <tableColumns count="6">
    <tableColumn id="1" xr3:uid="{14B0B288-A039-438D-B1D0-9AC09BF57611}" name="Forecasts" dataDxfId="1335"/>
    <tableColumn id="2" xr3:uid="{AFA704E9-1A13-4A8C-A58F-D4628910FD93}" name="2026" dataDxfId="1334"/>
    <tableColumn id="3" xr3:uid="{7300CC39-4ED2-42BD-8871-2516CDDF4356}" name="2027" dataDxfId="1333"/>
    <tableColumn id="4" xr3:uid="{665C444F-0475-4BF3-88E8-2CA6FFA2D2D7}" name="2028" dataDxfId="1332"/>
    <tableColumn id="5" xr3:uid="{CD4CE5D7-94D2-4428-83EE-2FC9244879B7}" name="2029" dataDxfId="1331"/>
    <tableColumn id="6" xr3:uid="{6812B7C5-9EAB-4870-BC0A-FA35C41B06F2}" name="2030" dataDxfId="1330"/>
  </tableColumns>
  <tableStyleInfo name="TableStyleDark10"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7CEB423-7290-4294-9DA2-BC591A511667}" name="Table58" displayName="Table58" ref="A1:F8" totalsRowShown="0" headerRowDxfId="1329" dataDxfId="1328">
  <autoFilter ref="A1:F8" xr:uid="{37CEB423-7290-4294-9DA2-BC591A511667}">
    <filterColumn colId="0" hiddenButton="1"/>
    <filterColumn colId="1" hiddenButton="1"/>
    <filterColumn colId="2" hiddenButton="1"/>
    <filterColumn colId="3" hiddenButton="1"/>
    <filterColumn colId="4" hiddenButton="1"/>
    <filterColumn colId="5" hiddenButton="1"/>
  </autoFilter>
  <tableColumns count="6">
    <tableColumn id="1" xr3:uid="{0C788A75-89FE-40D7-8BCD-7D447D869953}" name="KPI" dataDxfId="1327"/>
    <tableColumn id="2" xr3:uid="{FA34C00C-CA78-4954-AFCE-C1C76CB3D9B1}" name="2020" dataDxfId="1326"/>
    <tableColumn id="3" xr3:uid="{693A2F48-4D52-4F60-A90D-743F085813C2}" name="2021" dataDxfId="1325"/>
    <tableColumn id="4" xr3:uid="{1F757800-39CD-4005-B5ED-AE56EAD4797F}" name="2022" dataDxfId="1324"/>
    <tableColumn id="5" xr3:uid="{FC8C4A24-A0B6-4DED-B666-19C09BEC5CC7}" name="2023" dataDxfId="1323"/>
    <tableColumn id="6" xr3:uid="{7E581DB1-48DF-4D02-8764-E9AC18B6ED06}" name="2024" dataDxfId="1322"/>
  </tableColumns>
  <tableStyleInfo name="TableStyleMedium1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2FD0790-7E8C-49F1-A5C3-F72674A6CA4D}" name="Table59" displayName="Table59" ref="A10:G15" totalsRowShown="0" headerRowDxfId="1321" dataDxfId="1320">
  <autoFilter ref="A10:G15" xr:uid="{92FD0790-7E8C-49F1-A5C3-F72674A6CA4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FE531D-4CE4-4F3B-B05C-ECE6898C19D6}" name="Forecasts" dataDxfId="1319"/>
    <tableColumn id="2" xr3:uid="{9FEE4D33-520A-4F28-ADD2-F4D3602D9A7A}" name="2025" dataDxfId="1318"/>
    <tableColumn id="3" xr3:uid="{5D0B06A9-8190-425F-9D36-65CBC4A0266C}" name="2026" dataDxfId="1317"/>
    <tableColumn id="4" xr3:uid="{082D3E41-FB90-4D0D-8F8C-ECA9C2538321}" name="2027" dataDxfId="1316"/>
    <tableColumn id="5" xr3:uid="{9878428D-F9B5-46A5-95FA-F6246E294FA3}" name="2028" dataDxfId="1315"/>
    <tableColumn id="6" xr3:uid="{E4FEB60C-0164-404E-8362-6A100275530A}" name="2029" dataDxfId="1314"/>
    <tableColumn id="7" xr3:uid="{E937A482-C8CD-4E88-A7B0-297EA4F299A1}" name="2030" dataDxfId="1313"/>
  </tableColumns>
  <tableStyleInfo name="TableStyleMedium13"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9CBEFB7-8D97-481D-B36B-3535FA5B9D23}" name="Table60" displayName="Table60" ref="A17:F24" totalsRowShown="0" headerRowDxfId="1312" dataDxfId="1311">
  <autoFilter ref="A17:F24" xr:uid="{D9CBEFB7-8D97-481D-B36B-3535FA5B9D23}">
    <filterColumn colId="0" hiddenButton="1"/>
    <filterColumn colId="1" hiddenButton="1"/>
    <filterColumn colId="2" hiddenButton="1"/>
    <filterColumn colId="3" hiddenButton="1"/>
    <filterColumn colId="4" hiddenButton="1"/>
    <filterColumn colId="5" hiddenButton="1"/>
  </autoFilter>
  <tableColumns count="6">
    <tableColumn id="1" xr3:uid="{221A2ABD-D975-4E0F-BDF3-05691F4AFCEC}" name="KPI" dataDxfId="1310"/>
    <tableColumn id="2" xr3:uid="{B4F14305-783A-4FBF-981C-FC40FDC3EF47}" name="2020" dataDxfId="1309"/>
    <tableColumn id="3" xr3:uid="{1052D953-3040-42F8-BB5E-E9BDE6E59DB8}" name="2021" dataDxfId="1308"/>
    <tableColumn id="4" xr3:uid="{EE592D29-4F89-421D-A562-E2F5EC1E4707}" name="2022" dataDxfId="1307"/>
    <tableColumn id="5" xr3:uid="{B6DA4698-AACC-4008-BD54-BD6EEEA65318}" name="2023" dataDxfId="1306"/>
    <tableColumn id="6" xr3:uid="{AD3E1D13-F40E-4429-B9E1-0820054CAD94}" name="2024" dataDxfId="1305"/>
  </tableColumns>
  <tableStyleInfo name="TableStyleMedium13"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5F41908-8AC6-4E7B-96C9-FE0A7F1CEE5E}" name="Table61" displayName="Table61" ref="A26:G31" totalsRowShown="0" headerRowDxfId="1304" dataDxfId="1303">
  <autoFilter ref="A26:G31" xr:uid="{55F41908-8AC6-4E7B-96C9-FE0A7F1CEE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3EE0772-0DCA-403D-A5C1-8982E9BDD822}" name="Forecasts" dataDxfId="1302"/>
    <tableColumn id="2" xr3:uid="{2FF02EF0-1A82-46D7-87E6-1B40BDFAD965}" name="2025" dataDxfId="1301"/>
    <tableColumn id="3" xr3:uid="{61A27AAE-D26C-402D-A723-D095C1017359}" name="2026" dataDxfId="1300"/>
    <tableColumn id="4" xr3:uid="{EF0C24C6-AACB-4264-A38E-01356BB200B3}" name="2027" dataDxfId="1299"/>
    <tableColumn id="5" xr3:uid="{B8B05099-99B7-4C75-978B-CC2C5774ADE0}" name="2028" dataDxfId="1298"/>
    <tableColumn id="6" xr3:uid="{92469F27-4E84-4205-B1A3-5E89E19BC5DE}" name="2029" dataDxfId="1297"/>
    <tableColumn id="7" xr3:uid="{0739C8F9-2FA2-4D4E-BC1F-609DF123EC22}" name="2030" dataDxfId="1296"/>
  </tableColumns>
  <tableStyleInfo name="TableStyleMedium1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F9766FC9-116F-453F-9F58-406528DC112B}" name="Table62" displayName="Table62" ref="A33:F40" totalsRowShown="0" headerRowDxfId="1295" dataDxfId="1294">
  <autoFilter ref="A33:F40" xr:uid="{F9766FC9-116F-453F-9F58-406528DC112B}">
    <filterColumn colId="0" hiddenButton="1"/>
    <filterColumn colId="1" hiddenButton="1"/>
    <filterColumn colId="2" hiddenButton="1"/>
    <filterColumn colId="3" hiddenButton="1"/>
    <filterColumn colId="4" hiddenButton="1"/>
    <filterColumn colId="5" hiddenButton="1"/>
  </autoFilter>
  <tableColumns count="6">
    <tableColumn id="1" xr3:uid="{8712EF61-53C3-4257-989B-978EBF1C1ED3}" name="KPI" dataDxfId="1293"/>
    <tableColumn id="2" xr3:uid="{E121D69F-BBCC-4DE7-8622-1F90E331AA22}" name="2020" dataDxfId="1292"/>
    <tableColumn id="3" xr3:uid="{B328D6D5-8145-4627-BA68-95A10E9C62A4}" name="2021" dataDxfId="1291"/>
    <tableColumn id="4" xr3:uid="{188EFB3D-1440-4B21-8615-13F933C204EE}" name="2022" dataDxfId="1290"/>
    <tableColumn id="5" xr3:uid="{B1A13C32-D9EB-4402-BA17-C306A7326F79}" name="2023" dataDxfId="1289"/>
    <tableColumn id="6" xr3:uid="{90217F2C-4F99-43C9-990A-2FE3630A901B}" name="2024" dataDxfId="1288"/>
  </tableColumns>
  <tableStyleInfo name="TableStyleMedium13"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66CE50C7-AD75-4197-AC52-B0B6014739CC}" name="Table63" displayName="Table63" ref="A42:G47" totalsRowShown="0" headerRowDxfId="1287" dataDxfId="1286">
  <autoFilter ref="A42:G47" xr:uid="{66CE50C7-AD75-4197-AC52-B0B6014739C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231984C-2535-4E89-9E3C-DED1F7CF8C1B}" name="Forecasts" dataDxfId="1285"/>
    <tableColumn id="2" xr3:uid="{E70DABDD-F4C8-4FC1-A9F8-EF5EB7A1AB48}" name="2025" dataDxfId="1284"/>
    <tableColumn id="3" xr3:uid="{6DA53160-672A-40ED-AC15-9980B571D879}" name="2026" dataDxfId="1283"/>
    <tableColumn id="4" xr3:uid="{0A8FA4A6-676E-405B-B008-0A5931A195E0}" name="2027" dataDxfId="1282"/>
    <tableColumn id="5" xr3:uid="{10E39DCF-6F0A-4C28-8F03-43CBF7A89639}" name="2028" dataDxfId="1281"/>
    <tableColumn id="6" xr3:uid="{93D72F56-51B9-4F63-B4F9-58DBC30012CD}" name="2029" dataDxfId="1280"/>
    <tableColumn id="7" xr3:uid="{A8183739-CE60-4F6B-ADCB-11388FD12FCC}" name="2030" dataDxfId="1279"/>
  </tableColumns>
  <tableStyleInfo name="TableStyleMedium13"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782C1A3-F4A1-4DBF-9448-F7E9871D48B8}" name="Table64" displayName="Table64" ref="I1:N8" totalsRowShown="0" headerRowDxfId="1278" dataDxfId="1277">
  <autoFilter ref="I1:N8" xr:uid="{3782C1A3-F4A1-4DBF-9448-F7E9871D48B8}">
    <filterColumn colId="0" hiddenButton="1"/>
    <filterColumn colId="1" hiddenButton="1"/>
    <filterColumn colId="2" hiddenButton="1"/>
    <filterColumn colId="3" hiddenButton="1"/>
    <filterColumn colId="4" hiddenButton="1"/>
    <filterColumn colId="5" hiddenButton="1"/>
  </autoFilter>
  <tableColumns count="6">
    <tableColumn id="1" xr3:uid="{2B610940-D558-4CA2-B3FF-905E13497C7B}" name="KPI" dataDxfId="1276"/>
    <tableColumn id="2" xr3:uid="{3B3E6E31-FF42-466C-93B2-B86A54B45DF1}" name="2020" dataDxfId="1275"/>
    <tableColumn id="3" xr3:uid="{726D1D81-4C43-4F51-9273-47AF2F53427F}" name="2021" dataDxfId="1274"/>
    <tableColumn id="4" xr3:uid="{18A23443-7707-4858-9842-F63781405F0A}" name="2022" dataDxfId="1273"/>
    <tableColumn id="5" xr3:uid="{7FBE9643-72A2-4C01-B831-E94ED8A7C8B6}" name="2023" dataDxfId="1272"/>
    <tableColumn id="6" xr3:uid="{2B214D2A-0D14-48A4-A620-B8830986028B}" name="2024" dataDxfId="1271"/>
  </tableColumns>
  <tableStyleInfo name="TableStyleMedium1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35908D6-85F7-4F2E-BDD8-A6F04187FDD4}" name="Table65" displayName="Table65" ref="I10:O15" totalsRowShown="0" headerRowDxfId="1270" dataDxfId="1269">
  <autoFilter ref="I10:O15" xr:uid="{735908D6-85F7-4F2E-BDD8-A6F04187FDD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9E9B48E-28D6-4FD3-AF7F-24DE11A45666}" name="Forecasts" dataDxfId="1268"/>
    <tableColumn id="2" xr3:uid="{10AD2EAD-E9EB-4518-AB5D-E2CD98FFE48E}" name="2025" dataDxfId="1267"/>
    <tableColumn id="3" xr3:uid="{22DEDA1C-5338-46BB-AE07-98D4AD4DE1B0}" name="2026" dataDxfId="1266"/>
    <tableColumn id="4" xr3:uid="{7040B51A-1CB5-4F52-8313-779BF92C56B5}" name="2027" dataDxfId="1265"/>
    <tableColumn id="5" xr3:uid="{3A1918C3-F64C-4C4A-9D36-064D39461F1A}" name="2028" dataDxfId="1264"/>
    <tableColumn id="6" xr3:uid="{37B8BF80-BE04-428B-99E2-B5FA40B35D22}" name="2029" dataDxfId="1263"/>
    <tableColumn id="7" xr3:uid="{EA20C919-56C6-45AC-9F63-E2408316D2C3}" name="2030" dataDxfId="1262"/>
  </tableColumns>
  <tableStyleInfo name="TableStyleMedium13"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6DCF196-93CE-42BB-9682-43DAA8FDF070}" name="Table66" displayName="Table66" ref="I17:N24" totalsRowShown="0" headerRowDxfId="1261" dataDxfId="1260">
  <autoFilter ref="I17:N24" xr:uid="{06DCF196-93CE-42BB-9682-43DAA8FDF070}">
    <filterColumn colId="0" hiddenButton="1"/>
    <filterColumn colId="1" hiddenButton="1"/>
    <filterColumn colId="2" hiddenButton="1"/>
    <filterColumn colId="3" hiddenButton="1"/>
    <filterColumn colId="4" hiddenButton="1"/>
    <filterColumn colId="5" hiddenButton="1"/>
  </autoFilter>
  <tableColumns count="6">
    <tableColumn id="1" xr3:uid="{A48851D4-BC01-45A1-BCA5-6D31BE8DAEE8}" name="KPI" dataDxfId="1259"/>
    <tableColumn id="2" xr3:uid="{F3C195E9-7C88-4185-8385-531145EBDA46}" name="2020" dataDxfId="1258"/>
    <tableColumn id="3" xr3:uid="{04DEF17B-24CE-457B-9F25-F0661DF81046}" name="2021" dataDxfId="1257"/>
    <tableColumn id="4" xr3:uid="{C85DE505-92EC-4151-94AA-61138C705544}" name="2022" dataDxfId="1256"/>
    <tableColumn id="5" xr3:uid="{E7295032-D310-4A17-B729-028E83328C1A}" name="2023" dataDxfId="1255"/>
    <tableColumn id="6" xr3:uid="{54A45B9A-03E5-4A6F-BB5E-5E4FF57DF518}" name="2024" dataDxfId="1254"/>
  </tableColumns>
  <tableStyleInfo name="TableStyleMedium13"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4CA8285-114B-46BB-BD92-23C59EE08608}" name="Table67" displayName="Table67" ref="I26:O31" totalsRowShown="0" headerRowDxfId="1253" dataDxfId="1252">
  <autoFilter ref="I26:O31" xr:uid="{34CA8285-114B-46BB-BD92-23C59EE086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75629B1-D7E4-4BFC-B890-D49FA6F4670C}" name="Forecasts" dataDxfId="1251"/>
    <tableColumn id="2" xr3:uid="{18C6D203-DE53-4C75-8EF4-9C0E3CA7FC8A}" name="2025" dataDxfId="1250"/>
    <tableColumn id="3" xr3:uid="{F4F5C335-5EEE-4C71-8F78-303516EC8AFE}" name="2026" dataDxfId="1249"/>
    <tableColumn id="4" xr3:uid="{B7BAA744-CE3D-45BE-8F0C-4277FD8E7751}" name="2027" dataDxfId="1248"/>
    <tableColumn id="5" xr3:uid="{097EFF1A-0667-4C1D-8ABE-7402934D8EBF}" name="2028" dataDxfId="1247"/>
    <tableColumn id="6" xr3:uid="{E17F12D9-0C95-4F1A-A596-8A7F3EE12CA0}" name="2029" dataDxfId="1246"/>
    <tableColumn id="7" xr3:uid="{D846339C-3E8D-4222-B2B2-A48876A59669}" name="2030" dataDxfId="1245"/>
  </tableColumns>
  <tableStyleInfo name="TableStyleMedium13"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44F688D-6A76-41AB-8330-DE53257AD29C}" name="Table69" displayName="Table69" ref="A1:G7" totalsRowShown="0" headerRowDxfId="1244" dataDxfId="1243">
  <autoFilter ref="A1:G7" xr:uid="{644F688D-6A76-41AB-8330-DE53257AD29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31277B5-12CA-4EBC-80DF-7AD5E0F04880}" name="KPI" dataDxfId="1242"/>
    <tableColumn id="2" xr3:uid="{D1F91A92-49BB-4D69-97B5-2CEC780E3D12}" name="2020" dataDxfId="1241"/>
    <tableColumn id="3" xr3:uid="{1E0FE60D-6D9A-4E3E-A620-32E00C364E1D}" name="2021" dataDxfId="1240"/>
    <tableColumn id="4" xr3:uid="{14DA1C83-A3AC-45C7-A846-204CEAB8B54E}" name="2022" dataDxfId="1239"/>
    <tableColumn id="5" xr3:uid="{6B58AD77-458F-4373-9BF5-B25D75160E52}" name="2023" dataDxfId="1238"/>
    <tableColumn id="6" xr3:uid="{FCF09D65-225D-4DBD-B053-F1EAC0F70851}" name="2024" dataDxfId="1237"/>
    <tableColumn id="7" xr3:uid="{FFBBD287-161A-4568-9CE7-DC9C57B3D970}" name="2025" dataDxfId="1236"/>
  </tableColumns>
  <tableStyleInfo name="TableStyleMedium14"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50E6666A-3241-40F2-BA5F-4040B96BD0B5}" name="Table70" displayName="Table70" ref="A9:F14" totalsRowShown="0" headerRowDxfId="1235" dataDxfId="1234">
  <autoFilter ref="A9:F14" xr:uid="{50E6666A-3241-40F2-BA5F-4040B96BD0B5}">
    <filterColumn colId="0" hiddenButton="1"/>
    <filterColumn colId="1" hiddenButton="1"/>
    <filterColumn colId="2" hiddenButton="1"/>
    <filterColumn colId="3" hiddenButton="1"/>
    <filterColumn colId="4" hiddenButton="1"/>
    <filterColumn colId="5" hiddenButton="1"/>
  </autoFilter>
  <tableColumns count="6">
    <tableColumn id="1" xr3:uid="{EC924A64-7373-4F2F-9D3F-743150DAA9C8}" name="Forecasts" dataDxfId="1233"/>
    <tableColumn id="2" xr3:uid="{2723CC39-E5A3-4FEC-98BB-FC28518EC60F}" name="2026" dataDxfId="1232"/>
    <tableColumn id="3" xr3:uid="{3A2862E5-8F50-47EC-98A1-302177A2CF18}" name="2027" dataDxfId="1231"/>
    <tableColumn id="4" xr3:uid="{8725CBF7-5E0E-4FD3-8533-8D540B70EEDB}" name="2028" dataDxfId="1230"/>
    <tableColumn id="5" xr3:uid="{85CB4C74-2BD4-4C3B-82C1-AE920DD1FE3E}" name="2029" dataDxfId="1229"/>
    <tableColumn id="6" xr3:uid="{A16F0539-122D-44B5-9E17-FCBF3E6E4511}" name="2030" dataDxfId="1228"/>
  </tableColumns>
  <tableStyleInfo name="TableStyleMedium14"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F285D61B-95B7-4CC1-B951-701147329A64}" name="Table71" displayName="Table71" ref="A16:G22" totalsRowShown="0" headerRowDxfId="1227" dataDxfId="1226">
  <autoFilter ref="A16:G22" xr:uid="{F285D61B-95B7-4CC1-B951-701147329A6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CC82F69-8501-4862-8BB5-968DCF45812A}" name="KPI" dataDxfId="1225"/>
    <tableColumn id="2" xr3:uid="{E8FC215F-4284-48B3-8D00-990B8FA23F72}" name="2020" dataDxfId="1224"/>
    <tableColumn id="3" xr3:uid="{DD274344-5D7C-49DF-97B9-8CB7B39F9012}" name="2021" dataDxfId="1223"/>
    <tableColumn id="4" xr3:uid="{32A095D3-EF7C-4862-95D6-33A7994B15F2}" name="2022" dataDxfId="1222"/>
    <tableColumn id="5" xr3:uid="{6F94AEBB-A338-4E3E-AB8E-BB8C3A6DCB5A}" name="2023" dataDxfId="1221"/>
    <tableColumn id="6" xr3:uid="{5CABC05C-D9E4-4D3D-B14E-E669D6410C04}" name="2024" dataDxfId="1220"/>
    <tableColumn id="7" xr3:uid="{46DDD9AD-F0AB-48FB-A31C-D8C47CE22E17}" name="2025" dataDxfId="1219"/>
  </tableColumns>
  <tableStyleInfo name="TableStyleMedium14"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38EFB38-ABCC-4998-B55B-C02ACE76E7EE}" name="Table72" displayName="Table72" ref="A24:F29" totalsRowShown="0" headerRowDxfId="1218" dataDxfId="1217">
  <autoFilter ref="A24:F29" xr:uid="{738EFB38-ABCC-4998-B55B-C02ACE76E7EE}">
    <filterColumn colId="0" hiddenButton="1"/>
    <filterColumn colId="1" hiddenButton="1"/>
    <filterColumn colId="2" hiddenButton="1"/>
    <filterColumn colId="3" hiddenButton="1"/>
    <filterColumn colId="4" hiddenButton="1"/>
    <filterColumn colId="5" hiddenButton="1"/>
  </autoFilter>
  <tableColumns count="6">
    <tableColumn id="1" xr3:uid="{26341A28-761D-4D2A-A94A-A5F5883FCF8A}" name="Forecasts" dataDxfId="1216"/>
    <tableColumn id="2" xr3:uid="{8C8F52EE-AADC-48DE-8CAE-3B6FF9234135}" name="2026" dataDxfId="1215"/>
    <tableColumn id="3" xr3:uid="{11F2F8AF-539C-4748-AEFC-2661C7E6751B}" name="2027" dataDxfId="1214"/>
    <tableColumn id="4" xr3:uid="{2E0F3893-5C9B-4E69-8EB7-E388929C2B74}" name="2028" dataDxfId="1213"/>
    <tableColumn id="5" xr3:uid="{EF744AEA-4072-4EB8-A651-A0B41ED19745}" name="2029" dataDxfId="1212"/>
    <tableColumn id="6" xr3:uid="{0A68C978-4390-433B-8FE7-A07F7C791AA6}" name="2030" dataDxfId="1211"/>
  </tableColumns>
  <tableStyleInfo name="TableStyleMedium14"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848E1E0-EBB8-4E95-AC36-F59A919B63D9}" name="Table73" displayName="Table73" ref="A31:G37" totalsRowShown="0" headerRowDxfId="1210" dataDxfId="1209">
  <autoFilter ref="A31:G37" xr:uid="{3848E1E0-EBB8-4E95-AC36-F59A919B63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E835D89-7EBD-4D89-AD0B-C1BBF700ACF1}" name="KPI" dataDxfId="1208"/>
    <tableColumn id="2" xr3:uid="{0F1FFB2D-E659-4C06-B1F8-B6BA09E2AE01}" name="2020" dataDxfId="1207"/>
    <tableColumn id="3" xr3:uid="{8E22A98E-8E54-4706-9B9E-06AC97F33E10}" name="2021" dataDxfId="1206"/>
    <tableColumn id="4" xr3:uid="{73634F83-6FFA-48E3-844F-6372282E53F4}" name="2022" dataDxfId="1205"/>
    <tableColumn id="5" xr3:uid="{2339B356-6DBB-4E7C-A0AC-D2C27C05AA7F}" name="2023" dataDxfId="1204"/>
    <tableColumn id="6" xr3:uid="{A4AD5176-563D-44A6-8A35-1CB5C9F935A8}" name="2024" dataDxfId="1203"/>
    <tableColumn id="7" xr3:uid="{5B88A80A-EBAF-4578-BBE2-062EB92C39F9}" name="2025" dataDxfId="1202"/>
  </tableColumns>
  <tableStyleInfo name="TableStyleMedium1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50CBCEA-C597-41D5-B0A7-82FB589199EB}" name="Table74" displayName="Table74" ref="A39:F44" totalsRowShown="0" headerRowDxfId="1201" dataDxfId="1200">
  <autoFilter ref="A39:F44" xr:uid="{250CBCEA-C597-41D5-B0A7-82FB589199EB}">
    <filterColumn colId="0" hiddenButton="1"/>
    <filterColumn colId="1" hiddenButton="1"/>
    <filterColumn colId="2" hiddenButton="1"/>
    <filterColumn colId="3" hiddenButton="1"/>
    <filterColumn colId="4" hiddenButton="1"/>
    <filterColumn colId="5" hiddenButton="1"/>
  </autoFilter>
  <tableColumns count="6">
    <tableColumn id="1" xr3:uid="{D0D2EEC6-8A4D-4AFD-8471-0E14146D18DF}" name="Forecasts" dataDxfId="1199"/>
    <tableColumn id="2" xr3:uid="{729B861B-5248-40B1-995F-FB27A8549A40}" name="2026" dataDxfId="1198"/>
    <tableColumn id="3" xr3:uid="{75DE8FAD-2868-477C-A963-17BB585C01AC}" name="2027" dataDxfId="1197"/>
    <tableColumn id="4" xr3:uid="{99F6EC0F-E3FC-465A-8655-DC36574FE117}" name="2028" dataDxfId="1196"/>
    <tableColumn id="5" xr3:uid="{0F8D27E7-4BA1-424A-AD84-4FF30FDF3FCC}" name="2029" dataDxfId="1195"/>
    <tableColumn id="6" xr3:uid="{DD00BF18-61C5-49BE-9819-2ECC257218C3}" name="2030" dataDxfId="1194"/>
  </tableColumns>
  <tableStyleInfo name="TableStyleMedium14"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CCED51B-A271-4F87-A91E-EF11A0CF01EA}" name="Table6982" displayName="Table6982" ref="I1:N7" totalsRowShown="0" headerRowDxfId="1193" dataDxfId="1192">
  <autoFilter ref="I1:N7" xr:uid="{2CCED51B-A271-4F87-A91E-EF11A0CF01EA}">
    <filterColumn colId="0" hiddenButton="1"/>
    <filterColumn colId="1" hiddenButton="1"/>
    <filterColumn colId="2" hiddenButton="1"/>
    <filterColumn colId="3" hiddenButton="1"/>
    <filterColumn colId="4" hiddenButton="1"/>
    <filterColumn colId="5" hiddenButton="1"/>
  </autoFilter>
  <tableColumns count="6">
    <tableColumn id="1" xr3:uid="{C7DCBCE4-EFB4-4119-8769-4C2C7DD15215}" name="KPI" dataDxfId="1191"/>
    <tableColumn id="2" xr3:uid="{60A2C9F0-0FC1-435A-9B9A-FFBEE25D5ACE}" name="2020" dataDxfId="1190"/>
    <tableColumn id="3" xr3:uid="{B77F1DF0-2322-4C50-8765-CCF60E35E990}" name="2021" dataDxfId="1189"/>
    <tableColumn id="4" xr3:uid="{C10257EF-8603-4560-A24E-606730072A0E}" name="2022" dataDxfId="1188"/>
    <tableColumn id="5" xr3:uid="{88769B5D-875A-4DC8-A562-8823419A517C}" name="2023" dataDxfId="1187"/>
    <tableColumn id="6" xr3:uid="{704ED82B-2DE7-4E07-94E7-0D9F6A6E6017}" name="2024" dataDxfId="1186"/>
  </tableColumns>
  <tableStyleInfo name="TableStyleMedium14"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B69602C-2E3E-4244-AF04-A82C1D78270E}" name="Table7083" displayName="Table7083" ref="I9:O14" totalsRowShown="0" headerRowDxfId="1185" dataDxfId="1184">
  <autoFilter ref="I9:O14" xr:uid="{AB69602C-2E3E-4244-AF04-A82C1D78270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F0CD9B7-F229-4180-AB29-7A2CE9827593}" name="Forecasts" dataDxfId="1183"/>
    <tableColumn id="2" xr3:uid="{4129B4F8-737D-4D98-99C1-123BBE8C16BA}" name="2025" dataDxfId="1182"/>
    <tableColumn id="3" xr3:uid="{E3DE13FA-B9E2-4FC7-9C3B-444956A9665B}" name="2026" dataDxfId="1181"/>
    <tableColumn id="4" xr3:uid="{3D610C01-95DB-468E-8F19-B0664FCE4B21}" name="2027" dataDxfId="1180"/>
    <tableColumn id="5" xr3:uid="{5403D372-73AB-4143-B24E-9B95AFA9150E}" name="2028" dataDxfId="1179"/>
    <tableColumn id="6" xr3:uid="{A7F1B51C-AE92-4F36-B44D-78615BAAEDA4}" name="2029" dataDxfId="1178"/>
    <tableColumn id="7" xr3:uid="{D51C7F97-9CCB-4828-8FD7-F84051F309CD}" name="2030" dataDxfId="1177"/>
  </tableColumns>
  <tableStyleInfo name="TableStyleMedium14"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2C1B728-139B-416E-8EDD-60A48DCCB053}" name="Table7184" displayName="Table7184" ref="I16:O22" totalsRowShown="0" headerRowDxfId="1176" dataDxfId="1175">
  <autoFilter ref="I16:O22" xr:uid="{C2C1B728-139B-416E-8EDD-60A48DCCB05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CF814C-26CE-438A-B776-B185D961EC35}" name="KPI" dataDxfId="1174"/>
    <tableColumn id="2" xr3:uid="{AA8B03B8-B9DE-45BC-9F91-036385F56BB6}" name="2020" dataDxfId="1173"/>
    <tableColumn id="3" xr3:uid="{90AF3189-0365-435E-8A8E-4D2D24A734D1}" name="2021" dataDxfId="1172"/>
    <tableColumn id="4" xr3:uid="{6F7064D0-37E2-4F6B-B1B7-57C5C597DD7B}" name="2022" dataDxfId="1171"/>
    <tableColumn id="5" xr3:uid="{391CA12E-DBC5-482C-9134-EFB89C460DC3}" name="2023" dataDxfId="1170"/>
    <tableColumn id="6" xr3:uid="{1A0E7A40-881C-47FC-B3F4-A16489B4CC6F}" name="2024" dataDxfId="1169"/>
    <tableColumn id="7" xr3:uid="{71A9801D-10BB-42A2-A554-6F56946165FE}" name="2025" dataDxfId="1168"/>
  </tableColumns>
  <tableStyleInfo name="TableStyleMedium14"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8D84137C-4A19-4C90-8D37-4E93BD8E5AA9}" name="Table7285" displayName="Table7285" ref="I24:N29" totalsRowShown="0" headerRowDxfId="1167" dataDxfId="1166">
  <autoFilter ref="I24:N29" xr:uid="{8D84137C-4A19-4C90-8D37-4E93BD8E5AA9}">
    <filterColumn colId="0" hiddenButton="1"/>
    <filterColumn colId="1" hiddenButton="1"/>
    <filterColumn colId="2" hiddenButton="1"/>
    <filterColumn colId="3" hiddenButton="1"/>
    <filterColumn colId="4" hiddenButton="1"/>
    <filterColumn colId="5" hiddenButton="1"/>
  </autoFilter>
  <tableColumns count="6">
    <tableColumn id="1" xr3:uid="{A6AB58BC-05B4-4312-8B9D-18B5AC5DA700}" name="Forecasts" dataDxfId="1165"/>
    <tableColumn id="2" xr3:uid="{D3A78BEA-0C72-4FF9-ACF7-C4025F6A81B1}" name="2026" dataDxfId="1164"/>
    <tableColumn id="3" xr3:uid="{8C80278D-5A23-4CBC-BE2D-D7FB54784B0F}" name="2027" dataDxfId="1163"/>
    <tableColumn id="4" xr3:uid="{EE99E915-896E-4630-A220-9559E90F7766}" name="2028" dataDxfId="1162"/>
    <tableColumn id="5" xr3:uid="{9B227A74-EE30-4B55-8B94-ABDCDC74431A}" name="2029" dataDxfId="1161"/>
    <tableColumn id="6" xr3:uid="{D700EE61-69BB-4669-A20D-99CF6310D5DF}" name="2030" dataDxfId="1160"/>
  </tableColumns>
  <tableStyleInfo name="TableStyleMedium14"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1CACDDD-E026-4A6E-BBAC-705075562557}" name="Table7386" displayName="Table7386" ref="I31:N37" totalsRowShown="0" headerRowDxfId="1159" dataDxfId="1158">
  <autoFilter ref="I31:N37" xr:uid="{A1CACDDD-E026-4A6E-BBAC-705075562557}">
    <filterColumn colId="0" hiddenButton="1"/>
    <filterColumn colId="1" hiddenButton="1"/>
    <filterColumn colId="2" hiddenButton="1"/>
    <filterColumn colId="3" hiddenButton="1"/>
    <filterColumn colId="4" hiddenButton="1"/>
    <filterColumn colId="5" hiddenButton="1"/>
  </autoFilter>
  <tableColumns count="6">
    <tableColumn id="1" xr3:uid="{ECC023E1-FE23-4FBF-B247-617A47A34812}" name="KPI" dataDxfId="1157"/>
    <tableColumn id="2" xr3:uid="{B996A1EF-1357-4F67-A92F-8B1FD681FF04}" name="2020" dataDxfId="1156"/>
    <tableColumn id="3" xr3:uid="{271E6C9F-A534-4201-A0A3-A7B402C248D4}" name="2021" dataDxfId="1155"/>
    <tableColumn id="4" xr3:uid="{25951795-DD8C-43A8-B032-1A8FF19269A9}" name="2022" dataDxfId="1154"/>
    <tableColumn id="5" xr3:uid="{2B7C3241-2BC8-47EA-AB64-B155D871C984}" name="2023" dataDxfId="1153"/>
    <tableColumn id="6" xr3:uid="{A483A938-1ED4-420C-9A0B-7C612B870F9A}" name="2024" dataDxfId="1152"/>
  </tableColumns>
  <tableStyleInfo name="TableStyleMedium14"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053C5BB-8450-4CC5-AEE8-10CEA533065A}" name="Table7487" displayName="Table7487" ref="I39:O44" totalsRowShown="0" headerRowDxfId="1151" dataDxfId="1150">
  <autoFilter ref="I39:O44" xr:uid="{3053C5BB-8450-4CC5-AEE8-10CEA53306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729901-C5DE-49B4-8341-D5213B293937}" name="Forecasts" dataDxfId="1149"/>
    <tableColumn id="2" xr3:uid="{E2986C2A-9515-4859-8531-1DC1793FDB6C}" name="2025" dataDxfId="1148"/>
    <tableColumn id="3" xr3:uid="{51B75AB3-E275-4393-81EC-9BB82AF61325}" name="2026" dataDxfId="1147"/>
    <tableColumn id="4" xr3:uid="{E306ECEF-CAA5-49A8-A24B-A636541DD25B}" name="2027" dataDxfId="1146"/>
    <tableColumn id="5" xr3:uid="{F7060658-EEAC-4041-9AAE-AABF2F350B74}" name="2028" dataDxfId="1145"/>
    <tableColumn id="6" xr3:uid="{89803AE7-E4E9-475A-8860-FC77D75CB1C7}" name="2029" dataDxfId="1144"/>
    <tableColumn id="7" xr3:uid="{9E49CBA0-3878-4C5B-81C0-64869A9FB1C0}" name="2030" dataDxfId="1143"/>
  </tableColumns>
  <tableStyleInfo name="TableStyleMedium14"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25CD5ABE-FC3F-4AFA-9329-B0A541D36933}" name="Table89" displayName="Table89" ref="A1:F7" totalsRowShown="0" headerRowDxfId="1142" dataDxfId="1141">
  <autoFilter ref="A1:F7" xr:uid="{25CD5ABE-FC3F-4AFA-9329-B0A541D36933}">
    <filterColumn colId="0" hiddenButton="1"/>
    <filterColumn colId="1" hiddenButton="1"/>
    <filterColumn colId="2" hiddenButton="1"/>
    <filterColumn colId="3" hiddenButton="1"/>
    <filterColumn colId="4" hiddenButton="1"/>
    <filterColumn colId="5" hiddenButton="1"/>
  </autoFilter>
  <tableColumns count="6">
    <tableColumn id="1" xr3:uid="{D5C5DC56-C1C9-440D-86F0-4B6D071822FE}" name="KPI" dataDxfId="1140"/>
    <tableColumn id="2" xr3:uid="{F1A972B1-86E8-4D69-BBF8-03F2B37A2BF4}" name="2020" dataDxfId="1139"/>
    <tableColumn id="3" xr3:uid="{112406B6-4168-4E84-A566-49FD0932445D}" name="2021" dataDxfId="1138"/>
    <tableColumn id="4" xr3:uid="{0D2AE09E-784A-486D-A90D-D64EF0DD338B}" name="2022" dataDxfId="1137"/>
    <tableColumn id="5" xr3:uid="{B5D9DED1-531C-4CEF-AE7C-58F320F5E418}" name="2023" dataDxfId="1136"/>
    <tableColumn id="6" xr3:uid="{61199D30-72CC-47EE-B1AF-0447AAB02DA5}" name="2024" dataDxfId="1135"/>
  </tableColumns>
  <tableStyleInfo name="TableStyleMedium9"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BEB9E72F-FE7D-4BF6-9811-69A4760A1DB9}" name="Table90" displayName="Table90" ref="A9:G14" totalsRowShown="0" headerRowDxfId="1134" dataDxfId="1133">
  <autoFilter ref="A9:G14" xr:uid="{BEB9E72F-FE7D-4BF6-9811-69A4760A1D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122E785-32D8-4B65-BE4B-593F753247E1}" name="Forecasts" dataDxfId="1132"/>
    <tableColumn id="2" xr3:uid="{BC821DD0-67F1-449E-895C-76D7F857C63E}" name="2025" dataDxfId="1131"/>
    <tableColumn id="3" xr3:uid="{9C525D62-6FDF-443E-BEFB-B9554DB004B1}" name="2026" dataDxfId="1130"/>
    <tableColumn id="4" xr3:uid="{8D1D5964-02EA-4936-86A4-AB1F66D3538D}" name="2027" dataDxfId="1129"/>
    <tableColumn id="5" xr3:uid="{01E1C8B6-0F37-4CA4-8D59-80EF0F175A3E}" name="2028" dataDxfId="1128"/>
    <tableColumn id="6" xr3:uid="{FEC9D110-72AD-4658-B723-C2EBC6ACF271}" name="2029" dataDxfId="1127"/>
    <tableColumn id="7" xr3:uid="{F113E452-4D60-49A2-9D53-582B19AC49DA}" name="2030" dataDxfId="1126"/>
  </tableColumns>
  <tableStyleInfo name="TableStyleMedium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5168113-CD48-4839-A36A-DCAAF1B64FDB}" name="Table8994" displayName="Table8994" ref="A16:F22" totalsRowShown="0" headerRowDxfId="1125" dataDxfId="1124">
  <autoFilter ref="A16:F22" xr:uid="{25168113-CD48-4839-A36A-DCAAF1B64FDB}">
    <filterColumn colId="0" hiddenButton="1"/>
    <filterColumn colId="1" hiddenButton="1"/>
    <filterColumn colId="2" hiddenButton="1"/>
    <filterColumn colId="3" hiddenButton="1"/>
    <filterColumn colId="4" hiddenButton="1"/>
    <filterColumn colId="5" hiddenButton="1"/>
  </autoFilter>
  <tableColumns count="6">
    <tableColumn id="1" xr3:uid="{60876E60-EB49-4A9B-93F7-045EDB909A1D}" name="KPI" dataDxfId="1123"/>
    <tableColumn id="2" xr3:uid="{F0F94F89-C304-4B40-8E5D-F181CBB2D8B3}" name="2020" dataDxfId="1122"/>
    <tableColumn id="3" xr3:uid="{7D569644-202B-4134-B265-8BF0F4BC6630}" name="2021" dataDxfId="1121"/>
    <tableColumn id="4" xr3:uid="{F39F3D62-EA7A-4C42-B6DE-20757B748B26}" name="2022" dataDxfId="1120"/>
    <tableColumn id="5" xr3:uid="{9AC53D36-957A-4006-BCC9-D09879AC1FDA}" name="2023" dataDxfId="1119"/>
    <tableColumn id="6" xr3:uid="{8F8E3067-7498-44AE-BDA0-F1F2F09DAEF0}" name="2024" dataDxfId="1118"/>
  </tableColumns>
  <tableStyleInfo name="TableStyleMedium9"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14615729-076E-4C4C-BD7F-6078304AFB2F}" name="Table9095" displayName="Table9095" ref="A24:G29" totalsRowShown="0" headerRowDxfId="1117" dataDxfId="1116">
  <autoFilter ref="A24:G29" xr:uid="{14615729-076E-4C4C-BD7F-6078304AFB2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802901-EC3E-47F3-B2A3-4D70BB4712BF}" name="Forecasts" dataDxfId="1115"/>
    <tableColumn id="2" xr3:uid="{9034A31C-2921-4317-84DF-7F0AE84D142F}" name="2025" dataDxfId="1114"/>
    <tableColumn id="3" xr3:uid="{B14598F4-219F-4BD9-BC0C-4D88EDA80E26}" name="2026" dataDxfId="1113"/>
    <tableColumn id="4" xr3:uid="{C1DEF3AB-5513-43BB-9CF0-E5EBAD236C7B}" name="2027" dataDxfId="1112"/>
    <tableColumn id="5" xr3:uid="{19FB5950-CC11-48F3-9FA0-C01AFE99E016}" name="2028" dataDxfId="1111"/>
    <tableColumn id="6" xr3:uid="{CF94CFB4-FEA3-4643-9CF4-0B1CEFA809FD}" name="2029" dataDxfId="1110"/>
    <tableColumn id="7" xr3:uid="{51777B29-6B6F-4E7F-89D0-8EB5FB8A3C24}" name="2030" dataDxfId="1109"/>
  </tableColumns>
  <tableStyleInfo name="TableStyleMedium9"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DE032B99-EF69-41B1-8B66-CC3117D7B65E}" name="Table89100" displayName="Table89100" ref="I1:N7" totalsRowShown="0" headerRowDxfId="1108" dataDxfId="1107">
  <autoFilter ref="I1:N7" xr:uid="{DE032B99-EF69-41B1-8B66-CC3117D7B65E}">
    <filterColumn colId="0" hiddenButton="1"/>
    <filterColumn colId="1" hiddenButton="1"/>
    <filterColumn colId="2" hiddenButton="1"/>
    <filterColumn colId="3" hiddenButton="1"/>
    <filterColumn colId="4" hiddenButton="1"/>
    <filterColumn colId="5" hiddenButton="1"/>
  </autoFilter>
  <tableColumns count="6">
    <tableColumn id="1" xr3:uid="{15380E9F-C2BF-473F-9D59-92383C234CA4}" name="KPI" dataDxfId="1106"/>
    <tableColumn id="2" xr3:uid="{78B5FCD0-5D7C-4E89-A427-F3666C391FB8}" name="2020" dataDxfId="1105"/>
    <tableColumn id="3" xr3:uid="{563E0F8A-2C08-4E84-8EF7-BC863D0FF853}" name="2021" dataDxfId="1104"/>
    <tableColumn id="4" xr3:uid="{B2F9EA4E-689F-4E8C-AA5C-C4985509F975}" name="2022" dataDxfId="1103"/>
    <tableColumn id="5" xr3:uid="{8CF96F80-BE01-4B16-BB11-473B31D0D268}" name="2023" dataDxfId="1102"/>
    <tableColumn id="6" xr3:uid="{48B61D3E-68B8-42F1-933D-F6135E1A32AA}" name="2024" dataDxfId="1101"/>
  </tableColumns>
  <tableStyleInfo name="TableStyleMedium9"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110CDBFB-2904-411B-80EA-6DF45C97A870}" name="Table90101" displayName="Table90101" ref="I9:O14" totalsRowShown="0" headerRowDxfId="1100" dataDxfId="1099">
  <autoFilter ref="I9:O14" xr:uid="{110CDBFB-2904-411B-80EA-6DF45C97A87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E1E6CF-EFBA-4BB7-B77C-284E0FDA5013}" name="Forecasts" dataDxfId="1098"/>
    <tableColumn id="2" xr3:uid="{6F4EFEA4-20CD-4A9E-87C7-30AA666298D5}" name="2025" dataDxfId="1097"/>
    <tableColumn id="3" xr3:uid="{6A4386A4-FAFC-42C5-BCB7-09288D2AAF05}" name="2026" dataDxfId="1096"/>
    <tableColumn id="4" xr3:uid="{D13EFEF7-FDBA-4742-8E79-CA17C5E05491}" name="2027" dataDxfId="1095"/>
    <tableColumn id="5" xr3:uid="{B0248AC3-925C-44E6-AB08-D9B8886D3137}" name="2028" dataDxfId="1094"/>
    <tableColumn id="6" xr3:uid="{9105B7C0-82FB-428C-B818-DA48B46F547C}" name="2029" dataDxfId="1093"/>
    <tableColumn id="7" xr3:uid="{03D3C005-EB43-43F6-8D66-8A897F5D1319}" name="2030" dataDxfId="1092"/>
  </tableColumns>
  <tableStyleInfo name="TableStyleMedium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692C3ED8-60BF-437D-828F-D50F2554A502}" name="Table8994102" displayName="Table8994102" ref="I16:N22" totalsRowShown="0" headerRowDxfId="1091" dataDxfId="1090">
  <autoFilter ref="I16:N22" xr:uid="{692C3ED8-60BF-437D-828F-D50F2554A502}">
    <filterColumn colId="0" hiddenButton="1"/>
    <filterColumn colId="1" hiddenButton="1"/>
    <filterColumn colId="2" hiddenButton="1"/>
    <filterColumn colId="3" hiddenButton="1"/>
    <filterColumn colId="4" hiddenButton="1"/>
    <filterColumn colId="5" hiddenButton="1"/>
  </autoFilter>
  <tableColumns count="6">
    <tableColumn id="1" xr3:uid="{1B5B1A73-73B7-423F-A2FE-150863842EA2}" name="KPI" dataDxfId="1089"/>
    <tableColumn id="2" xr3:uid="{EC244AC9-7450-4D58-8583-58189041C131}" name="2020" dataDxfId="1088"/>
    <tableColumn id="3" xr3:uid="{81DF33F8-4BE8-4B6A-9428-447252206154}" name="2021" dataDxfId="1087"/>
    <tableColumn id="4" xr3:uid="{C666E8F0-59CD-4690-9C34-89B413CF3F89}" name="2022" dataDxfId="1086"/>
    <tableColumn id="5" xr3:uid="{8142C5C6-A328-418E-80C9-67D1B911A9AE}" name="2023" dataDxfId="1085"/>
    <tableColumn id="6" xr3:uid="{3FD969AE-F14F-45E1-B764-888CE4D28EAE}" name="2024" dataDxfId="1084"/>
  </tableColumns>
  <tableStyleInfo name="TableStyleMedium9"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A61480F0-F3E1-4937-B815-AB7BEF769A9A}" name="Table9095103" displayName="Table9095103" ref="I24:O29" totalsRowShown="0" headerRowDxfId="1083" dataDxfId="1082">
  <autoFilter ref="I24:O29" xr:uid="{A61480F0-F3E1-4937-B815-AB7BEF769A9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CEBD1AF-4B26-4076-A917-95656C389CCA}" name="Forecasts" dataDxfId="1081"/>
    <tableColumn id="2" xr3:uid="{465BE7E2-377B-49F4-B746-B5B338C9A647}" name="2025" dataDxfId="1080"/>
    <tableColumn id="3" xr3:uid="{6A0E9A23-529B-478B-9063-C6FB2AF941D0}" name="2026" dataDxfId="1079"/>
    <tableColumn id="4" xr3:uid="{3017D5B0-BCF2-4CFD-AD24-32694FACB93F}" name="2027" dataDxfId="1078"/>
    <tableColumn id="5" xr3:uid="{E7A427B0-C6D3-40D1-BB2E-6AFB93A382BE}" name="2028" dataDxfId="1077"/>
    <tableColumn id="6" xr3:uid="{9CCF129E-AB0A-4F72-AFBE-8C01CCB99B4F}" name="2029" dataDxfId="1076"/>
    <tableColumn id="7" xr3:uid="{1F7C2303-44AE-49A9-AD5E-1FE022C3AC42}" name="2030" dataDxfId="1075"/>
  </tableColumns>
  <tableStyleInfo name="TableStyleMedium9"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ED3041DE-5E26-42F2-86E1-728D33DD8EF0}" name="Table89100106" displayName="Table89100106" ref="Q1:V7" totalsRowShown="0" headerRowDxfId="1074" dataDxfId="1073">
  <autoFilter ref="Q1:V7" xr:uid="{ED3041DE-5E26-42F2-86E1-728D33DD8EF0}">
    <filterColumn colId="0" hiddenButton="1"/>
    <filterColumn colId="1" hiddenButton="1"/>
    <filterColumn colId="2" hiddenButton="1"/>
    <filterColumn colId="3" hiddenButton="1"/>
    <filterColumn colId="4" hiddenButton="1"/>
    <filterColumn colId="5" hiddenButton="1"/>
  </autoFilter>
  <tableColumns count="6">
    <tableColumn id="1" xr3:uid="{29C084FD-77E8-4A4A-80F9-FB652B265256}" name="KPI" dataDxfId="1072"/>
    <tableColumn id="2" xr3:uid="{9C72BEB4-19A0-4F1F-9F53-F895CCCB7BA1}" name="2020" dataDxfId="1071"/>
    <tableColumn id="3" xr3:uid="{D31FB99F-F20C-44AF-91F0-C52525829B37}" name="2021" dataDxfId="1070"/>
    <tableColumn id="4" xr3:uid="{7953085A-AFE1-4B37-BEC4-BE74741059D5}" name="2022" dataDxfId="1069"/>
    <tableColumn id="5" xr3:uid="{33516899-98C0-4BCC-AEAA-ECBDCAB1B4CA}" name="2023" dataDxfId="1068"/>
    <tableColumn id="6" xr3:uid="{5277E107-4D9B-4608-8ADB-7ED43F117D32}" name="2024" dataDxfId="1067"/>
  </tableColumns>
  <tableStyleInfo name="TableStyleMedium9"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96593D3-D1CE-4E11-9139-8CD475940B9A}" name="Table90101107" displayName="Table90101107" ref="Q9:W14" totalsRowShown="0" headerRowDxfId="1066" dataDxfId="1065">
  <autoFilter ref="Q9:W14" xr:uid="{096593D3-D1CE-4E11-9139-8CD475940B9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C8F4EC7-4FA2-4575-94D6-6BD9DB499A55}" name="Forecasts" dataDxfId="1064"/>
    <tableColumn id="2" xr3:uid="{54CD60D7-80BE-4C46-8547-3B955800960B}" name="2025" dataDxfId="1063"/>
    <tableColumn id="3" xr3:uid="{FB722096-F7E5-47D3-AB7B-92B1880A9E42}" name="2026" dataDxfId="1062"/>
    <tableColumn id="4" xr3:uid="{07157AF7-6EE7-4C25-B2B2-85B4F4E605D4}" name="2027" dataDxfId="1061"/>
    <tableColumn id="5" xr3:uid="{AF689326-3B23-4612-8729-9D0CAF04EC9C}" name="2028" dataDxfId="1060"/>
    <tableColumn id="6" xr3:uid="{1241C1E1-5E31-41D2-BBC0-EFF00B682498}" name="2029" dataDxfId="1059"/>
    <tableColumn id="7" xr3:uid="{88D14662-E3FA-4C37-8E14-6FF2AFECBFE3}" name="2030" dataDxfId="1058"/>
  </tableColumns>
  <tableStyleInfo name="TableStyleMedium9"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95D9D30A-0DF6-44FE-AA78-E3C95D2EFD82}" name="Table109" displayName="Table109" ref="A1:G8" totalsRowShown="0" headerRowDxfId="1057" dataDxfId="1056">
  <autoFilter ref="A1:G8" xr:uid="{95D9D30A-0DF6-44FE-AA78-E3C95D2EFD8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D877F7-74A6-4C1F-B8C2-962E29CF9B5D}" name="KPI" dataDxfId="1055"/>
    <tableColumn id="2" xr3:uid="{23D70ABF-0F1F-4A4E-9EA1-1FCD507A9391}" name="2020" dataDxfId="1054"/>
    <tableColumn id="3" xr3:uid="{344B0B89-C6C9-4C8D-ABB8-875CF419E374}" name="2021" dataDxfId="1053"/>
    <tableColumn id="4" xr3:uid="{7FD45D65-4F54-4FEC-AABC-DDE8CFA16325}" name="2022" dataDxfId="1052"/>
    <tableColumn id="5" xr3:uid="{FE04219A-5C95-4181-86DE-D6A949EF36D4}" name="2023" dataDxfId="1051"/>
    <tableColumn id="6" xr3:uid="{BD08F9D2-4472-4D19-BD91-2592C3168964}" name="2024" dataDxfId="1050"/>
    <tableColumn id="7" xr3:uid="{12669C78-A6F8-4C73-A80A-09094730491E}" name="2025" dataDxfId="1049"/>
  </tableColumns>
  <tableStyleInfo name="TableStyleMedium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63259EAE-D0C5-415B-B931-F70E2C2C379B}" name="Table109111" displayName="Table109111" ref="A10:G17" totalsRowShown="0" headerRowDxfId="1048" dataDxfId="1047">
  <autoFilter ref="A10:G17" xr:uid="{63259EAE-D0C5-415B-B931-F70E2C2C379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072508E-4A83-4584-AC88-FD010476AFDF}" name="KPI" dataDxfId="1046"/>
    <tableColumn id="2" xr3:uid="{E62FCD18-8970-4955-AEC4-3720C476F326}" name="2020" dataDxfId="1045"/>
    <tableColumn id="3" xr3:uid="{23667E6B-1188-4AE7-9F6D-251AA10D39AF}" name="2021" dataDxfId="1044"/>
    <tableColumn id="4" xr3:uid="{DA076B9A-14E9-431D-8AB3-2BD728FD929C}" name="2022" dataDxfId="1043"/>
    <tableColumn id="5" xr3:uid="{F6193246-456E-47C5-BD74-7AA83A9EA0FD}" name="2023" dataDxfId="1042"/>
    <tableColumn id="6" xr3:uid="{48464E11-908D-4068-A52D-CAEE401F1457}" name="2024" dataDxfId="1041"/>
    <tableColumn id="7" xr3:uid="{A5C57B4E-AC49-4E4B-A07A-4195180EC1A5}" name="2025" dataDxfId="1040"/>
  </tableColumns>
  <tableStyleInfo name="TableStyleMedium9"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CB30CA7-0914-46DD-AAD8-CD717A9558C6}" name="Table109112" displayName="Table109112" ref="A19:G26" totalsRowShown="0" headerRowDxfId="1039" dataDxfId="1038">
  <autoFilter ref="A19:G26" xr:uid="{FCB30CA7-0914-46DD-AAD8-CD717A9558C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1383F6-A0CC-44B2-8E7C-ECD6357BDF94}" name="KPI" dataDxfId="1037"/>
    <tableColumn id="2" xr3:uid="{4BBA947C-3CEC-455C-AC5A-E3C36F000D95}" name="2020" dataDxfId="1036"/>
    <tableColumn id="3" xr3:uid="{9FA0F4CA-AF7D-4B6E-9AAC-F1374A7EB9AE}" name="2021" dataDxfId="1035"/>
    <tableColumn id="4" xr3:uid="{9F343885-A852-4EFA-A12C-4FEFD7C34451}" name="2022" dataDxfId="1034"/>
    <tableColumn id="5" xr3:uid="{3206584C-CB56-498B-8C2A-66D2CB4AA476}" name="2023" dataDxfId="1033"/>
    <tableColumn id="6" xr3:uid="{0409FAC4-8C14-4C53-B644-EFEC0745E3EA}" name="2024" dataDxfId="1032"/>
    <tableColumn id="7" xr3:uid="{1ED56617-4452-48E2-B2B1-B4A362341A00}" name="2025" dataDxfId="1031"/>
  </tableColumns>
  <tableStyleInfo name="TableStyleMedium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D7112CCF-352E-42CE-9692-0D30C7327BF7}" name="Table109113" displayName="Table109113" ref="I1:O6" totalsRowShown="0" headerRowDxfId="1030" dataDxfId="1029">
  <autoFilter ref="I1:O6" xr:uid="{D7112CCF-352E-42CE-9692-0D30C7327BF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12F267-BB38-4883-9FD9-0F3BEF2F86AF}" name="KPI" dataDxfId="1028"/>
    <tableColumn id="2" xr3:uid="{754C3698-56AA-4C13-93E5-864409877BE6}" name="2020" dataDxfId="1027"/>
    <tableColumn id="3" xr3:uid="{32CC9182-1E2D-409B-8815-F97902B5086B}" name="2021" dataDxfId="1026"/>
    <tableColumn id="4" xr3:uid="{954C6425-0465-4508-A64F-C88819CAE935}" name="2022" dataDxfId="1025"/>
    <tableColumn id="5" xr3:uid="{73A43A8F-74A3-4B8C-836D-F0ADD06516C7}" name="2023" dataDxfId="1024"/>
    <tableColumn id="6" xr3:uid="{FA802B1B-D47A-485C-825B-773794642281}" name="2024" dataDxfId="1023"/>
    <tableColumn id="7" xr3:uid="{B4ED2585-12BE-4C5D-A9EB-AE821E2EEFC2}" name="2025" dataDxfId="1022"/>
  </tableColumns>
  <tableStyleInfo name="TableStyleMedium9"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AEB91BF7-E8AD-4D39-9F95-73436459C2B5}" name="Table109114" displayName="Table109114" ref="I10:O17" totalsRowShown="0" headerRowDxfId="1021" dataDxfId="1020">
  <autoFilter ref="I10:O17" xr:uid="{AEB91BF7-E8AD-4D39-9F95-73436459C2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30BD2D-A77A-4910-9677-F223B91B08D2}" name="KPI" dataDxfId="1019"/>
    <tableColumn id="2" xr3:uid="{2B5D0BB3-87D4-4442-ABF9-851669EFA604}" name="2020" dataDxfId="1018"/>
    <tableColumn id="3" xr3:uid="{01C49FF6-7CFC-4E7A-B5C6-E4C8A28BBC93}" name="2021" dataDxfId="1017"/>
    <tableColumn id="4" xr3:uid="{7925DDD4-10C7-4473-822E-D3E6791189C6}" name="2022" dataDxfId="1016"/>
    <tableColumn id="5" xr3:uid="{DE509BA3-BD76-4329-ABA3-16F71448EE4D}" name="2023" dataDxfId="1015"/>
    <tableColumn id="6" xr3:uid="{180C89F3-6DE3-4105-A482-0C292697A260}" name="2024" dataDxfId="1014"/>
    <tableColumn id="7" xr3:uid="{C0753FDB-07D4-4519-839C-204F00AB7900}" name="2025" dataDxfId="1013"/>
  </tableColumns>
  <tableStyleInfo name="TableStyleMedium9"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F28B86E4-84FE-48D3-9A79-09D3EFFFEFB0}" name="Table109115" displayName="Table109115" ref="I19:O26" totalsRowShown="0" headerRowDxfId="1012" dataDxfId="1011">
  <autoFilter ref="I19:O26" xr:uid="{F28B86E4-84FE-48D3-9A79-09D3EFFFEFB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6CA17B9-D4B9-474C-8522-90A45346BE73}" name="KPI" dataDxfId="1010"/>
    <tableColumn id="2" xr3:uid="{E28AF90A-430C-4910-A543-D032A250EC12}" name="2020" dataDxfId="1009"/>
    <tableColumn id="3" xr3:uid="{50E754DD-CF50-4DE8-87AD-0DA23369C65B}" name="2021" dataDxfId="1008"/>
    <tableColumn id="4" xr3:uid="{B372F259-61C3-4655-81CA-574C09B6531F}" name="2022" dataDxfId="1007"/>
    <tableColumn id="5" xr3:uid="{86F30395-0065-4C6D-AB14-ABC1AD287867}" name="2023" dataDxfId="1006"/>
    <tableColumn id="6" xr3:uid="{62659509-46C0-47F8-B63B-0FDAB387B144}" name="2024" dataDxfId="1005"/>
    <tableColumn id="7" xr3:uid="{61127700-0817-4700-BDAA-03C1B6CECE83}" name="2025" dataDxfId="1004"/>
  </tableColumns>
  <tableStyleInfo name="TableStyleMedium9"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D36EC02-A290-47B6-8CD3-A37AE16425FC}" name="Table115" displayName="Table115" ref="A28:F31" totalsRowShown="0" headerRowDxfId="1003" dataDxfId="1002">
  <autoFilter ref="A28:F31" xr:uid="{DD36EC02-A290-47B6-8CD3-A37AE16425FC}">
    <filterColumn colId="0" hiddenButton="1"/>
    <filterColumn colId="1" hiddenButton="1"/>
    <filterColumn colId="2" hiddenButton="1"/>
    <filterColumn colId="3" hiddenButton="1"/>
    <filterColumn colId="4" hiddenButton="1"/>
    <filterColumn colId="5" hiddenButton="1"/>
  </autoFilter>
  <tableColumns count="6">
    <tableColumn id="1" xr3:uid="{045F272F-1A7C-49A7-894E-9D972CE8A748}" name="Forecasts" dataDxfId="1001"/>
    <tableColumn id="2" xr3:uid="{3B9761AD-F19C-4A43-9111-CB33EC1A85BF}" name="2026" dataDxfId="1000"/>
    <tableColumn id="3" xr3:uid="{810E5F6D-BF85-4A6E-BB4A-FAF67CDA9C46}" name="2027" dataDxfId="999"/>
    <tableColumn id="4" xr3:uid="{67844293-B43B-4350-B187-D10FA4A601B9}" name="2028" dataDxfId="998"/>
    <tableColumn id="5" xr3:uid="{C6C57533-8898-4978-81A7-40DBC9A37DAA}" name="2029" dataDxfId="997"/>
    <tableColumn id="6" xr3:uid="{D7EF4256-96B1-428A-94BB-29DD7F4FA531}" name="2030" dataDxfId="996"/>
  </tableColumns>
  <tableStyleInfo name="TableStyleMedium9"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610132C4-4FC0-4542-A8E0-569E1668F10A}" name="Table115117" displayName="Table115117" ref="A33:F36" totalsRowShown="0" headerRowDxfId="995" dataDxfId="994">
  <autoFilter ref="A33:F36" xr:uid="{610132C4-4FC0-4542-A8E0-569E1668F10A}">
    <filterColumn colId="0" hiddenButton="1"/>
    <filterColumn colId="1" hiddenButton="1"/>
    <filterColumn colId="2" hiddenButton="1"/>
    <filterColumn colId="3" hiddenButton="1"/>
    <filterColumn colId="4" hiddenButton="1"/>
    <filterColumn colId="5" hiddenButton="1"/>
  </autoFilter>
  <tableColumns count="6">
    <tableColumn id="1" xr3:uid="{43C92A45-FA8F-42AB-BA88-F0B922F5B461}" name="Forecasts" dataDxfId="993"/>
    <tableColumn id="2" xr3:uid="{60D0A445-951E-439D-A3DB-C72BDF1F313A}" name="2026" dataDxfId="992"/>
    <tableColumn id="3" xr3:uid="{AFD4B7F0-106C-4FB3-ACC1-BD5C90B12907}" name="2027" dataDxfId="991"/>
    <tableColumn id="4" xr3:uid="{22D6D968-E17C-4463-8437-5E14F22D8D22}" name="2028" dataDxfId="990"/>
    <tableColumn id="5" xr3:uid="{46A2A794-F92A-4FFD-BA6F-5858EFA585FC}" name="2029" dataDxfId="989"/>
    <tableColumn id="6" xr3:uid="{1F7B3008-C46F-44F9-9EFE-E32D23CA19F1}" name="2030" dataDxfId="988"/>
  </tableColumns>
  <tableStyleInfo name="TableStyleMedium9"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75D67972-85AC-4A32-8E16-7510F0A5176E}" name="Table115118" displayName="Table115118" ref="A38:F41" totalsRowShown="0" headerRowDxfId="987" dataDxfId="986">
  <autoFilter ref="A38:F41" xr:uid="{75D67972-85AC-4A32-8E16-7510F0A5176E}">
    <filterColumn colId="0" hiddenButton="1"/>
    <filterColumn colId="1" hiddenButton="1"/>
    <filterColumn colId="2" hiddenButton="1"/>
    <filterColumn colId="3" hiddenButton="1"/>
    <filterColumn colId="4" hiddenButton="1"/>
    <filterColumn colId="5" hiddenButton="1"/>
  </autoFilter>
  <tableColumns count="6">
    <tableColumn id="1" xr3:uid="{54E36EC5-7C31-4573-BAEA-B7C8B3DE7AC8}" name="Forecasts" dataDxfId="985"/>
    <tableColumn id="2" xr3:uid="{6AF10C7D-BFAF-46FC-AC03-B93FAC449810}" name="2026" dataDxfId="984"/>
    <tableColumn id="3" xr3:uid="{A52EF93D-ECC0-4A48-A453-1F7824CE9B4A}" name="2027" dataDxfId="983"/>
    <tableColumn id="4" xr3:uid="{C4B28E76-0A17-4BF8-8E71-F86C82C77E4D}" name="2028" dataDxfId="982"/>
    <tableColumn id="5" xr3:uid="{851DD161-0FA5-40C2-A041-EA1CB0D93B87}" name="2029" dataDxfId="981"/>
    <tableColumn id="6" xr3:uid="{306F0058-7FAA-42E0-8C06-F84337AC708B}" name="2030" dataDxfId="980"/>
  </tableColumns>
  <tableStyleInfo name="TableStyleMedium9"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5E7094AA-E553-49E1-97BA-8073BF4A70C6}" name="Table115119" displayName="Table115119" ref="I28:N31" totalsRowShown="0" headerRowDxfId="979" dataDxfId="978">
  <autoFilter ref="I28:N31" xr:uid="{5E7094AA-E553-49E1-97BA-8073BF4A70C6}">
    <filterColumn colId="0" hiddenButton="1"/>
    <filterColumn colId="1" hiddenButton="1"/>
    <filterColumn colId="2" hiddenButton="1"/>
    <filterColumn colId="3" hiddenButton="1"/>
    <filterColumn colId="4" hiddenButton="1"/>
    <filterColumn colId="5" hiddenButton="1"/>
  </autoFilter>
  <tableColumns count="6">
    <tableColumn id="1" xr3:uid="{F8E89E0C-F52F-462F-A8F3-04259029CEA7}" name="Forecasts" dataDxfId="977"/>
    <tableColumn id="2" xr3:uid="{51F899D9-86B8-45BE-ADD1-4BB85AE684EB}" name="2026" dataDxfId="976"/>
    <tableColumn id="3" xr3:uid="{8C98EEF6-7792-43E6-A8BE-F9D189F38A83}" name="2027" dataDxfId="975"/>
    <tableColumn id="4" xr3:uid="{E262CC7D-DB1A-41CA-A64C-D2EF56E48FC7}" name="2028" dataDxfId="974"/>
    <tableColumn id="5" xr3:uid="{8B1D37A0-4EE4-4B69-820C-06437D6C80D9}" name="2029" dataDxfId="973"/>
    <tableColumn id="6" xr3:uid="{C0740BEF-D980-4D3C-870D-1C302DFC8D89}" name="2030" dataDxfId="972"/>
  </tableColumns>
  <tableStyleInfo name="TableStyleMedium9"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E2627EB5-8F17-4071-BCC6-53C725247E3F}" name="Table115117120" displayName="Table115117120" ref="I33:N36" totalsRowShown="0" headerRowDxfId="971" dataDxfId="970">
  <autoFilter ref="I33:N36" xr:uid="{E2627EB5-8F17-4071-BCC6-53C725247E3F}">
    <filterColumn colId="0" hiddenButton="1"/>
    <filterColumn colId="1" hiddenButton="1"/>
    <filterColumn colId="2" hiddenButton="1"/>
    <filterColumn colId="3" hiddenButton="1"/>
    <filterColumn colId="4" hiddenButton="1"/>
    <filterColumn colId="5" hiddenButton="1"/>
  </autoFilter>
  <tableColumns count="6">
    <tableColumn id="1" xr3:uid="{D193F6A5-3008-4FF8-B481-3C789093E170}" name="Forecasts" dataDxfId="969"/>
    <tableColumn id="2" xr3:uid="{DC32B192-FB24-41C0-9858-C9CD95862DAA}" name="2026" dataDxfId="968"/>
    <tableColumn id="3" xr3:uid="{34C33FD3-EA8A-4853-BFBF-84FB87F4B8A5}" name="2027" dataDxfId="967"/>
    <tableColumn id="4" xr3:uid="{80AB32C4-ADA7-4991-A682-284EB17EF5EB}" name="2028" dataDxfId="966"/>
    <tableColumn id="5" xr3:uid="{BEB3285B-CB09-4BB8-999C-51800805AD6D}" name="2029" dataDxfId="965"/>
    <tableColumn id="6" xr3:uid="{A435B955-A101-4F4C-929C-A9806F3D7F68}" name="2030" dataDxfId="964"/>
  </tableColumns>
  <tableStyleInfo name="TableStyleMedium9"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63C5167F-3E1D-45C5-A249-D706745963D7}" name="Table115118121" displayName="Table115118121" ref="I38:N41" totalsRowShown="0" headerRowDxfId="963" dataDxfId="962">
  <autoFilter ref="I38:N41" xr:uid="{63C5167F-3E1D-45C5-A249-D706745963D7}">
    <filterColumn colId="0" hiddenButton="1"/>
    <filterColumn colId="1" hiddenButton="1"/>
    <filterColumn colId="2" hiddenButton="1"/>
    <filterColumn colId="3" hiddenButton="1"/>
    <filterColumn colId="4" hiddenButton="1"/>
    <filterColumn colId="5" hiddenButton="1"/>
  </autoFilter>
  <tableColumns count="6">
    <tableColumn id="1" xr3:uid="{9A4A0B4C-5410-42D3-ABC8-0CF2D931D1F6}" name="Forecasts" dataDxfId="961"/>
    <tableColumn id="2" xr3:uid="{1EAEBC42-27A1-4026-A514-F6ADFF094904}" name="2026" dataDxfId="960"/>
    <tableColumn id="3" xr3:uid="{DEF1AC3F-8C2F-4374-B37B-D288CFF43C81}" name="2027" dataDxfId="959"/>
    <tableColumn id="4" xr3:uid="{50B49156-061A-490F-A307-E73C446ED7B0}" name="2028" dataDxfId="958"/>
    <tableColumn id="5" xr3:uid="{D7ADC68D-BB56-4A87-B451-6CC2FC864591}" name="2029" dataDxfId="957"/>
    <tableColumn id="6" xr3:uid="{6138C5A5-762A-4578-A2CE-799BCE53F35B}" name="2030" dataDxfId="956"/>
  </tableColumns>
  <tableStyleInfo name="TableStyleMedium9"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D3AD08D4-404D-4C34-B51E-08B1894629E0}" name="Table123" displayName="Table123" ref="A1:F8" totalsRowShown="0" headerRowDxfId="955" dataDxfId="954" tableBorderDxfId="953">
  <autoFilter ref="A1:F8" xr:uid="{D3AD08D4-404D-4C34-B51E-08B1894629E0}">
    <filterColumn colId="0" hiddenButton="1"/>
    <filterColumn colId="1" hiddenButton="1"/>
    <filterColumn colId="2" hiddenButton="1"/>
    <filterColumn colId="3" hiddenButton="1"/>
    <filterColumn colId="4" hiddenButton="1"/>
    <filterColumn colId="5" hiddenButton="1"/>
  </autoFilter>
  <tableColumns count="6">
    <tableColumn id="1" xr3:uid="{B8C622E1-F9E8-4FB4-9B1A-02962409D44B}" name="KPI" dataDxfId="952"/>
    <tableColumn id="2" xr3:uid="{15C310DA-B21A-474B-8AEC-420FB284A5DA}" name="2020" dataDxfId="951"/>
    <tableColumn id="3" xr3:uid="{15867123-EEA6-425F-94A5-1F71245D6260}" name="2021" dataDxfId="950"/>
    <tableColumn id="4" xr3:uid="{804766C8-29E6-4D6A-9D02-5A03BE0E4429}" name="2022" dataDxfId="949"/>
    <tableColumn id="5" xr3:uid="{DB2990BF-50B1-4546-8A21-41BFD21A8909}" name="2023" dataDxfId="948"/>
    <tableColumn id="6" xr3:uid="{0B82C273-03A1-47DE-85C7-A9ACC2946121}" name="2024" dataDxfId="947"/>
  </tableColumns>
  <tableStyleInfo name="TableStyleMedium20"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F6EF62F-70EC-4D13-8C21-62D2A188D41B}" name="Table123126" displayName="Table123126" ref="A10:F17" totalsRowShown="0" headerRowDxfId="946" dataDxfId="945" tableBorderDxfId="944">
  <autoFilter ref="A10:F17" xr:uid="{9F6EF62F-70EC-4D13-8C21-62D2A188D41B}">
    <filterColumn colId="0" hiddenButton="1"/>
    <filterColumn colId="1" hiddenButton="1"/>
    <filterColumn colId="2" hiddenButton="1"/>
    <filterColumn colId="3" hiddenButton="1"/>
    <filterColumn colId="4" hiddenButton="1"/>
    <filterColumn colId="5" hiddenButton="1"/>
  </autoFilter>
  <tableColumns count="6">
    <tableColumn id="1" xr3:uid="{E7D18F6C-D484-4114-9EC8-77B0F8C51438}" name="KPI" dataDxfId="943"/>
    <tableColumn id="2" xr3:uid="{07A3332E-1CC4-4C23-B99F-698A416174C4}" name="2020" dataDxfId="942"/>
    <tableColumn id="3" xr3:uid="{C3FD9162-6255-41EE-880F-F7180C3677EC}" name="2021" dataDxfId="941"/>
    <tableColumn id="4" xr3:uid="{EA60D13D-2599-4C67-A9F1-EA0E931E74DE}" name="2022" dataDxfId="940"/>
    <tableColumn id="5" xr3:uid="{72A77555-7937-4BFD-B508-401A01A6009B}" name="2023" dataDxfId="939"/>
    <tableColumn id="6" xr3:uid="{BA3A6D9C-4329-4B9E-9E13-BF6E43C53FFB}" name="2024" dataDxfId="938"/>
  </tableColumns>
  <tableStyleInfo name="TableStyleMedium20"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F3AED00D-9EE7-40D9-853D-9410C084DA51}" name="Table123129" displayName="Table123129" ref="H1:M8" totalsRowShown="0" headerRowDxfId="937" dataDxfId="936" tableBorderDxfId="935">
  <autoFilter ref="H1:M8" xr:uid="{F3AED00D-9EE7-40D9-853D-9410C084DA51}">
    <filterColumn colId="0" hiddenButton="1"/>
    <filterColumn colId="1" hiddenButton="1"/>
    <filterColumn colId="2" hiddenButton="1"/>
    <filterColumn colId="3" hiddenButton="1"/>
    <filterColumn colId="4" hiddenButton="1"/>
    <filterColumn colId="5" hiddenButton="1"/>
  </autoFilter>
  <tableColumns count="6">
    <tableColumn id="1" xr3:uid="{A248249D-BFD3-4DDB-990C-0D59AF27E3F0}" name="KPI" dataDxfId="934"/>
    <tableColumn id="2" xr3:uid="{6D1F192A-21C8-4A2E-B61C-C3CDB6330C3F}" name="2020" dataDxfId="933"/>
    <tableColumn id="3" xr3:uid="{7BD71581-CCD6-4EFA-A330-C22C1A6B0ED9}" name="2021" dataDxfId="932"/>
    <tableColumn id="4" xr3:uid="{04EFE317-E14A-4EF2-9813-75D892EE963B}" name="2022" dataDxfId="931"/>
    <tableColumn id="5" xr3:uid="{A2C146BE-6BE8-4AD1-995A-63E8C033EBF8}" name="2023" dataDxfId="930"/>
    <tableColumn id="6" xr3:uid="{B922A5FB-5B26-40F1-A497-D891C098390E}" name="2024" dataDxfId="929"/>
  </tableColumns>
  <tableStyleInfo name="TableStyleMedium20"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1C4646B5-0420-4F54-8880-99C66C3F4EBE}" name="Table123126130" displayName="Table123126130" ref="H10:M17" totalsRowShown="0" headerRowDxfId="928" dataDxfId="927" tableBorderDxfId="926">
  <autoFilter ref="H10:M17" xr:uid="{1C4646B5-0420-4F54-8880-99C66C3F4EBE}">
    <filterColumn colId="0" hiddenButton="1"/>
    <filterColumn colId="1" hiddenButton="1"/>
    <filterColumn colId="2" hiddenButton="1"/>
    <filterColumn colId="3" hiddenButton="1"/>
    <filterColumn colId="4" hiddenButton="1"/>
    <filterColumn colId="5" hiddenButton="1"/>
  </autoFilter>
  <tableColumns count="6">
    <tableColumn id="1" xr3:uid="{1F73B5D9-74F6-43B8-8CA6-552DAB5472F7}" name="KPI" dataDxfId="925"/>
    <tableColumn id="2" xr3:uid="{4957461C-0134-4A79-B93A-86156E1022CC}" name="2020" dataDxfId="924"/>
    <tableColumn id="3" xr3:uid="{9059CB8C-3023-4D28-8E98-B7BC8D372795}" name="2021" dataDxfId="923"/>
    <tableColumn id="4" xr3:uid="{AE12D165-EE5A-4354-89C6-3E519DC6EDC8}" name="2022" dataDxfId="922"/>
    <tableColumn id="5" xr3:uid="{24413AEE-06EB-4DEE-AB9E-564E03CF7F82}" name="2023" dataDxfId="921"/>
    <tableColumn id="6" xr3:uid="{4CEEBDE7-47B6-4252-BCEE-54149A38393A}" name="2024" dataDxfId="920"/>
  </tableColumns>
  <tableStyleInfo name="TableStyleMedium20"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414758E4-A02A-4D79-B75B-A0612F36C50B}" name="Table123129131" displayName="Table123129131" ref="O1:U8" totalsRowShown="0" headerRowDxfId="919" dataDxfId="918" tableBorderDxfId="917">
  <autoFilter ref="O1:U8" xr:uid="{414758E4-A02A-4D79-B75B-A0612F36C50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EF55AFA-BD44-4665-9183-00B1EA557164}" name="KPI" dataDxfId="916"/>
    <tableColumn id="2" xr3:uid="{46B35431-0DD2-4FC3-93A0-CEED93BDF58D}" name="2020" dataDxfId="915"/>
    <tableColumn id="3" xr3:uid="{FE54C842-8A55-4161-8DE0-E154F59EE55A}" name="2021" dataDxfId="914"/>
    <tableColumn id="4" xr3:uid="{FDE582A9-47C8-4349-AB57-46A7F3CC2D93}" name="2022" dataDxfId="913"/>
    <tableColumn id="5" xr3:uid="{3372779B-6408-4BE5-B9B4-3ECA700F2C96}" name="2023" dataDxfId="912"/>
    <tableColumn id="6" xr3:uid="{FCDC4D37-F56C-4B7D-91F0-E3A2ED09206A}" name="2024" dataDxfId="911"/>
    <tableColumn id="7" xr3:uid="{B9D74C89-AC17-43FB-86E3-EF19E8D0182F}" name="2025" dataDxfId="910"/>
  </tableColumns>
  <tableStyleInfo name="TableStyleMedium20"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EC17E8BE-9688-4F2F-991A-69584AF69B87}" name="Table131" displayName="Table131" ref="A19:G23" totalsRowShown="0" headerRowDxfId="909" dataDxfId="908" tableBorderDxfId="907">
  <autoFilter ref="A19:G23" xr:uid="{EC17E8BE-9688-4F2F-991A-69584AF69B8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10BA853-F69A-4660-B99D-7C06B8A78250}" name="Forecasts" dataDxfId="906"/>
    <tableColumn id="2" xr3:uid="{064A2C79-1099-483C-9996-C2930A1EBAE1}" name="2025" dataDxfId="905"/>
    <tableColumn id="3" xr3:uid="{AD7C6A75-CC79-49B8-998C-63C5F06DF9C9}" name="2026" dataDxfId="904"/>
    <tableColumn id="4" xr3:uid="{601C21CD-34A2-40A9-8B82-6ED21C05F164}" name="2027" dataDxfId="903"/>
    <tableColumn id="5" xr3:uid="{8440E0B2-F897-4D08-9C84-F259B78E011C}" name="2028" dataDxfId="902"/>
    <tableColumn id="6" xr3:uid="{9891F77D-0E05-4A08-BE00-CE1118B6C87A}" name="2029" dataDxfId="901"/>
    <tableColumn id="7" xr3:uid="{6B360DCE-471C-4D9C-A959-08D5F24BAC6C}" name="2030" dataDxfId="900"/>
  </tableColumns>
  <tableStyleInfo name="TableStyleMedium20"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4B0457EB-E5E9-4E1D-8714-C8BC547CB4B9}" name="Table131133" displayName="Table131133" ref="A25:G29" totalsRowShown="0" headerRowDxfId="899" dataDxfId="898" tableBorderDxfId="897">
  <autoFilter ref="A25:G29" xr:uid="{4B0457EB-E5E9-4E1D-8714-C8BC547CB4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C667ABE-D78F-476E-A298-8B970F571DDF}" name="Forecasts" dataDxfId="896"/>
    <tableColumn id="2" xr3:uid="{F0036584-4BE9-4BD8-9E2F-C8CDBB65C533}" name="2025" dataDxfId="895"/>
    <tableColumn id="3" xr3:uid="{6A27108A-DF93-4F68-BC68-7537171E8687}" name="2026" dataDxfId="894"/>
    <tableColumn id="4" xr3:uid="{53EB420F-82CD-4DE6-A708-7FD47BE00E99}" name="2027" dataDxfId="893"/>
    <tableColumn id="5" xr3:uid="{FD0BE8DA-2516-47A5-978A-6BC84096DB1C}" name="2028" dataDxfId="892"/>
    <tableColumn id="6" xr3:uid="{2174020D-02ED-4939-B45D-035BB5D99888}" name="2029" dataDxfId="891"/>
    <tableColumn id="7" xr3:uid="{471EF432-275C-42C0-810B-F0E67E233239}" name="2030" dataDxfId="890"/>
  </tableColumns>
  <tableStyleInfo name="TableStyleMedium20"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CCD9B4A1-0EAD-4EE0-B441-699F145EDDED}" name="Table131134" displayName="Table131134" ref="A31:G35" totalsRowShown="0" headerRowDxfId="889" dataDxfId="888" tableBorderDxfId="887">
  <autoFilter ref="A31:G35" xr:uid="{CCD9B4A1-0EAD-4EE0-B441-699F145EDDE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DD385C-C988-446B-B493-E8D377FAB869}" name="Forecasts" dataDxfId="886"/>
    <tableColumn id="2" xr3:uid="{0B072CD5-E456-4AFD-8B9D-D242CB3CA035}" name="2025" dataDxfId="885"/>
    <tableColumn id="3" xr3:uid="{3F363E60-DD8F-41EF-B194-36E20632E7E0}" name="2026" dataDxfId="884"/>
    <tableColumn id="4" xr3:uid="{304EE4BD-7A21-46B8-BBC3-975CB7B1BE39}" name="2027" dataDxfId="883"/>
    <tableColumn id="5" xr3:uid="{BA3C0811-1043-4F79-B858-46B93DF551FD}" name="2028" dataDxfId="882"/>
    <tableColumn id="6" xr3:uid="{C7489430-9DF5-4830-91EA-E1C722A4E9FA}" name="2029" dataDxfId="881"/>
    <tableColumn id="7" xr3:uid="{06615CB6-3100-42C0-9C05-E187C59CC8ED}" name="2030" dataDxfId="880"/>
  </tableColumns>
  <tableStyleInfo name="TableStyleMedium20"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99968C26-1CDF-4646-BDC1-9AA6664EB468}" name="Table131135" displayName="Table131135" ref="A37:G41" totalsRowShown="0" headerRowDxfId="879" dataDxfId="878" tableBorderDxfId="877">
  <autoFilter ref="A37:G41" xr:uid="{99968C26-1CDF-4646-BDC1-9AA6664EB46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32D29DD-3AB9-4CD4-8D44-9EEF69F41DAF}" name="Forecasts" dataDxfId="876"/>
    <tableColumn id="2" xr3:uid="{48E4C0DD-D02A-4415-9BB0-CE5945AEC8FE}" name="2025" dataDxfId="875"/>
    <tableColumn id="3" xr3:uid="{8CB6A925-A93F-4138-A3C2-4D267174983E}" name="2026" dataDxfId="874"/>
    <tableColumn id="4" xr3:uid="{3F01534B-40AD-4219-9EAB-03127175AF09}" name="2027" dataDxfId="873"/>
    <tableColumn id="5" xr3:uid="{98145AE0-3DF3-422C-8A16-6CECCFF8F61C}" name="2028" dataDxfId="872"/>
    <tableColumn id="6" xr3:uid="{F1862FA8-2D7B-4771-8E01-E466117D2EC6}" name="2029" dataDxfId="871"/>
    <tableColumn id="7" xr3:uid="{77D8F6C2-8B59-4A02-A667-CFD61DBDC564}" name="2030" dataDxfId="870"/>
  </tableColumns>
  <tableStyleInfo name="TableStyleMedium20"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45DD19D6-DB5B-4656-9A15-F77DA7A13C54}" name="Table131136" displayName="Table131136" ref="A43:F47" totalsRowShown="0" headerRowDxfId="869" dataDxfId="868" tableBorderDxfId="867">
  <autoFilter ref="A43:F47" xr:uid="{45DD19D6-DB5B-4656-9A15-F77DA7A13C54}">
    <filterColumn colId="0" hiddenButton="1"/>
    <filterColumn colId="1" hiddenButton="1"/>
    <filterColumn colId="2" hiddenButton="1"/>
    <filterColumn colId="3" hiddenButton="1"/>
    <filterColumn colId="4" hiddenButton="1"/>
    <filterColumn colId="5" hiddenButton="1"/>
  </autoFilter>
  <tableColumns count="6">
    <tableColumn id="1" xr3:uid="{C7511076-3F5C-435F-BEA4-6F1BC47919D2}" name="Forecasts" dataDxfId="866"/>
    <tableColumn id="2" xr3:uid="{9CD336AE-140A-4014-9C1C-7EE64CB00926}" name="2026" dataDxfId="865"/>
    <tableColumn id="3" xr3:uid="{831F9F61-C4BB-44F0-9F57-C65C8C264A91}" name="2027" dataDxfId="864"/>
    <tableColumn id="4" xr3:uid="{DE57A528-B175-4830-ADE8-9F46E623C2E7}" name="2028" dataDxfId="863"/>
    <tableColumn id="5" xr3:uid="{6BCA58AA-0712-4F43-8F64-926F47973C05}" name="2029" dataDxfId="862"/>
    <tableColumn id="6" xr3:uid="{7837FD5D-FF9B-4F89-8E72-C0733C5ECB0E}" name="2030" dataDxfId="861"/>
  </tableColumns>
  <tableStyleInfo name="TableStyleMedium20"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F22560-86C1-468C-A365-4AB8CD5429CF}" name="Table3" displayName="Table3" ref="A1:G7" totalsRowShown="0" headerRowDxfId="860" dataDxfId="859">
  <autoFilter ref="A1:G7" xr:uid="{64F22560-86C1-468C-A365-4AB8CD5429C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DE213AF-A737-4B87-9EEE-A96C0012ABB5}" name="KPI" dataDxfId="858"/>
    <tableColumn id="2" xr3:uid="{36365B88-2436-487C-9FA4-BB6E201C7B5D}" name="2020" dataDxfId="857"/>
    <tableColumn id="3" xr3:uid="{141DB8E4-17F5-4F44-871F-B472879931C2}" name="2021" dataDxfId="856"/>
    <tableColumn id="4" xr3:uid="{1F3F3A30-7F24-46A0-BC3B-4E385117F551}" name="2022" dataDxfId="855"/>
    <tableColumn id="5" xr3:uid="{A708E55B-F1F2-4B40-BA81-E52BF180F8C5}" name="2023" dataDxfId="854"/>
    <tableColumn id="6" xr3:uid="{71C772EC-999C-4E8A-9E48-3F34E8F4F1F1}" name="2024" dataDxfId="853"/>
    <tableColumn id="7" xr3:uid="{3C37D8DB-7BB7-4C17-A641-E060D812CA05}" name="2025" dataDxfId="852"/>
  </tableColumns>
  <tableStyleInfo name="TableStyleMedium10"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B29149D-123C-4603-B7E2-54F73E37D43F}" name="Table321" displayName="Table321" ref="A9:G15" totalsRowShown="0" headerRowDxfId="851" dataDxfId="850">
  <autoFilter ref="A9:G15" xr:uid="{CB29149D-123C-4603-B7E2-54F73E37D43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E3AB16C-EE41-47F6-B43B-2E397342EED2}" name="KPI" dataDxfId="849"/>
    <tableColumn id="2" xr3:uid="{95D44632-55AE-4E6F-A86A-1FF38710C036}" name="2020" dataDxfId="848"/>
    <tableColumn id="3" xr3:uid="{BBD002A2-389D-48AA-B9F5-B2ADBBC33F69}" name="2021" dataDxfId="847"/>
    <tableColumn id="4" xr3:uid="{F88BCF85-7930-4419-A84A-822212C0B7D5}" name="2022" dataDxfId="846"/>
    <tableColumn id="5" xr3:uid="{FA3DC296-11EC-4CEB-9F90-8A41408428F2}" name="2023" dataDxfId="845"/>
    <tableColumn id="6" xr3:uid="{A20C89F5-3BD5-466C-A306-6A35DC5819EC}" name="2024" dataDxfId="844"/>
    <tableColumn id="7" xr3:uid="{10298539-0792-48CE-ABE5-FC190A1D8B98}" name="2025" dataDxfId="843"/>
  </tableColumns>
  <tableStyleInfo name="TableStyleMedium10"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DAF83EA-127F-4E25-B1A4-3E3246546702}" name="Table322" displayName="Table322" ref="I1:O7" totalsRowShown="0" headerRowDxfId="842" dataDxfId="841">
  <autoFilter ref="I1:O7" xr:uid="{1DAF83EA-127F-4E25-B1A4-3E324654670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237CA9E-5B8F-4695-B089-C64C29D60ACB}" name="KPI" dataDxfId="840"/>
    <tableColumn id="2" xr3:uid="{00D1198A-A87E-4B09-9F5E-E23EA783885B}" name="2020" dataDxfId="839"/>
    <tableColumn id="3" xr3:uid="{48280310-55D1-4501-870A-B952CFF4B877}" name="2021" dataDxfId="838"/>
    <tableColumn id="4" xr3:uid="{51DCDC97-1252-4DAB-B6DE-81CE0B79E287}" name="2022" dataDxfId="837"/>
    <tableColumn id="5" xr3:uid="{22A670DC-40E4-4080-B14B-140E84A2DD17}" name="2023" dataDxfId="836"/>
    <tableColumn id="6" xr3:uid="{A1AA360F-0C3D-44A9-82B6-E8D6D6C86A46}" name="2024" dataDxfId="835"/>
    <tableColumn id="7" xr3:uid="{699C9460-4792-445D-8956-D9EBCA56E34D}" name="2025" dataDxfId="834"/>
  </tableColumns>
  <tableStyleInfo name="TableStyleMedium10"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D52BAED-0391-4DB1-AED2-571ABFBF7121}" name="Table32123" displayName="Table32123" ref="I9:O15" totalsRowShown="0" headerRowDxfId="833" dataDxfId="832">
  <autoFilter ref="I9:O15" xr:uid="{FD52BAED-0391-4DB1-AED2-571ABFBF712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DB6322F-2D79-475A-B4FA-C7AFE0638E7D}" name="KPI" dataDxfId="831"/>
    <tableColumn id="2" xr3:uid="{E853F1F7-5EF2-4511-A330-10D336F77960}" name="2020" dataDxfId="830"/>
    <tableColumn id="3" xr3:uid="{3068C6B7-3740-4E76-BCAF-EDD3818057D2}" name="2021" dataDxfId="829"/>
    <tableColumn id="4" xr3:uid="{04B31769-0A40-46E3-B17F-68A9B7CF6D7F}" name="2022" dataDxfId="828"/>
    <tableColumn id="5" xr3:uid="{448BA62E-D005-4648-BCE8-9E7D01675AA8}" name="2023" dataDxfId="827"/>
    <tableColumn id="6" xr3:uid="{7B699CD0-E0DE-40FF-9B47-004D005351C4}" name="2024" dataDxfId="826"/>
    <tableColumn id="7" xr3:uid="{0C1B02F9-B248-4471-9D10-80CBCB82F74E}" name="2025" dataDxfId="825"/>
  </tableColumns>
  <tableStyleInfo name="TableStyleMedium10"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AD85511-BE55-46DA-96FB-65D800610C01}" name="Table327" displayName="Table327" ref="Q1:W7" totalsRowShown="0" headerRowDxfId="824" dataDxfId="823">
  <autoFilter ref="Q1:W7" xr:uid="{2AD85511-BE55-46DA-96FB-65D800610C0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C9DC412-6BA6-43B7-A003-BA1EE1CD5586}" name="KPI" dataDxfId="822"/>
    <tableColumn id="2" xr3:uid="{7E4854BB-C640-4A43-A155-FE0110F60E5F}" name="2020" dataDxfId="821"/>
    <tableColumn id="3" xr3:uid="{D99BA544-8F0A-40C8-B700-2B7E73148F97}" name="2021" dataDxfId="820"/>
    <tableColumn id="4" xr3:uid="{7ADBDCC4-D296-4EBF-9869-59532EDCD1D2}" name="2022" dataDxfId="819"/>
    <tableColumn id="5" xr3:uid="{C5C8B193-2DE5-40DF-9C1D-ADA51BA9E8DC}" name="2023" dataDxfId="818"/>
    <tableColumn id="6" xr3:uid="{692A522A-9067-4F31-82A0-346CDADDE33A}" name="2024" dataDxfId="817"/>
    <tableColumn id="7" xr3:uid="{FEF6FFA5-8CF2-4FA4-BDE6-92D12CB976A8}" name="2025" dataDxfId="816"/>
  </tableColumns>
  <tableStyleInfo name="TableStyleMedium10"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5C2C945-363C-44DA-BC73-69F25F03C8A6}" name="Table32128" displayName="Table32128" ref="Q9:W15" totalsRowShown="0" headerRowDxfId="815" dataDxfId="814">
  <autoFilter ref="Q9:W15" xr:uid="{95C2C945-363C-44DA-BC73-69F25F03C8A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899794-21D9-4F9A-9BB9-CF54A7C26D06}" name="KPI" dataDxfId="813"/>
    <tableColumn id="2" xr3:uid="{589240FB-F9AD-4A90-8F61-C954BBADEB33}" name="2020" dataDxfId="812"/>
    <tableColumn id="3" xr3:uid="{FC2231E7-AED0-4BD6-95B3-9B0F9C65A141}" name="2021" dataDxfId="811"/>
    <tableColumn id="4" xr3:uid="{24193F30-6734-4E01-B416-200EDFB300BB}" name="2022" dataDxfId="810"/>
    <tableColumn id="5" xr3:uid="{BDCB546B-0F09-4EF3-BBE0-CCD07AB943B0}" name="2023" dataDxfId="809"/>
    <tableColumn id="6" xr3:uid="{2C804B49-0B59-432A-A689-5003BF0F1818}" name="2024" dataDxfId="808"/>
    <tableColumn id="7" xr3:uid="{2492CD83-5BA2-4B66-9284-8E1B4F8A49D6}" name="2025" dataDxfId="807"/>
  </tableColumns>
  <tableStyleInfo name="TableStyleMedium10"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FC7A9A5-04F1-4221-AB38-E17C44792A19}" name="Table32" displayName="Table32" ref="A17:F21" totalsRowShown="0" headerRowDxfId="806" dataDxfId="805">
  <autoFilter ref="A17:F21" xr:uid="{8FC7A9A5-04F1-4221-AB38-E17C44792A19}">
    <filterColumn colId="0" hiddenButton="1"/>
    <filterColumn colId="1" hiddenButton="1"/>
    <filterColumn colId="2" hiddenButton="1"/>
    <filterColumn colId="3" hiddenButton="1"/>
    <filterColumn colId="4" hiddenButton="1"/>
    <filterColumn colId="5" hiddenButton="1"/>
  </autoFilter>
  <tableColumns count="6">
    <tableColumn id="1" xr3:uid="{69020DE7-FA30-4AA4-ABA9-B1E376F62085}" name="Forecasts" dataDxfId="804"/>
    <tableColumn id="2" xr3:uid="{61435D9E-3BDC-413C-975C-8C9353B1C762}" name="2026" dataDxfId="803"/>
    <tableColumn id="3" xr3:uid="{DA356A66-4D6C-4359-9BF2-A10AE591FC5B}" name="2027" dataDxfId="802"/>
    <tableColumn id="4" xr3:uid="{FD6BE86B-99B3-4462-A781-BB36CF045827}" name="2028" dataDxfId="801"/>
    <tableColumn id="5" xr3:uid="{6C3EE0C1-5A24-4546-AF19-FC7F9F25EDC9}" name="2029" dataDxfId="800"/>
    <tableColumn id="6" xr3:uid="{C30B8B68-9333-42E6-B5B5-32FF7C982720}" name="2030" dataDxfId="799"/>
  </tableColumns>
  <tableStyleInfo name="TableStyleMedium10"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6E347FB-87FC-4797-AAB4-5A8F83F1DE64}" name="Table3241" displayName="Table3241" ref="A23:F27" totalsRowShown="0" headerRowDxfId="798" dataDxfId="797">
  <autoFilter ref="A23:F27" xr:uid="{46E347FB-87FC-4797-AAB4-5A8F83F1DE64}">
    <filterColumn colId="0" hiddenButton="1"/>
    <filterColumn colId="1" hiddenButton="1"/>
    <filterColumn colId="2" hiddenButton="1"/>
    <filterColumn colId="3" hiddenButton="1"/>
    <filterColumn colId="4" hiddenButton="1"/>
    <filterColumn colId="5" hiddenButton="1"/>
  </autoFilter>
  <tableColumns count="6">
    <tableColumn id="1" xr3:uid="{578DC9ED-661D-4836-9385-60AC9EA2819E}" name="Forecasts" dataDxfId="796"/>
    <tableColumn id="2" xr3:uid="{2D600FA8-2D45-4CF2-8C6E-0068CCC01B32}" name="2026" dataDxfId="795"/>
    <tableColumn id="3" xr3:uid="{3FC21D10-772C-47A6-80B1-00B74FF196B7}" name="2027" dataDxfId="794"/>
    <tableColumn id="4" xr3:uid="{3ED8B8A8-4622-4F26-9B97-0D72F33261E1}" name="2028" dataDxfId="793"/>
    <tableColumn id="5" xr3:uid="{B64ED2C9-0F08-4062-8E2B-8DC63D5B04AE}" name="2029" dataDxfId="792"/>
    <tableColumn id="6" xr3:uid="{6AFFC36B-ED7F-4D42-80F9-F5DC2CDBFA7A}" name="2030" dataDxfId="791"/>
  </tableColumns>
  <tableStyleInfo name="TableStyleMedium10"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76CF971-B6AE-4338-8A74-C6D9CBCA1590}" name="Table3242" displayName="Table3242" ref="I17:N21" totalsRowShown="0" headerRowDxfId="790" dataDxfId="789">
  <autoFilter ref="I17:N21" xr:uid="{276CF971-B6AE-4338-8A74-C6D9CBCA1590}">
    <filterColumn colId="0" hiddenButton="1"/>
    <filterColumn colId="1" hiddenButton="1"/>
    <filterColumn colId="2" hiddenButton="1"/>
    <filterColumn colId="3" hiddenButton="1"/>
    <filterColumn colId="4" hiddenButton="1"/>
    <filterColumn colId="5" hiddenButton="1"/>
  </autoFilter>
  <tableColumns count="6">
    <tableColumn id="1" xr3:uid="{ECD4AEEC-B26F-4999-83A3-9EBA8E605332}" name="Forecasts" dataDxfId="788"/>
    <tableColumn id="2" xr3:uid="{093ECFB9-06AC-4C64-A887-8282363EA30A}" name="2026" dataDxfId="787"/>
    <tableColumn id="3" xr3:uid="{5CA35DEB-3036-4E71-8ADC-A3D4B4E02E33}" name="2027" dataDxfId="786"/>
    <tableColumn id="4" xr3:uid="{45F8C35B-18F1-426C-A3D3-C44B339B4682}" name="2028" dataDxfId="785"/>
    <tableColumn id="5" xr3:uid="{1A3DCA63-DDFB-4168-A427-AC6F33023566}" name="2029" dataDxfId="784"/>
    <tableColumn id="6" xr3:uid="{E0164B8D-095D-4194-BE28-98D636A577E7}" name="2030" dataDxfId="783"/>
  </tableColumns>
  <tableStyleInfo name="TableStyleMedium10"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443E1D5-E998-49DD-9FAB-8394B44B0BD4}" name="Table324148" displayName="Table324148" ref="I23:N27" totalsRowShown="0" headerRowDxfId="782" dataDxfId="781">
  <autoFilter ref="I23:N27" xr:uid="{2443E1D5-E998-49DD-9FAB-8394B44B0BD4}">
    <filterColumn colId="0" hiddenButton="1"/>
    <filterColumn colId="1" hiddenButton="1"/>
    <filterColumn colId="2" hiddenButton="1"/>
    <filterColumn colId="3" hiddenButton="1"/>
    <filterColumn colId="4" hiddenButton="1"/>
    <filterColumn colId="5" hiddenButton="1"/>
  </autoFilter>
  <tableColumns count="6">
    <tableColumn id="1" xr3:uid="{2372F140-B67E-437A-A92F-23366122A608}" name="Forecasts" dataDxfId="780"/>
    <tableColumn id="2" xr3:uid="{92109970-669E-4DA7-9319-CD26D8C803DE}" name="2026" dataDxfId="779"/>
    <tableColumn id="3" xr3:uid="{4AFE30C1-548C-4906-9E38-EE3BB238B711}" name="2027" dataDxfId="778"/>
    <tableColumn id="4" xr3:uid="{D77B6AED-B950-4E8A-9662-BEFF730BBCC9}" name="2028" dataDxfId="777"/>
    <tableColumn id="5" xr3:uid="{12D69DB3-BBB5-4902-BADA-11183A5C65B9}" name="2029" dataDxfId="776"/>
    <tableColumn id="6" xr3:uid="{9D43A7C6-6C1A-4F58-A2AB-38FF6C0B592D}" name="2030" dataDxfId="775"/>
  </tableColumns>
  <tableStyleInfo name="TableStyleMedium10"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2076183-FA57-4767-BE31-0FB63757FE2B}" name="Table3257" displayName="Table3257" ref="Q17:V21" totalsRowShown="0" headerRowDxfId="774" dataDxfId="773">
  <autoFilter ref="Q17:V21" xr:uid="{72076183-FA57-4767-BE31-0FB63757FE2B}">
    <filterColumn colId="0" hiddenButton="1"/>
    <filterColumn colId="1" hiddenButton="1"/>
    <filterColumn colId="2" hiddenButton="1"/>
    <filterColumn colId="3" hiddenButton="1"/>
    <filterColumn colId="4" hiddenButton="1"/>
    <filterColumn colId="5" hiddenButton="1"/>
  </autoFilter>
  <tableColumns count="6">
    <tableColumn id="1" xr3:uid="{A17BE242-A672-4563-A4D1-A985267B5D34}" name="Forecasts" dataDxfId="772"/>
    <tableColumn id="2" xr3:uid="{4D4E6A69-F45F-4747-828B-A423D198C0BC}" name="2026" dataDxfId="771"/>
    <tableColumn id="3" xr3:uid="{F38014DA-6E5C-4C12-86C7-BEC415D1F221}" name="2027" dataDxfId="770"/>
    <tableColumn id="4" xr3:uid="{F0173260-C015-4984-B97B-A28E162036D0}" name="2028" dataDxfId="769"/>
    <tableColumn id="5" xr3:uid="{807FC95B-3F04-461F-86A5-49B90904AD50}" name="2029" dataDxfId="768"/>
    <tableColumn id="6" xr3:uid="{2969A52F-4CF0-4A73-AFE8-EF4561A5E3FE}" name="2030" dataDxfId="767"/>
  </tableColumns>
  <tableStyleInfo name="TableStyleMedium10"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5FABE6B-BEE6-4DA8-A275-0B24A77BA152}" name="Table324176" displayName="Table324176" ref="Q23:V27" totalsRowShown="0" headerRowDxfId="766" dataDxfId="765">
  <autoFilter ref="Q23:V27" xr:uid="{05FABE6B-BEE6-4DA8-A275-0B24A77BA152}">
    <filterColumn colId="0" hiddenButton="1"/>
    <filterColumn colId="1" hiddenButton="1"/>
    <filterColumn colId="2" hiddenButton="1"/>
    <filterColumn colId="3" hiddenButton="1"/>
    <filterColumn colId="4" hiddenButton="1"/>
    <filterColumn colId="5" hiddenButton="1"/>
  </autoFilter>
  <tableColumns count="6">
    <tableColumn id="1" xr3:uid="{DC5F1C2D-3FC0-4009-B482-4D962D8B110C}" name="Forecasts" dataDxfId="764"/>
    <tableColumn id="2" xr3:uid="{3ECBFE44-2634-420B-AB3E-7585EE594BCC}" name="2026" dataDxfId="763"/>
    <tableColumn id="3" xr3:uid="{B64F7CCF-9C18-4010-B14F-B57C7D24AB29}" name="2027" dataDxfId="762"/>
    <tableColumn id="4" xr3:uid="{2A4656FB-98AB-4D04-869E-4435388C1E46}" name="2028" dataDxfId="761"/>
    <tableColumn id="5" xr3:uid="{84B12D29-37D8-4000-87ED-1A90AFBE83FA}" name="2029" dataDxfId="760"/>
    <tableColumn id="6" xr3:uid="{E9504A08-B80E-44C0-A899-D167B01726A3}" name="2030" dataDxfId="759"/>
  </tableColumns>
  <tableStyleInfo name="TableStyleMedium10"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1F514E36-B011-4D48-8FF6-3D3CD8DB39B9}" name="Table77" displayName="Table77" ref="A1:G8" totalsRowShown="0" headerRowDxfId="758" dataDxfId="757" tableBorderDxfId="756">
  <autoFilter ref="A1:G8" xr:uid="{1F514E36-B011-4D48-8FF6-3D3CD8DB39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38C375D-CB3A-479A-9722-C68080D4FB44}" name="KPI" dataDxfId="755"/>
    <tableColumn id="2" xr3:uid="{8E47FB8C-7928-4F0C-A58C-EC417F686CB0}" name="2020" dataDxfId="754"/>
    <tableColumn id="3" xr3:uid="{30EA80CC-798B-400F-B8E4-6ED5936EDBEB}" name="2021" dataDxfId="753"/>
    <tableColumn id="4" xr3:uid="{50826EBC-240D-48C0-9089-550600F508BB}" name="2022" dataDxfId="752"/>
    <tableColumn id="5" xr3:uid="{DF5D997C-14C9-4041-9322-02EF632BCD72}" name="2023" dataDxfId="751"/>
    <tableColumn id="6" xr3:uid="{1C718D37-4562-4D6B-8CD9-C87AE6FD3104}" name="2024" dataDxfId="750"/>
    <tableColumn id="7" xr3:uid="{1C7F19D6-3989-4843-B3A6-5A083ECD3F5A}" name="2025" dataDxfId="749"/>
  </tableColumns>
  <tableStyleInfo name="TableStyleMedium21"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8DE20AC-15A1-4B78-882E-3EF109AFF347}" name="Table7779" displayName="Table7779" ref="A10:G17" totalsRowShown="0" headerRowDxfId="748" dataDxfId="747" tableBorderDxfId="746">
  <autoFilter ref="A10:G17" xr:uid="{08DE20AC-15A1-4B78-882E-3EF109AFF34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9BA98A7-45BB-4A91-8FF9-3314647C41CD}" name="KPI" dataDxfId="745"/>
    <tableColumn id="2" xr3:uid="{0EA59FC9-5078-448C-A097-7E5DB2AFED33}" name="2020" dataDxfId="744"/>
    <tableColumn id="3" xr3:uid="{BB95B662-9EA3-4A77-864D-3F194C8BA13A}" name="2021" dataDxfId="743"/>
    <tableColumn id="4" xr3:uid="{E83CB720-F6B5-4729-894F-BEA60C7DDA3F}" name="2022" dataDxfId="742"/>
    <tableColumn id="5" xr3:uid="{D7342B5D-FCB0-4294-A3EC-417D6060D149}" name="2023" dataDxfId="741"/>
    <tableColumn id="6" xr3:uid="{4F1F0F44-0D51-4E80-8AA2-CF93960E6DAA}" name="2024" dataDxfId="740"/>
    <tableColumn id="7" xr3:uid="{1D01C922-78FB-4982-BE90-9923D7F0AD2C}" name="2025" dataDxfId="739"/>
  </tableColumns>
  <tableStyleInfo name="TableStyleMedium21"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CE5E5D5-4A64-490C-8550-F159898EF82C}" name="Table7788" displayName="Table7788" ref="I1:O8" totalsRowShown="0" headerRowDxfId="738" dataDxfId="737" tableBorderDxfId="736">
  <autoFilter ref="I1:O8" xr:uid="{2CE5E5D5-4A64-490C-8550-F159898EF82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AEFD40-1CB4-46C0-ACA3-203FA4520F71}" name="KPI" dataDxfId="735"/>
    <tableColumn id="2" xr3:uid="{BD509489-9750-4A08-AFD3-401A08562FE1}" name="2020" dataDxfId="734"/>
    <tableColumn id="3" xr3:uid="{73C61841-B10B-4438-BF26-6B0CB1511393}" name="2021" dataDxfId="733"/>
    <tableColumn id="4" xr3:uid="{0EACA718-C70F-441C-940C-F47C9EBB3804}" name="2022" dataDxfId="732"/>
    <tableColumn id="5" xr3:uid="{3ACBFF89-7E51-4C33-B638-FD0A55982796}" name="2023" dataDxfId="731"/>
    <tableColumn id="6" xr3:uid="{B6448068-E1D7-4B68-B0BF-22FBCBB0C01A}" name="2024" dataDxfId="730"/>
    <tableColumn id="7" xr3:uid="{C3E8AC0B-C97D-48F3-AD4D-150C8EDEB3E2}" name="2025" dataDxfId="729"/>
  </tableColumns>
  <tableStyleInfo name="TableStyleMedium21"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8ACD7AB6-68D8-42CE-9318-8675955396CB}" name="Table777992" displayName="Table777992" ref="I10:O17" totalsRowShown="0" headerRowDxfId="728" dataDxfId="727" tableBorderDxfId="726">
  <autoFilter ref="I10:O17" xr:uid="{8ACD7AB6-68D8-42CE-9318-8675955396C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CFE0842-D84F-4E88-957F-03A4EF423AD0}" name="KPI" dataDxfId="725"/>
    <tableColumn id="2" xr3:uid="{42CA2CE2-533D-48CB-8A7F-2151B3EB3595}" name="2020" dataDxfId="724"/>
    <tableColumn id="3" xr3:uid="{65253DC3-CAFB-40CE-B3F4-35313487667D}" name="2021" dataDxfId="723"/>
    <tableColumn id="4" xr3:uid="{E5F1D40D-E663-4276-BC49-D7CC84423869}" name="2022" dataDxfId="722"/>
    <tableColumn id="5" xr3:uid="{2097A3DB-55F3-4A46-8DA9-92BBD2D22219}" name="2023" dataDxfId="721"/>
    <tableColumn id="6" xr3:uid="{77839311-FCA3-491B-ABBA-51FB9C7988AF}" name="2024" dataDxfId="720"/>
    <tableColumn id="7" xr3:uid="{2038ED4B-0258-4514-A66F-607A7BFDB4A5}" name="2025" dataDxfId="719"/>
  </tableColumns>
  <tableStyleInfo name="TableStyleMedium21"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02E89D7-54EF-49EE-9950-DC716D95DC98}" name="Table778896" displayName="Table778896" ref="Q1:W8" totalsRowShown="0" headerRowDxfId="718" dataDxfId="717" tableBorderDxfId="716">
  <autoFilter ref="Q1:W8" xr:uid="{802E89D7-54EF-49EE-9950-DC716D95DC9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23ED85-61C0-405C-95AF-2EB12DBA8303}" name="KPI" dataDxfId="715"/>
    <tableColumn id="2" xr3:uid="{58D2FB70-0840-40D2-9CD6-2D0CE276AB73}" name="2020" dataDxfId="714"/>
    <tableColumn id="3" xr3:uid="{605903F7-14AB-420F-89BC-33A1AE6100AA}" name="2021" dataDxfId="713"/>
    <tableColumn id="4" xr3:uid="{F1600D2D-B39E-45A6-9D71-620A966B5B0E}" name="2022" dataDxfId="712"/>
    <tableColumn id="5" xr3:uid="{736CF2ED-ACB6-46FD-9378-72D7CD5661AA}" name="2023" dataDxfId="711"/>
    <tableColumn id="6" xr3:uid="{1CD7CDCD-B5C2-490F-A44B-C0BB13D3408B}" name="2024" dataDxfId="710"/>
    <tableColumn id="7" xr3:uid="{26D50CB4-45BA-4066-B2BE-F5E8F6962B8A}" name="2025" dataDxfId="709"/>
  </tableColumns>
  <tableStyleInfo name="TableStyleMedium21"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348540D3-CE8E-4527-BBB6-352BF57EEC61}" name="Table96" displayName="Table96" ref="A19:F23" totalsRowShown="0" headerRowDxfId="708" dataDxfId="707" tableBorderDxfId="706">
  <autoFilter ref="A19:F23" xr:uid="{348540D3-CE8E-4527-BBB6-352BF57EEC61}">
    <filterColumn colId="0" hiddenButton="1"/>
    <filterColumn colId="1" hiddenButton="1"/>
    <filterColumn colId="2" hiddenButton="1"/>
    <filterColumn colId="3" hiddenButton="1"/>
    <filterColumn colId="4" hiddenButton="1"/>
    <filterColumn colId="5" hiddenButton="1"/>
  </autoFilter>
  <tableColumns count="6">
    <tableColumn id="1" xr3:uid="{5B1F2F2A-BDD6-49CA-9E25-23113397C1A6}" name="Forecasts" dataDxfId="705"/>
    <tableColumn id="2" xr3:uid="{CEF4D1F0-237D-4E1F-8D12-DB13F7A1E2A1}" name="2026" dataDxfId="704"/>
    <tableColumn id="3" xr3:uid="{A839088B-C766-4A42-852C-721808B34EB6}" name="2027" dataDxfId="703"/>
    <tableColumn id="4" xr3:uid="{917CA3F7-AE69-404C-9582-1C72C6F01C99}" name="2028" dataDxfId="702"/>
    <tableColumn id="5" xr3:uid="{C6BBACFA-C115-46A7-89ED-474DEF87353C}" name="2029" dataDxfId="701"/>
    <tableColumn id="6" xr3:uid="{A89A0C86-98CF-40C1-91E8-3F3596EF575A}" name="2030" dataDxfId="700"/>
  </tableColumns>
  <tableStyleInfo name="TableStyleMedium21"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217214B9-E51E-4AD0-BAA5-B90A3171680C}" name="Table9698" displayName="Table9698" ref="A25:F29" totalsRowShown="0" headerRowDxfId="699" dataDxfId="698" tableBorderDxfId="697">
  <autoFilter ref="A25:F29" xr:uid="{217214B9-E51E-4AD0-BAA5-B90A3171680C}">
    <filterColumn colId="0" hiddenButton="1"/>
    <filterColumn colId="1" hiddenButton="1"/>
    <filterColumn colId="2" hiddenButton="1"/>
    <filterColumn colId="3" hiddenButton="1"/>
    <filterColumn colId="4" hiddenButton="1"/>
    <filterColumn colId="5" hiddenButton="1"/>
  </autoFilter>
  <tableColumns count="6">
    <tableColumn id="1" xr3:uid="{D40FF255-ECF2-48DB-A634-F0DDC430769E}" name="Forecasts" dataDxfId="696"/>
    <tableColumn id="2" xr3:uid="{876E2A51-B33E-41E2-B8F7-979390E59C31}" name="2026" dataDxfId="695"/>
    <tableColumn id="3" xr3:uid="{4AE59633-0836-4A04-85AE-24FC4068C077}" name="2027" dataDxfId="694"/>
    <tableColumn id="4" xr3:uid="{76F0E4ED-910B-4E63-AEB8-DCE1F7E801C9}" name="2028" dataDxfId="693"/>
    <tableColumn id="5" xr3:uid="{3F150A1C-F0AA-4CC3-92D8-9EEAF6784703}" name="2029" dataDxfId="692"/>
    <tableColumn id="6" xr3:uid="{47D796C4-9E6E-4CD4-8411-BFE5209F5C2F}" name="2030" dataDxfId="691"/>
  </tableColumns>
  <tableStyleInfo name="TableStyleMedium21"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79E66C0E-0AAB-443E-81BE-FCA39675C511}" name="Table9699" displayName="Table9699" ref="I19:N23" totalsRowShown="0" headerRowDxfId="690" dataDxfId="689" tableBorderDxfId="688">
  <autoFilter ref="I19:N23" xr:uid="{79E66C0E-0AAB-443E-81BE-FCA39675C511}">
    <filterColumn colId="0" hiddenButton="1"/>
    <filterColumn colId="1" hiddenButton="1"/>
    <filterColumn colId="2" hiddenButton="1"/>
    <filterColumn colId="3" hiddenButton="1"/>
    <filterColumn colId="4" hiddenButton="1"/>
    <filterColumn colId="5" hiddenButton="1"/>
  </autoFilter>
  <tableColumns count="6">
    <tableColumn id="1" xr3:uid="{70575BAF-CB69-4095-BB74-6DF2AC3BF633}" name="Forecasts" dataDxfId="687"/>
    <tableColumn id="2" xr3:uid="{7C54CF5E-D732-465F-A629-2D98702D4B12}" name="2026" dataDxfId="686"/>
    <tableColumn id="3" xr3:uid="{1B767214-E263-4AEB-929A-64EB3CDC48DD}" name="2027" dataDxfId="685"/>
    <tableColumn id="4" xr3:uid="{CAB19EDE-190A-4CB7-B678-7BA308A10948}" name="2028" dataDxfId="684"/>
    <tableColumn id="5" xr3:uid="{8BF3B0A6-EF7C-485B-90B6-14C18D983980}" name="2029" dataDxfId="683"/>
    <tableColumn id="6" xr3:uid="{87124F3F-E419-463C-A93C-5FD69FF3C260}" name="2030" dataDxfId="682"/>
  </tableColumns>
  <tableStyleInfo name="TableStyleMedium21"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39135D9-F1F7-4577-8748-AFA669CA5D73}" name="Table96104" displayName="Table96104" ref="I25:N29" totalsRowShown="0" headerRowDxfId="681" dataDxfId="680" tableBorderDxfId="679">
  <autoFilter ref="I25:N29" xr:uid="{439135D9-F1F7-4577-8748-AFA669CA5D73}">
    <filterColumn colId="0" hiddenButton="1"/>
    <filterColumn colId="1" hiddenButton="1"/>
    <filterColumn colId="2" hiddenButton="1"/>
    <filterColumn colId="3" hiddenButton="1"/>
    <filterColumn colId="4" hiddenButton="1"/>
    <filterColumn colId="5" hiddenButton="1"/>
  </autoFilter>
  <tableColumns count="6">
    <tableColumn id="1" xr3:uid="{12DA4225-9D02-4116-8D54-0AF1B84468EB}" name="Forecasts" dataDxfId="678"/>
    <tableColumn id="2" xr3:uid="{50C5971C-EF10-4FA5-A6D5-2BE1B08E5C75}" name="2026" dataDxfId="677"/>
    <tableColumn id="3" xr3:uid="{F79A3959-0F63-48AE-B515-EB30451A6120}" name="2027" dataDxfId="676"/>
    <tableColumn id="4" xr3:uid="{B4B9EBBA-874F-4B38-BCA0-82189EF8302F}" name="2028" dataDxfId="675"/>
    <tableColumn id="5" xr3:uid="{61AFCBAE-513F-4D06-A9F9-0A9EF825617E}" name="2029" dataDxfId="674"/>
    <tableColumn id="6" xr3:uid="{19BA9B54-03E8-4679-A1FD-E86AD96BA481}" name="2030" dataDxfId="673"/>
  </tableColumns>
  <tableStyleInfo name="TableStyleMedium21"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E1718E79-CDF2-4F82-8E99-71F298C50B90}" name="Table96105" displayName="Table96105" ref="Q10:V14" totalsRowShown="0" headerRowDxfId="672" dataDxfId="671" tableBorderDxfId="670">
  <autoFilter ref="Q10:V14" xr:uid="{E1718E79-CDF2-4F82-8E99-71F298C50B90}">
    <filterColumn colId="0" hiddenButton="1"/>
    <filterColumn colId="1" hiddenButton="1"/>
    <filterColumn colId="2" hiddenButton="1"/>
    <filterColumn colId="3" hiddenButton="1"/>
    <filterColumn colId="4" hiddenButton="1"/>
    <filterColumn colId="5" hiddenButton="1"/>
  </autoFilter>
  <tableColumns count="6">
    <tableColumn id="1" xr3:uid="{CA5D68C8-1A49-4985-ACE5-52BFDE9D95EF}" name="Forecasts" dataDxfId="669"/>
    <tableColumn id="2" xr3:uid="{0487E63A-EBA2-4233-ACF0-7ADB829563E7}" name="2026" dataDxfId="668"/>
    <tableColumn id="3" xr3:uid="{FFEA0587-03B3-4737-A099-8BA31A4ECD67}" name="2027" dataDxfId="667"/>
    <tableColumn id="4" xr3:uid="{1340D607-448E-45FA-8045-43F1659860D3}" name="2028" dataDxfId="666"/>
    <tableColumn id="5" xr3:uid="{5D5A2E1A-4AB3-437B-ACAA-CBC5EE56B4E5}" name="2029" dataDxfId="665"/>
    <tableColumn id="6" xr3:uid="{2585895A-24B5-423A-935F-E08B3D052FA2}" name="2030" dataDxfId="664"/>
  </tableColumns>
  <tableStyleInfo name="TableStyleMedium21"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DA59F04-E58A-4889-9439-12B0E09FCBFE}" name="Table48" displayName="Table48" ref="A1:G7" totalsRowShown="0" headerRowDxfId="663" dataDxfId="662" tableBorderDxfId="661">
  <autoFilter ref="A1:G7" xr:uid="{ADA59F04-E58A-4889-9439-12B0E09FCBF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370548C-50FC-4A9F-9FE5-5C7509D54B0C}" name="KPI" dataDxfId="660"/>
    <tableColumn id="2" xr3:uid="{924B6AB9-F394-4FA1-83C3-55C263FAAB7A}" name="2020" dataDxfId="659"/>
    <tableColumn id="3" xr3:uid="{962CC3AE-16AE-45CA-A292-B3C4E78761B1}" name="2021" dataDxfId="658"/>
    <tableColumn id="4" xr3:uid="{5E148BA1-C293-42BC-968E-C62FF9DF3E02}" name="2022" dataDxfId="657"/>
    <tableColumn id="5" xr3:uid="{C9FE1FEE-79EA-454A-95A6-79DAE6062FC7}" name="2023" dataDxfId="656"/>
    <tableColumn id="6" xr3:uid="{ED0B11EF-2508-425C-BE40-223C440A1F30}" name="2024" dataDxfId="655"/>
    <tableColumn id="7" xr3:uid="{0228CF10-4377-48F9-8F26-D387DB66A5FB}" name="2025" dataDxfId="654"/>
  </tableColumns>
  <tableStyleInfo name="TableStyleDark11"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E813082D-1234-4D34-9582-E1062E9A4E3E}" name="Table4850" displayName="Table4850" ref="A9:G15" totalsRowShown="0" headerRowDxfId="653" dataDxfId="652" tableBorderDxfId="651">
  <autoFilter ref="A9:G15" xr:uid="{E813082D-1234-4D34-9582-E1062E9A4E3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053AB52-13B5-451F-AD63-7DE45848BB8A}" name="KPI" dataDxfId="650"/>
    <tableColumn id="2" xr3:uid="{A04C0116-D5B9-4B33-B390-DEB4BEB4642E}" name="2020" dataDxfId="649"/>
    <tableColumn id="3" xr3:uid="{9633BC30-ACAA-4C37-B6D2-B6B30416F061}" name="2021" dataDxfId="648"/>
    <tableColumn id="4" xr3:uid="{FE780ECE-76EB-4BDB-804A-EC2F2845A009}" name="2022" dataDxfId="647"/>
    <tableColumn id="5" xr3:uid="{0BACAA8A-B026-4C67-AB49-1DBBF46C863D}" name="2023" dataDxfId="646"/>
    <tableColumn id="6" xr3:uid="{2171C87C-F001-4C02-9BF6-E9BA4FB787A1}" name="2024" dataDxfId="645"/>
    <tableColumn id="7" xr3:uid="{7552F5EC-BFA9-4C3A-BD5B-0AD16BA1CF14}" name="2025" dataDxfId="644"/>
  </tableColumns>
  <tableStyleInfo name="TableStyleDark11"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29BBF551-BF3E-40B9-B32F-A3E32F2A14D6}" name="Table4880" displayName="Table4880" ref="I1:O7" totalsRowShown="0" headerRowDxfId="643" dataDxfId="642" tableBorderDxfId="641">
  <autoFilter ref="I1:O7" xr:uid="{29BBF551-BF3E-40B9-B32F-A3E32F2A14D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8BB857D-C485-4EA8-A693-91F07195C60E}" name="KPI" dataDxfId="640"/>
    <tableColumn id="2" xr3:uid="{95DA131B-FD8F-47A6-9BC2-718EB69DAEFB}" name="2020" dataDxfId="639"/>
    <tableColumn id="3" xr3:uid="{E2885EE0-41A2-490C-BB51-6F4D5F29BA12}" name="2021" dataDxfId="638"/>
    <tableColumn id="4" xr3:uid="{257B2681-DC0E-44C4-A6BA-30245B564429}" name="2022" dataDxfId="637"/>
    <tableColumn id="5" xr3:uid="{04A171CF-3EFF-49CD-B221-A3A83FCDA6F9}" name="2023" dataDxfId="636"/>
    <tableColumn id="6" xr3:uid="{F44ABF03-70E6-4C82-BF7C-CE32BD3CFB35}" name="2024" dataDxfId="635"/>
    <tableColumn id="7" xr3:uid="{50019CB0-CC6A-48C2-BB22-3AD7C2C69ADC}" name="2025" dataDxfId="634"/>
  </tableColumns>
  <tableStyleInfo name="TableStyleDark11"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02C89EC-1CF5-43F0-B576-181456EBA400}" name="Table485081" displayName="Table485081" ref="I9:O15" totalsRowShown="0" headerRowDxfId="633" dataDxfId="632" tableBorderDxfId="631">
  <autoFilter ref="I9:O15" xr:uid="{E02C89EC-1CF5-43F0-B576-181456EBA4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6D3260-17BB-4608-A54E-5F0C70717A3A}" name="KPI" dataDxfId="630"/>
    <tableColumn id="2" xr3:uid="{EA967AFF-AF71-4F84-B9FE-8CF858FE2FBE}" name="2020" dataDxfId="629"/>
    <tableColumn id="3" xr3:uid="{5C6AF960-191A-4275-A0FB-696C4758A746}" name="2021" dataDxfId="628"/>
    <tableColumn id="4" xr3:uid="{D22164BE-C507-46AB-9ACE-C45408CB2E23}" name="2022" dataDxfId="627"/>
    <tableColumn id="5" xr3:uid="{B3F56F5E-FA20-4E9E-BC9C-2F3AD81F621C}" name="2023" dataDxfId="626"/>
    <tableColumn id="6" xr3:uid="{F307A391-D0DE-4F50-A8C0-C989FCF5A251}" name="2024" dataDxfId="625"/>
    <tableColumn id="7" xr3:uid="{DC4E9AD6-9309-4646-A4ED-486B59923264}" name="2025" dataDxfId="624"/>
  </tableColumns>
  <tableStyleInfo name="TableStyleDark11"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38A3AEE8-F5D7-4436-8A0E-B79CF2612DF5}" name="Table4893" displayName="Table4893" ref="Q1:W7" totalsRowShown="0" headerRowDxfId="623" dataDxfId="622" tableBorderDxfId="621">
  <autoFilter ref="Q1:W7" xr:uid="{38A3AEE8-F5D7-4436-8A0E-B79CF2612DF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7B5C6FB-3944-4EFA-9E5C-8A95FF15BD1E}" name="KPI" dataDxfId="620"/>
    <tableColumn id="2" xr3:uid="{AADF2165-D48A-4E12-8C09-676CAE223107}" name="2020" dataDxfId="619"/>
    <tableColumn id="3" xr3:uid="{97EE9D5F-DD6E-41E2-8DD0-895BAE7C57D7}" name="2021" dataDxfId="618"/>
    <tableColumn id="4" xr3:uid="{B709E3EB-3D88-40B5-B5CA-B477C451AC7F}" name="2022" dataDxfId="617"/>
    <tableColumn id="5" xr3:uid="{17433459-0D01-4523-812E-9C92B12C3E2D}" name="2023" dataDxfId="616"/>
    <tableColumn id="6" xr3:uid="{C80C39D9-8399-4441-AE38-9E848F0C76F7}" name="2024" dataDxfId="615"/>
    <tableColumn id="7" xr3:uid="{7E240341-905F-4990-BBA6-FEEAA1CE2131}" name="2025" dataDxfId="614"/>
  </tableColumns>
  <tableStyleInfo name="TableStyleDark11"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C207B5FA-87B9-4103-BF0D-5EA8D0F7DEC3}" name="Table4850108" displayName="Table4850108" ref="Q9:W15" totalsRowShown="0" headerRowDxfId="613" dataDxfId="612" tableBorderDxfId="611">
  <autoFilter ref="Q9:W15" xr:uid="{C207B5FA-87B9-4103-BF0D-5EA8D0F7DEC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B2AD171-9655-4358-9ACA-030FB1F8F1E6}" name="KPI" dataDxfId="610"/>
    <tableColumn id="2" xr3:uid="{0FC68E47-9111-4C9A-9F73-F30DF765BA03}" name="2020" dataDxfId="609"/>
    <tableColumn id="3" xr3:uid="{4381073E-D283-4828-A579-30084B4D5264}" name="2021" dataDxfId="608"/>
    <tableColumn id="4" xr3:uid="{AAAFB36B-C7D9-4598-BD3C-B12D543D8C5A}" name="2022" dataDxfId="607"/>
    <tableColumn id="5" xr3:uid="{24D4D736-D5CC-4240-B680-CAB96ABC5886}" name="2023" dataDxfId="606"/>
    <tableColumn id="6" xr3:uid="{E9E2410B-CA3B-41A1-A66B-5B103E271B31}" name="2024" dataDxfId="605"/>
    <tableColumn id="7" xr3:uid="{0F7C8A66-09B3-4799-9BC5-2AD977792BC8}" name="2025" dataDxfId="604"/>
  </tableColumns>
  <tableStyleInfo name="TableStyleDark11"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C81C2939-070D-4D72-9D33-BD81C55A0CB6}" name="Table121" displayName="Table121" ref="A17:F21" totalsRowShown="0" headerRowDxfId="603" dataDxfId="602" tableBorderDxfId="601">
  <autoFilter ref="A17:F21" xr:uid="{C81C2939-070D-4D72-9D33-BD81C55A0CB6}">
    <filterColumn colId="0" hiddenButton="1"/>
    <filterColumn colId="1" hiddenButton="1"/>
    <filterColumn colId="2" hiddenButton="1"/>
    <filterColumn colId="3" hiddenButton="1"/>
    <filterColumn colId="4" hiddenButton="1"/>
    <filterColumn colId="5" hiddenButton="1"/>
  </autoFilter>
  <tableColumns count="6">
    <tableColumn id="1" xr3:uid="{1F80D37E-B3E6-43DE-9BD2-16506F9D7523}" name="Forecasts" dataDxfId="600"/>
    <tableColumn id="2" xr3:uid="{BFADFCE7-FE29-460B-85EE-F1A9A6106959}" name="2026" dataDxfId="599"/>
    <tableColumn id="3" xr3:uid="{329241F2-A43B-47F2-B4D6-D73A8455DC55}" name="2027" dataDxfId="598"/>
    <tableColumn id="4" xr3:uid="{12751AB1-B872-447F-9321-90DE11A8A7E3}" name="2028" dataDxfId="597"/>
    <tableColumn id="5" xr3:uid="{1DF6789C-6B2D-4D1F-B8E6-90D97E657690}" name="2029" dataDxfId="596"/>
    <tableColumn id="6" xr3:uid="{70302771-82A0-40F5-B652-AE1CBA0BABFD}" name="2030" dataDxfId="595"/>
  </tableColumns>
  <tableStyleInfo name="TableStyleDark11"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E459552E-A933-43B9-9086-C01374EB43D5}" name="Table121125" displayName="Table121125" ref="A23:F27" totalsRowShown="0" headerRowDxfId="594" dataDxfId="593" tableBorderDxfId="592">
  <autoFilter ref="A23:F27" xr:uid="{E459552E-A933-43B9-9086-C01374EB43D5}">
    <filterColumn colId="0" hiddenButton="1"/>
    <filterColumn colId="1" hiddenButton="1"/>
    <filterColumn colId="2" hiddenButton="1"/>
    <filterColumn colId="3" hiddenButton="1"/>
    <filterColumn colId="4" hiddenButton="1"/>
    <filterColumn colId="5" hiddenButton="1"/>
  </autoFilter>
  <tableColumns count="6">
    <tableColumn id="1" xr3:uid="{04D52DCC-2595-4DC9-A4D6-5DA7945833FB}" name="Forecasts" dataDxfId="591"/>
    <tableColumn id="2" xr3:uid="{F159A243-AFB2-422D-BEA7-6216362479EA}" name="2026" dataDxfId="590"/>
    <tableColumn id="3" xr3:uid="{E94FC22A-93EE-4BE6-8A48-538CDAE8EFD3}" name="2027" dataDxfId="589"/>
    <tableColumn id="4" xr3:uid="{D1684E0C-0655-447D-81E1-72A42D2E925F}" name="2028" dataDxfId="588"/>
    <tableColumn id="5" xr3:uid="{23E83A32-C093-4B40-AEA8-F2BE2735F267}" name="2029" dataDxfId="587"/>
    <tableColumn id="6" xr3:uid="{16C38027-11C1-408A-BED6-46258FC001E5}" name="2030" dataDxfId="586"/>
  </tableColumns>
  <tableStyleInfo name="TableStyleDark11"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931B38C2-BC6D-459C-BD9A-ED68C55703BB}" name="Table121138" displayName="Table121138" ref="I17:N21" totalsRowShown="0" headerRowDxfId="585" dataDxfId="584" tableBorderDxfId="583">
  <autoFilter ref="I17:N21" xr:uid="{931B38C2-BC6D-459C-BD9A-ED68C55703BB}">
    <filterColumn colId="0" hiddenButton="1"/>
    <filterColumn colId="1" hiddenButton="1"/>
    <filterColumn colId="2" hiddenButton="1"/>
    <filterColumn colId="3" hiddenButton="1"/>
    <filterColumn colId="4" hiddenButton="1"/>
    <filterColumn colId="5" hiddenButton="1"/>
  </autoFilter>
  <tableColumns count="6">
    <tableColumn id="1" xr3:uid="{F30171C9-0CAC-4D36-B181-6B43DD0992C8}" name="Forecasts" dataDxfId="582"/>
    <tableColumn id="2" xr3:uid="{4A66C221-BBFD-4EFE-9A15-E152B43B88B3}" name="2026" dataDxfId="581"/>
    <tableColumn id="3" xr3:uid="{BEC59BE2-1700-4637-A4FD-8B83AAA43F25}" name="2027" dataDxfId="580"/>
    <tableColumn id="4" xr3:uid="{C8616CDE-020C-44EF-A23A-C781E5C8115F}" name="2028" dataDxfId="579"/>
    <tableColumn id="5" xr3:uid="{7DA1DD7E-29EE-47A1-BD16-7387BE56D724}" name="2029" dataDxfId="578"/>
    <tableColumn id="6" xr3:uid="{54452A8A-FFBD-410A-8F45-593EFBC1AA98}" name="2030" dataDxfId="577"/>
  </tableColumns>
  <tableStyleInfo name="TableStyleDark11"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1CBFE11A-4B33-40C9-A264-F1A918F4E70E}" name="Table121125139" displayName="Table121125139" ref="I23:N27" totalsRowShown="0" headerRowDxfId="576" dataDxfId="575" tableBorderDxfId="574">
  <autoFilter ref="I23:N27" xr:uid="{1CBFE11A-4B33-40C9-A264-F1A918F4E70E}">
    <filterColumn colId="0" hiddenButton="1"/>
    <filterColumn colId="1" hiddenButton="1"/>
    <filterColumn colId="2" hiddenButton="1"/>
    <filterColumn colId="3" hiddenButton="1"/>
    <filterColumn colId="4" hiddenButton="1"/>
    <filterColumn colId="5" hiddenButton="1"/>
  </autoFilter>
  <tableColumns count="6">
    <tableColumn id="1" xr3:uid="{AA63105A-D165-4FDF-A3CA-ECE93A24AACF}" name="Forecasts" dataDxfId="573"/>
    <tableColumn id="2" xr3:uid="{2F340008-E443-4E8E-9C9E-25A842D55E69}" name="2026" dataDxfId="572"/>
    <tableColumn id="3" xr3:uid="{4D24507B-C445-44A0-A88D-24FB097CB1DE}" name="2027" dataDxfId="571"/>
    <tableColumn id="4" xr3:uid="{1E389F6B-C928-4AEC-9873-2B3AA6973BFA}" name="2028" dataDxfId="570"/>
    <tableColumn id="5" xr3:uid="{7880200F-B4D1-40EF-84E4-20EECE92DB57}" name="2029" dataDxfId="569"/>
    <tableColumn id="6" xr3:uid="{59454AC1-6E59-4F72-91D2-ECD18EAECFA7}" name="2030" dataDxfId="568"/>
  </tableColumns>
  <tableStyleInfo name="TableStyleDark11"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FF330A2F-79C2-45B4-8C6E-3D75780B4283}" name="Table121142" displayName="Table121142" ref="Q17:V21" totalsRowShown="0" headerRowDxfId="567" dataDxfId="566" tableBorderDxfId="565">
  <autoFilter ref="Q17:V21" xr:uid="{FF330A2F-79C2-45B4-8C6E-3D75780B4283}">
    <filterColumn colId="0" hiddenButton="1"/>
    <filterColumn colId="1" hiddenButton="1"/>
    <filterColumn colId="2" hiddenButton="1"/>
    <filterColumn colId="3" hiddenButton="1"/>
    <filterColumn colId="4" hiddenButton="1"/>
    <filterColumn colId="5" hiddenButton="1"/>
  </autoFilter>
  <tableColumns count="6">
    <tableColumn id="1" xr3:uid="{430521BF-0F7C-4CB6-BB82-865883B4BBA9}" name="Forecasts" dataDxfId="564"/>
    <tableColumn id="2" xr3:uid="{4D100CC9-E921-4031-A724-5E0E2937A42C}" name="2026" dataDxfId="563"/>
    <tableColumn id="3" xr3:uid="{5B61D58C-FC74-4FBE-9F66-B85DEA4958B5}" name="2027" dataDxfId="562"/>
    <tableColumn id="4" xr3:uid="{469208BD-3965-4DC2-A6A2-C427FAA7E07D}" name="2028" dataDxfId="561"/>
    <tableColumn id="5" xr3:uid="{5C46EBD3-9002-450B-A57E-93EFA66455D6}" name="2029" dataDxfId="560"/>
    <tableColumn id="6" xr3:uid="{98C614AA-4DF7-4283-B146-2E0C37F4AB89}" name="2030" dataDxfId="559"/>
  </tableColumns>
  <tableStyleInfo name="TableStyleDark11"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9B2E2A8-B1A0-414F-A732-66D4FEB405F4}" name="Table121125143" displayName="Table121125143" ref="Q23:V27" totalsRowShown="0" headerRowDxfId="558" dataDxfId="557" tableBorderDxfId="556">
  <autoFilter ref="Q23:V27" xr:uid="{29B2E2A8-B1A0-414F-A732-66D4FEB405F4}">
    <filterColumn colId="0" hiddenButton="1"/>
    <filterColumn colId="1" hiddenButton="1"/>
    <filterColumn colId="2" hiddenButton="1"/>
    <filterColumn colId="3" hiddenButton="1"/>
    <filterColumn colId="4" hiddenButton="1"/>
    <filterColumn colId="5" hiddenButton="1"/>
  </autoFilter>
  <tableColumns count="6">
    <tableColumn id="1" xr3:uid="{98AC4B12-A698-4474-AE10-DD244508EA23}" name="Forecasts" dataDxfId="555"/>
    <tableColumn id="2" xr3:uid="{8EFCB181-6F0F-4749-A54B-6C3BE8BE31A5}" name="2026" dataDxfId="554"/>
    <tableColumn id="3" xr3:uid="{FDCA1869-9E94-43C6-B97A-210D7B2EF2A9}" name="2027" dataDxfId="553"/>
    <tableColumn id="4" xr3:uid="{18427315-D031-41CA-A779-8877566A87B1}" name="2028" dataDxfId="552"/>
    <tableColumn id="5" xr3:uid="{A0F06918-67FE-486E-955C-EDF3167FCA5D}" name="2029" dataDxfId="551"/>
    <tableColumn id="6" xr3:uid="{8FFB6251-89C3-4863-A30B-A5D94E9D96EF}" name="2030" dataDxfId="550"/>
  </tableColumns>
  <tableStyleInfo name="TableStyleDark11"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500AC0F-D7AD-464A-8D7A-A6CA964F9F31}" name="Table23" displayName="Table23" ref="A1:F8" totalsRowShown="0" headerRowDxfId="549" dataDxfId="548" tableBorderDxfId="547">
  <autoFilter ref="A1:F8" xr:uid="{5500AC0F-D7AD-464A-8D7A-A6CA964F9F31}">
    <filterColumn colId="0" hiddenButton="1"/>
    <filterColumn colId="1" hiddenButton="1"/>
    <filterColumn colId="2" hiddenButton="1"/>
    <filterColumn colId="3" hiddenButton="1"/>
    <filterColumn colId="4" hiddenButton="1"/>
    <filterColumn colId="5" hiddenButton="1"/>
  </autoFilter>
  <tableColumns count="6">
    <tableColumn id="1" xr3:uid="{25918D8A-C80E-4B74-83BF-36F2242E6428}" name="Institution" dataDxfId="546"/>
    <tableColumn id="2" xr3:uid="{56D0B0EB-DD17-4D39-8A12-EA4738197635}" name="Cost of Equity" dataDxfId="545"/>
    <tableColumn id="3" xr3:uid="{4E06ACDC-4348-449A-96AC-123E86D1DAC4}" name="Terminal Growth" dataDxfId="544" dataCellStyle="Percent"/>
    <tableColumn id="4" xr3:uid="{A9D8385D-8F7D-42F0-9359-5338B5D9A946}" name="Intrinsic Value" dataDxfId="543" dataCellStyle="Comma"/>
    <tableColumn id="5" xr3:uid="{C2FA1F82-BB28-4D82-A838-967DCE3F41B4}" name="Current Price" dataDxfId="542" dataCellStyle="Comma"/>
    <tableColumn id="6" xr3:uid="{AC2240FD-DA39-41D4-BDF1-3629FCA8C48E}" name="Upside/Downside" dataDxfId="541" dataCellStyle="Percent">
      <calculatedColumnFormula>(D2-E2)/E2</calculatedColumnFormula>
    </tableColumn>
  </tableColumns>
  <tableStyleInfo name="TableStyleDark10"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AACC46-347C-4881-9EE0-0FFD580F601B}" name="Table2345" displayName="Table2345" ref="A10:F16" totalsRowShown="0" headerRowDxfId="540" dataDxfId="539" tableBorderDxfId="538">
  <autoFilter ref="A10:F16" xr:uid="{C5AACC46-347C-4881-9EE0-0FFD580F601B}">
    <filterColumn colId="0" hiddenButton="1"/>
    <filterColumn colId="1" hiddenButton="1"/>
    <filterColumn colId="2" hiddenButton="1"/>
    <filterColumn colId="3" hiddenButton="1"/>
    <filterColumn colId="4" hiddenButton="1"/>
    <filterColumn colId="5" hiddenButton="1"/>
  </autoFilter>
  <tableColumns count="6">
    <tableColumn id="1" xr3:uid="{F4FC52DA-F07C-4B64-A980-62AD5D1B3159}" name="Institution" dataDxfId="537"/>
    <tableColumn id="2" xr3:uid="{1195534A-9AD7-457C-9577-798CE5EC8F44}" name="Cost of Equity" dataDxfId="536"/>
    <tableColumn id="3" xr3:uid="{1597709E-A4BD-4658-A7D6-1EEECACE6897}" name="Terminal Growth" dataDxfId="535" dataCellStyle="Percent"/>
    <tableColumn id="4" xr3:uid="{C6C480D6-CD02-4E2A-841A-84A3B7C89B75}" name="Intrinsic Value" dataDxfId="534" dataCellStyle="Comma"/>
    <tableColumn id="5" xr3:uid="{04AD1017-5EBE-4E33-8ED5-66005BFA4A78}" name="Current Price" dataDxfId="533" dataCellStyle="Comma"/>
    <tableColumn id="6" xr3:uid="{E418F57E-658B-41E6-B40E-341988AD33D6}" name="Upside/Downside" dataDxfId="532" dataCellStyle="Percent">
      <calculatedColumnFormula>(Table2345[[#This Row],[Intrinsic Value]]-Table2345[[#This Row],[Current Price]])/Table2345[[#This Row],[Current Price]]</calculatedColumnFormula>
    </tableColumn>
  </tableColumns>
  <tableStyleInfo name="TableStyleDark10"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D0C57AA4-838C-47F3-AAEC-A557D4316456}" name="Table234558" displayName="Table234558" ref="A18:F24" totalsRowShown="0" headerRowDxfId="531" dataDxfId="530" tableBorderDxfId="529">
  <autoFilter ref="A18:F24" xr:uid="{D0C57AA4-838C-47F3-AAEC-A557D4316456}">
    <filterColumn colId="0" hiddenButton="1"/>
    <filterColumn colId="1" hiddenButton="1"/>
    <filterColumn colId="2" hiddenButton="1"/>
    <filterColumn colId="3" hiddenButton="1"/>
    <filterColumn colId="4" hiddenButton="1"/>
    <filterColumn colId="5" hiddenButton="1"/>
  </autoFilter>
  <tableColumns count="6">
    <tableColumn id="1" xr3:uid="{948C0ABA-F78F-4241-928B-3DA6C87A418A}" name="Institution" dataDxfId="528"/>
    <tableColumn id="2" xr3:uid="{E5181415-F58F-44DF-8E88-C56971C244D6}" name="Cost of Equity" dataDxfId="527"/>
    <tableColumn id="3" xr3:uid="{CB136F9D-23CC-4E36-BC07-E32FCFF6BD2E}" name="Terminal Growth" dataDxfId="526" dataCellStyle="Percent">
      <calculatedColumnFormula>[9]WACC!$B$17</calculatedColumnFormula>
    </tableColumn>
    <tableColumn id="4" xr3:uid="{3CD3E929-F844-48D3-991C-208A3EA539BF}" name="Intrinsic Value" dataDxfId="525" dataCellStyle="Comma"/>
    <tableColumn id="5" xr3:uid="{1E226CCE-A110-4605-9AF0-8B340C755E45}" name="Current Price" dataDxfId="524" dataCellStyle="Comma"/>
    <tableColumn id="6" xr3:uid="{9F78015C-2819-4804-A4EF-A9F5ED1FEFDC}" name="Upside/Downside" dataDxfId="523" dataCellStyle="Percent">
      <calculatedColumnFormula>(Table234558[[#This Row],[Intrinsic Value]]-Table234558[[#This Row],[Current Price]])/Table234558[[#This Row],[Current Price]]</calculatedColumnFormula>
    </tableColumn>
  </tableColumns>
  <tableStyleInfo name="TableStyleDark10"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AF39A3EB-360F-4820-8A90-F0681E07E38A}" name="Table2369" displayName="Table2369" ref="H1:M6" totalsRowShown="0" headerRowDxfId="522" dataDxfId="521" tableBorderDxfId="520">
  <autoFilter ref="H1:M6" xr:uid="{AF39A3EB-360F-4820-8A90-F0681E07E38A}">
    <filterColumn colId="0" hiddenButton="1"/>
    <filterColumn colId="1" hiddenButton="1"/>
    <filterColumn colId="2" hiddenButton="1"/>
    <filterColumn colId="3" hiddenButton="1"/>
    <filterColumn colId="4" hiddenButton="1"/>
    <filterColumn colId="5" hiddenButton="1"/>
  </autoFilter>
  <tableColumns count="6">
    <tableColumn id="1" xr3:uid="{5DA7700C-A33B-4D7A-822A-C4240884A340}" name="Institution" dataDxfId="519"/>
    <tableColumn id="2" xr3:uid="{19A10224-BB44-4B71-9557-4BF14696DAE6}" name="Cost of Equity" dataDxfId="518"/>
    <tableColumn id="3" xr3:uid="{E3E69C99-7335-4F94-AAFF-553083200B1C}" name="Terminal Growth" dataDxfId="517" dataCellStyle="Percent">
      <calculatedColumnFormula>[10]WACC!$I$3</calculatedColumnFormula>
    </tableColumn>
    <tableColumn id="4" xr3:uid="{E8FBFDCC-109A-4170-BA93-EE61C25D2DA8}" name="Intrinsic Value" dataDxfId="516" dataCellStyle="Comma"/>
    <tableColumn id="5" xr3:uid="{35D22599-5054-4684-8D7E-8973BF3B70CC}" name="Current Price" dataDxfId="515" dataCellStyle="Comma"/>
    <tableColumn id="6" xr3:uid="{284594F4-667F-41DD-9332-B76FBADC56AA}" name="Upside/Downside" dataDxfId="514" dataCellStyle="Percent">
      <calculatedColumnFormula>(Table2369[[#This Row],[Intrinsic Value]]-Table2369[[#This Row],[Current Price]])/Table2369[[#This Row],[Current Price]]</calculatedColumnFormula>
    </tableColumn>
  </tableColumns>
  <tableStyleInfo name="TableStyleDark10"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F6BB3907-D601-4FE1-8390-29DFF1B41853}" name="Table234589" displayName="Table234589" ref="H8:M14" totalsRowShown="0" headerRowDxfId="513" dataDxfId="512" tableBorderDxfId="511">
  <autoFilter ref="H8:M14" xr:uid="{F6BB3907-D601-4FE1-8390-29DFF1B41853}">
    <filterColumn colId="0" hiddenButton="1"/>
    <filterColumn colId="1" hiddenButton="1"/>
    <filterColumn colId="2" hiddenButton="1"/>
    <filterColumn colId="3" hiddenButton="1"/>
    <filterColumn colId="4" hiddenButton="1"/>
    <filterColumn colId="5" hiddenButton="1"/>
  </autoFilter>
  <tableColumns count="6">
    <tableColumn id="1" xr3:uid="{4D444261-30E8-43E9-9FFC-AE457C763F66}" name="Institution" dataDxfId="510"/>
    <tableColumn id="2" xr3:uid="{5D5DAB04-0E24-4860-BC21-8E352C999E72}" name="Cost of Equity" dataDxfId="509"/>
    <tableColumn id="3" xr3:uid="{235710BE-5C17-4386-BE5F-485176A09849}" name="Terminal Growth" dataDxfId="508" dataCellStyle="Percent">
      <calculatedColumnFormula>'[11]Key Assumptions-WACC'!$K$3</calculatedColumnFormula>
    </tableColumn>
    <tableColumn id="4" xr3:uid="{4DD17CE9-CF0C-4DDB-A411-FE450DBEEF1A}" name="Intrinsic Value" dataDxfId="507" dataCellStyle="Comma"/>
    <tableColumn id="5" xr3:uid="{19980476-C887-4584-9AEB-69175F16A3C8}" name="Current Price" dataDxfId="506" dataCellStyle="Comma"/>
    <tableColumn id="6" xr3:uid="{4704D774-FF58-44F0-8AA1-94CA498B4E40}" name="Upside/Downside" dataDxfId="505" dataCellStyle="Percent">
      <calculatedColumnFormula>(Table234589[[#This Row],[Intrinsic Value]]-Table234589[[#This Row],[Current Price]])/Table234589[[#This Row],[Current Price]]</calculatedColumnFormula>
    </tableColumn>
  </tableColumns>
  <tableStyleInfo name="TableStyleDark10"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24E272F8-6E5E-463A-ABE4-F90FA9FD7C11}" name="Table2369109" displayName="Table2369109" ref="H16:M21" totalsRowShown="0" headerRowDxfId="504" dataDxfId="503" tableBorderDxfId="502">
  <autoFilter ref="H16:M21" xr:uid="{24E272F8-6E5E-463A-ABE4-F90FA9FD7C11}">
    <filterColumn colId="0" hiddenButton="1"/>
    <filterColumn colId="1" hiddenButton="1"/>
    <filterColumn colId="2" hiddenButton="1"/>
    <filterColumn colId="3" hiddenButton="1"/>
    <filterColumn colId="4" hiddenButton="1"/>
    <filterColumn colId="5" hiddenButton="1"/>
  </autoFilter>
  <tableColumns count="6">
    <tableColumn id="1" xr3:uid="{A38C7A14-8644-4752-AEA3-923899516B81}" name="Institution" dataDxfId="501"/>
    <tableColumn id="2" xr3:uid="{7139B8F3-8431-4DCA-B876-5D8E39AD9802}" name="Cost of Equity" dataDxfId="500"/>
    <tableColumn id="3" xr3:uid="{264A4869-0ACA-4215-86BD-3C86ED8AC122}" name="Terminal Growth" dataDxfId="499" dataCellStyle="Percent">
      <calculatedColumnFormula>'[12]Weighted Avg Cost of Capital'!$B$8</calculatedColumnFormula>
    </tableColumn>
    <tableColumn id="4" xr3:uid="{E6224948-7007-4D40-B118-C914668994C3}" name="Intrinsic Value" dataDxfId="498" dataCellStyle="Comma"/>
    <tableColumn id="5" xr3:uid="{CDFB667D-EB1A-4D5B-819D-415506CE52DF}" name="Current Price" dataDxfId="497" dataCellStyle="Comma"/>
    <tableColumn id="6" xr3:uid="{9E3A883E-B7BF-4AA1-9B8F-0607035B1B0C}" name="Upside/Downside" dataDxfId="496" dataCellStyle="Percent">
      <calculatedColumnFormula>(Table2369109[[#This Row],[Intrinsic Value]]-Table2369109[[#This Row],[Current Price]])/Table2369109[[#This Row],[Current Price]]</calculatedColumnFormula>
    </tableColumn>
  </tableColumns>
  <tableStyleInfo name="TableStyleDark10"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0E78D0B-0F40-4C91-B847-B284A296BCA0}" name="Table234589123" displayName="Table234589123" ref="O1:T7" totalsRowShown="0" headerRowDxfId="495" dataDxfId="494" tableBorderDxfId="493">
  <autoFilter ref="O1:T7" xr:uid="{F0E78D0B-0F40-4C91-B847-B284A296BCA0}">
    <filterColumn colId="0" hiddenButton="1"/>
    <filterColumn colId="1" hiddenButton="1"/>
    <filterColumn colId="2" hiddenButton="1"/>
    <filterColumn colId="3" hiddenButton="1"/>
    <filterColumn colId="4" hiddenButton="1"/>
    <filterColumn colId="5" hiddenButton="1"/>
  </autoFilter>
  <tableColumns count="6">
    <tableColumn id="1" xr3:uid="{EACB2761-8F1E-4B24-8234-0B22A156DA9C}" name="Institution" dataDxfId="492"/>
    <tableColumn id="2" xr3:uid="{B0397B33-44C5-4610-8AA0-84676D8B0E5E}" name="Cost of Equity" dataDxfId="491"/>
    <tableColumn id="3" xr3:uid="{69555619-8BEF-4DA0-BCBD-FCA63724CDC1}" name="Terminal Growth" dataDxfId="490" dataCellStyle="Percent"/>
    <tableColumn id="4" xr3:uid="{0F68650A-D9F9-43DE-A045-6F01BBDDD6FC}" name="Intrinsic Value" dataDxfId="489" dataCellStyle="Comma"/>
    <tableColumn id="5" xr3:uid="{9A5D3C8D-5995-4404-9680-8A2402A6E79F}" name="Current Price" dataDxfId="488" dataCellStyle="Comma"/>
    <tableColumn id="6" xr3:uid="{0B1059C5-2F17-41AA-9A15-143EA1F86539}" name="Upside/Downside" dataDxfId="487" dataCellStyle="Percent">
      <calculatedColumnFormula>(Table234589123[[#This Row],[Intrinsic Value]]-Table234589123[[#This Row],[Current Price]])/Table234589123[[#This Row],[Current Price]]</calculatedColumnFormula>
    </tableColumn>
  </tableColumns>
  <tableStyleInfo name="TableStyleDark10"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3BE4C07E-DDF3-4424-BAB6-9F259ECEC987}" name="Table2369109137" displayName="Table2369109137" ref="O9:T14" totalsRowShown="0" headerRowDxfId="486" dataDxfId="485" tableBorderDxfId="484">
  <autoFilter ref="O9:T14" xr:uid="{3BE4C07E-DDF3-4424-BAB6-9F259ECEC987}">
    <filterColumn colId="0" hiddenButton="1"/>
    <filterColumn colId="1" hiddenButton="1"/>
    <filterColumn colId="2" hiddenButton="1"/>
    <filterColumn colId="3" hiddenButton="1"/>
    <filterColumn colId="4" hiddenButton="1"/>
    <filterColumn colId="5" hiddenButton="1"/>
  </autoFilter>
  <tableColumns count="6">
    <tableColumn id="1" xr3:uid="{0AE17EF0-7FD5-4DD2-9B3B-65CA72920EF7}" name="Institution" dataDxfId="483"/>
    <tableColumn id="2" xr3:uid="{99B17B50-1C61-4A8C-9F57-55D18C83CC31}" name="Cost of Equity" dataDxfId="482"/>
    <tableColumn id="3" xr3:uid="{96EB6BCC-FCD0-4284-8BEC-A17C89EF87E2}" name="Terminal Growth" dataDxfId="481" dataCellStyle="Percent">
      <calculatedColumnFormula>[14]WACC!$B$16</calculatedColumnFormula>
    </tableColumn>
    <tableColumn id="4" xr3:uid="{C2A96E5D-541F-4EC3-A754-D9CA616CB58C}" name="Relative value" dataDxfId="480" dataCellStyle="Comma"/>
    <tableColumn id="5" xr3:uid="{717B0E43-6A41-46FE-9058-05343A3E10C4}" name="Current Price" dataDxfId="479" dataCellStyle="Comma"/>
    <tableColumn id="6" xr3:uid="{B8CDE13D-4D20-4815-9654-C3358324533A}" name="Upside/Downside" dataDxfId="478" dataCellStyle="Percent">
      <calculatedColumnFormula>(Table2369109137[[#This Row],[Relative value]]-Table2369109137[[#This Row],[Current Price]])/Table2369109137[[#This Row],[Current Price]]</calculatedColumnFormula>
    </tableColumn>
  </tableColumns>
  <tableStyleInfo name="TableStyleDark10"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B5038E4-F613-4EA8-A381-FC3609FB99CE}" name="Table23458912377" displayName="Table23458912377" ref="O16:T22" totalsRowShown="0" headerRowDxfId="477" dataDxfId="476" tableBorderDxfId="475">
  <autoFilter ref="O16:T22" xr:uid="{FB5038E4-F613-4EA8-A381-FC3609FB99CE}">
    <filterColumn colId="0" hiddenButton="1"/>
    <filterColumn colId="1" hiddenButton="1"/>
    <filterColumn colId="2" hiddenButton="1"/>
    <filterColumn colId="3" hiddenButton="1"/>
    <filterColumn colId="4" hiddenButton="1"/>
    <filterColumn colId="5" hiddenButton="1"/>
  </autoFilter>
  <tableColumns count="6">
    <tableColumn id="1" xr3:uid="{2733D29D-1D7E-4906-9226-EA4D32F5EA38}" name="Institution" dataDxfId="474"/>
    <tableColumn id="2" xr3:uid="{698268BF-E6D6-49CC-A571-1697B0EA2256}" name="Cost of Equity" dataDxfId="473"/>
    <tableColumn id="3" xr3:uid="{0C3CA2E2-9D7C-4293-ADEB-8157D2E1442E}" name="Terminal Growth" dataDxfId="472" dataCellStyle="Percent">
      <calculatedColumnFormula>[16]WACC!$B$19</calculatedColumnFormula>
    </tableColumn>
    <tableColumn id="4" xr3:uid="{77789EC0-7710-4D56-91D3-1F01E59FD25C}" name="Intrinsic Value" dataDxfId="471" dataCellStyle="Comma"/>
    <tableColumn id="5" xr3:uid="{EB43DBA4-3784-4CAE-A23F-94C63657A231}" name="Current Price" dataDxfId="470" dataCellStyle="Comma"/>
    <tableColumn id="6" xr3:uid="{5AA7551B-3799-4FBD-B346-A21D0995C933}" name="Upside/Downside" dataDxfId="469" dataCellStyle="Percent">
      <calculatedColumnFormula>(Table23458912377[[#This Row],[Intrinsic Value]]-Table23458912377[[#This Row],[Current Price]])/Table23458912377[[#This Row],[Current Price]]</calculatedColumnFormula>
    </tableColumn>
  </tableColumns>
  <tableStyleInfo name="TableStyleDark10"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4878058-4AA2-4FB2-BBDE-E1D78B3A3905}" name="Table236910913736" displayName="Table236910913736" ref="V1:AA6" totalsRowShown="0" headerRowDxfId="468" dataDxfId="467" tableBorderDxfId="466">
  <autoFilter ref="V1:AA6" xr:uid="{14878058-4AA2-4FB2-BBDE-E1D78B3A3905}">
    <filterColumn colId="0" hiddenButton="1"/>
    <filterColumn colId="1" hiddenButton="1"/>
    <filterColumn colId="2" hiddenButton="1"/>
    <filterColumn colId="3" hiddenButton="1"/>
    <filterColumn colId="4" hiddenButton="1"/>
    <filterColumn colId="5" hiddenButton="1"/>
  </autoFilter>
  <tableColumns count="6">
    <tableColumn id="1" xr3:uid="{8F8B929A-8241-4B2D-8DED-345A7B338FB6}" name="Institution" dataDxfId="465"/>
    <tableColumn id="2" xr3:uid="{ACB2FF62-2591-4DBF-978A-E1C798930751}" name="Cost of Equity" dataDxfId="464"/>
    <tableColumn id="3" xr3:uid="{6E79405A-C4F8-4809-9301-F7657B7B76D7}" name="Terminal Growth" dataDxfId="463" dataCellStyle="Percent">
      <calculatedColumnFormula>'[17]WACC &amp; Key Assumptions'!$B$21</calculatedColumnFormula>
    </tableColumn>
    <tableColumn id="4" xr3:uid="{5A856F02-BC6B-495A-97B5-537FA1FC3725}" name="Intrinsic/Relative" dataDxfId="462" dataCellStyle="Comma"/>
    <tableColumn id="5" xr3:uid="{0063FFEE-801D-4D7A-B57F-F46F517B0B41}" name="Current Price" dataDxfId="461" dataCellStyle="Comma"/>
    <tableColumn id="6" xr3:uid="{526DFF95-55B1-4629-B494-021236960686}" name="Upside/Downside" dataDxfId="460" dataCellStyle="Percent">
      <calculatedColumnFormula>(Table236910913736[[#This Row],[Intrinsic/Relative]]-Table236910913736[[#This Row],[Current Price]])/Table236910913736[[#This Row],[Current Price]]</calculatedColumnFormula>
    </tableColumn>
  </tableColumns>
  <tableStyleInfo name="TableStyleDark10"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FD53DB8-601E-4BD8-861E-2EEC2B293003}" name="Table23458912377144" displayName="Table23458912377144" ref="V9:AA15" totalsRowShown="0" headerRowDxfId="459" dataDxfId="458" tableBorderDxfId="457">
  <autoFilter ref="V9:AA15" xr:uid="{9FD53DB8-601E-4BD8-861E-2EEC2B293003}">
    <filterColumn colId="0" hiddenButton="1"/>
    <filterColumn colId="1" hiddenButton="1"/>
    <filterColumn colId="2" hiddenButton="1"/>
    <filterColumn colId="3" hiddenButton="1"/>
    <filterColumn colId="4" hiddenButton="1"/>
    <filterColumn colId="5" hiddenButton="1"/>
  </autoFilter>
  <tableColumns count="6">
    <tableColumn id="1" xr3:uid="{23221122-4201-4928-8E91-F370D57EFB98}" name="Institution" dataDxfId="456"/>
    <tableColumn id="2" xr3:uid="{F63A1EBD-1D1B-46D4-B153-6D687EFBCB2D}" name="Cost of Equity" dataDxfId="455"/>
    <tableColumn id="3" xr3:uid="{C4BB54BB-ED9B-42CB-A351-B076097E916F}" name="Terminal Growth" dataDxfId="454" dataCellStyle="Percent">
      <calculatedColumnFormula>[18]WACC!$B$19</calculatedColumnFormula>
    </tableColumn>
    <tableColumn id="4" xr3:uid="{159F4833-C9A2-4A71-A987-EC876C17B59D}" name="Intrinsic Value" dataDxfId="453" dataCellStyle="Comma"/>
    <tableColumn id="5" xr3:uid="{E01B2A86-0483-4AFC-A244-B08EEAF9B03E}" name="Current Price" dataDxfId="452" dataCellStyle="Comma"/>
    <tableColumn id="6" xr3:uid="{662F2E7C-0A76-493C-A0F3-EA8F1993AAAB}" name="Upside/Downside" dataDxfId="451" dataCellStyle="Percent">
      <calculatedColumnFormula>(Table23458912377144[[#This Row],[Intrinsic Value]]-Z10)/Z10</calculatedColumnFormula>
    </tableColumn>
  </tableColumns>
  <tableStyleInfo name="TableStyleDark10"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2641C0F6-E14B-4A87-B542-DECE11092446}" name="Table144" displayName="Table144" ref="A1:F12" totalsRowShown="0" headerRowDxfId="450" dataDxfId="449" tableBorderDxfId="448">
  <autoFilter ref="A1:F12" xr:uid="{2641C0F6-E14B-4A87-B542-DECE11092446}">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2:F12">
    <sortCondition ref="A1:A12"/>
  </sortState>
  <tableColumns count="6">
    <tableColumn id="1" xr3:uid="{E3337C1F-7249-4408-8513-4A8C09ADECB6}" name="Sector" dataDxfId="447"/>
    <tableColumn id="2" xr3:uid="{4B60C165-7EDB-4FCE-82EE-D8E75E43FE39}" name="Revenue CAGR" dataDxfId="446" dataCellStyle="Percent"/>
    <tableColumn id="3" xr3:uid="{D5BB2500-3B56-40F8-8636-4B03ADB606AF}" name="Avg EBITDA Margin" dataDxfId="445" dataCellStyle="Percent"/>
    <tableColumn id="4" xr3:uid="{A73087F6-4E36-4AE7-B760-F5AEE4A56A61}" name="Avg ROE" dataDxfId="444" dataCellStyle="Percent"/>
    <tableColumn id="5" xr3:uid="{7165197A-12AB-487F-BAEC-7B1C01F5C141}" name="Avg NPM" dataDxfId="443" dataCellStyle="Percent"/>
    <tableColumn id="6" xr3:uid="{F9F3A0B8-6D08-4A9A-B23B-20E75D847502}" name="Avg Valuation Multiple" dataDxfId="442" dataCellStyle="Comma"/>
  </tableColumns>
  <tableStyleInfo name="TableStyleDark9"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C99153CA-2234-4070-94B8-1B52D93C62D5}" name="Table145" displayName="Table145" ref="A14:D26" totalsRowShown="0" headerRowDxfId="441" dataDxfId="440" tableBorderDxfId="439">
  <autoFilter ref="A14:D26" xr:uid="{C99153CA-2234-4070-94B8-1B52D93C62D5}">
    <filterColumn colId="0" hiddenButton="1"/>
    <filterColumn colId="1" hiddenButton="1"/>
    <filterColumn colId="2" hiddenButton="1"/>
    <filterColumn colId="3" hiddenButton="1"/>
  </autoFilter>
  <tableColumns count="4">
    <tableColumn id="1" xr3:uid="{549027DE-C529-4921-9817-3BF4C97EFCEE}" name="Sector" dataDxfId="438"/>
    <tableColumn id="2" xr3:uid="{6A446A89-4A9B-49C2-B541-5BEE3BAD70BD}" name="Expected Revenue CAGR" dataDxfId="437"/>
    <tableColumn id="3" xr3:uid="{1278062E-70F3-4EC8-ADB0-248EC3992A1C}" name="CapEx Intensity" dataDxfId="436"/>
    <tableColumn id="4" xr3:uid="{07F08916-DE07-4C19-B2C0-0C9141621310}" name="Earnings Senstivity to GDP" dataDxfId="435"/>
  </tableColumns>
  <tableStyleInfo name="TableStyleDark9"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C407C9-3269-45CC-99F3-86BDDD43A4CB}" name="Table5" displayName="Table5" ref="I1:O13" totalsRowShown="0" headerRowDxfId="434" dataDxfId="433" tableBorderDxfId="432">
  <autoFilter ref="I1:O13" xr:uid="{72C407C9-3269-45CC-99F3-86BDDD43A4C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758A6A-DCC1-4178-A057-5D4C38763590}" name="Sector" dataDxfId="431"/>
    <tableColumn id="2" xr3:uid="{AF65A035-973F-4908-8C95-6309891BFC52}" name="Avg Capex (20-25)" dataDxfId="430"/>
    <tableColumn id="3" xr3:uid="{DDFA865C-B2C8-4D7F-B48E-9C816742480B}" name="Avg Capex (26-30)" dataDxfId="429"/>
    <tableColumn id="4" xr3:uid="{3F9DCDD4-B7A6-4634-8817-14716FFB780C}" name="Capex CAGR" dataDxfId="428"/>
    <tableColumn id="5" xr3:uid="{FDED79F5-5017-4583-AD6E-7669C86C90B4}" name="Expected Capex Intensity" dataDxfId="427">
      <calculatedColumnFormula>C15</calculatedColumnFormula>
    </tableColumn>
    <tableColumn id="6" xr3:uid="{CFF768E7-E419-4D8B-A333-BB50BFE27283}" name="Incremental ROCE (Historical)" dataDxfId="426"/>
    <tableColumn id="7" xr3:uid="{730DA0CF-2926-4257-9B96-71D27974E576}" name="Incremental ROCE (Forecast)" dataDxfId="425"/>
  </tableColumns>
  <tableStyleInfo name="TableStyleDark9"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C93C27B1-8232-437B-946D-B3388D740021}" name="Table153" displayName="Table153" ref="Y1:AC13" totalsRowShown="0" headerRowDxfId="424">
  <autoFilter ref="Y1:AC13" xr:uid="{C93C27B1-8232-437B-946D-B3388D740021}">
    <filterColumn colId="0" hiddenButton="1"/>
    <filterColumn colId="1" hiddenButton="1"/>
    <filterColumn colId="2" hiddenButton="1"/>
    <filterColumn colId="3" hiddenButton="1"/>
    <filterColumn colId="4" hiddenButton="1"/>
  </autoFilter>
  <tableColumns count="5">
    <tableColumn id="1" xr3:uid="{E631A614-5B57-49FB-8104-1E57EE2C6F0B}" name="Sector" dataDxfId="423"/>
    <tableColumn id="2" xr3:uid="{C90571DF-9BF6-48E0-9A10-58BD1D13E0DA}" name="Earnings Change (Forecast)-India" dataDxfId="422"/>
    <tableColumn id="3" xr3:uid="{CFA12CA8-B0C6-4CAC-8866-779FFF907FB6}" name="Earnings Change (Forecast)-US" dataDxfId="421"/>
    <tableColumn id="4" xr3:uid="{0222A441-3C4C-4ECD-989C-1E7355B41D07}" name="Earnings Senstitivity (Forecast)- India" dataDxfId="420" dataCellStyle="Comma"/>
    <tableColumn id="5" xr3:uid="{993819F3-C456-459F-84F9-B6BDE84EB442}" name="Earnings Senstitivity (Forecast)- US" dataDxfId="419" dataCellStyle="Comma"/>
  </tableColumns>
  <tableStyleInfo name="TableStyleDark9"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1C2A791B-0084-42D5-97CC-29BB54BF5926}" name="Table127148" displayName="Table127148" ref="A1:K13" totalsRowShown="0" headerRowDxfId="418" dataDxfId="417" tableBorderDxfId="416">
  <autoFilter ref="A1:K13" xr:uid="{1C2A791B-0084-42D5-97CC-29BB54BF59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DB8AA53-931A-4FD9-8FE8-F8F0B1B55F15}" name="Sector" dataDxfId="415">
      <calculatedColumnFormula>Table126[[#This Row],[Sector]]</calculatedColumnFormula>
    </tableColumn>
    <tableColumn id="2" xr3:uid="{85A0CCEA-BBE9-4B26-A030-280D91CB54A5}" name="Base PE" dataDxfId="414"/>
    <tableColumn id="3" xr3:uid="{7B589AF7-99C6-47AB-B778-AA1C5CF91593}" name="Earnings CAGR" dataDxfId="413" dataCellStyle="Percent"/>
    <tableColumn id="4" xr3:uid="{869FBC1B-3EC7-46DF-AC78-D927B75D95EF}" name="ROCE" dataDxfId="412"/>
    <tableColumn id="5" xr3:uid="{B3EA55EF-EDB9-44B1-BE08-CF8A1F30B59A}" name="Ke" dataDxfId="411" dataCellStyle="Percent"/>
    <tableColumn id="6" xr3:uid="{45A32A2D-DD83-4F13-A131-2D77E1DA2978}" name="Earnings Sensitivity" dataDxfId="410"/>
    <tableColumn id="7" xr3:uid="{70DAFD55-7DD3-44C1-B87F-DF05D91B3820}" name="Risk Adjustment" dataDxfId="409"/>
    <tableColumn id="8" xr3:uid="{1F6ADEBC-4788-4C69-A739-A2CBA3B93596}" name="Alpha" dataDxfId="408"/>
    <tableColumn id="9" xr3:uid="{344F9F6E-27BB-4A02-8E9B-37DD6B16D462}" name="Beta" dataDxfId="407"/>
    <tableColumn id="10" xr3:uid="{B66D12A8-8B6B-4690-8069-D74A56800355}" name="Gamma" dataDxfId="406"/>
    <tableColumn id="11" xr3:uid="{E63E7E7A-DC17-41B0-A6DC-92BFE64B9B42}" name="Forecasted PE" dataDxfId="405" dataCellStyle="Comma"/>
  </tableColumns>
  <tableStyleInfo name="TableStyleDark9"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600DB761-2157-4419-87BD-9C99F794EE5B}" name="Table146150" displayName="Table146150" ref="X1:AA4" totalsRowShown="0" headerRowDxfId="404" dataDxfId="403">
  <autoFilter ref="X1:AA4" xr:uid="{600DB761-2157-4419-87BD-9C99F794EE5B}">
    <filterColumn colId="0" hiddenButton="1"/>
    <filterColumn colId="1" hiddenButton="1"/>
    <filterColumn colId="2" hiddenButton="1"/>
    <filterColumn colId="3" hiddenButton="1"/>
  </autoFilter>
  <tableColumns count="4">
    <tableColumn id="1" xr3:uid="{B7255828-5EC9-43E5-9B4E-3E653FB67F6B}" name="ROEC\ P/E" dataDxfId="402"/>
    <tableColumn id="2" xr3:uid="{9D1F42E4-2388-4031-A316-8FB62F0ACFAA}" name="High (&gt;60)" dataDxfId="401"/>
    <tableColumn id="3" xr3:uid="{B8ECC55D-61D5-4361-A4B3-8C9C4C3E03D6}" name="Moderate  (30-60)" dataDxfId="400"/>
    <tableColumn id="4" xr3:uid="{422DE056-E648-4199-928E-ED408AEC540F}" name="Low (&lt;30)" dataDxfId="399"/>
  </tableColumns>
  <tableStyleInfo name="TableStyleMedium13"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C497CE6B-40F8-4D1B-9D16-CBD6A2F1248F}" name="Table150" displayName="Table150" ref="M1:V12" totalsRowShown="0" headerRowDxfId="398" dataDxfId="397">
  <autoFilter ref="M1:V12" xr:uid="{C497CE6B-40F8-4D1B-9D16-CBD6A2F1248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5A6445B-AC4B-49E0-9B12-907BCCB638EE}" name="Sector" dataDxfId="396">
      <calculatedColumnFormula>Table126[[#This Row],[Sector]]</calculatedColumnFormula>
    </tableColumn>
    <tableColumn id="2" xr3:uid="{B0A23C6D-3481-4D45-BE39-D7C4C4F9E6B0}" name="Forecasted ROCE" dataDxfId="395" dataCellStyle="Comma">
      <calculatedColumnFormula>Table127148[[#This Row],[ROCE]]</calculatedColumnFormula>
    </tableColumn>
    <tableColumn id="3" xr3:uid="{9DC1A483-606F-4A39-B3C0-18AE94A77506}" name="Forecasted PE" dataDxfId="394" dataCellStyle="Comma">
      <calculatedColumnFormula>Table127148[[#This Row],[Forecasted PE]]</calculatedColumnFormula>
    </tableColumn>
    <tableColumn id="4" xr3:uid="{AE3FAA21-C72B-48D3-9D65-C4FF96EE0794}" name="Quadrant" dataDxfId="393">
      <calculatedColumnFormula>IF(N2&gt;= $AA$16,
    IF(O2&gt;= $AA$18,"High ROCE &amp; High PE",
       IF(O2&gt;= $AA$19,"High ROCE &amp; Moderate PE","High ROCE &amp; Low PE")),
 IF(N2&gt;= $AA$17,
    IF(O2&gt;= $AA$18,"Moderate ROCE &amp; High PE",
       IF(O2&gt;= $AA$19,"Moderate ROCE &amp; Moderate PE","Moderate ROCE &amp; Low PE")),
 IF(O2&gt;= $AA$18,"Low ROCE &amp; High PE",
    IF(O2&gt;= $AA$19,"Low ROCE &amp; Moderate PE","Low ROCE &amp; Low PE"))))</calculatedColumnFormula>
    </tableColumn>
    <tableColumn id="5" xr3:uid="{E7206D9F-EC52-4A5A-940A-ABBDE72C8B82}" name="Category" dataDxfId="392">
      <calculatedColumnFormula>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calculatedColumnFormula>
    </tableColumn>
    <tableColumn id="6" xr3:uid="{4CFE0948-19E1-47DE-8DC4-C29D16DA24BF}" name="Premium" dataDxfId="391">
      <calculatedColumnFormula>IF($Q2="Premium Efficiency",$O2,NA())</calculatedColumnFormula>
    </tableColumn>
    <tableColumn id="7" xr3:uid="{DBB0FE59-64CE-43C2-9ECA-167283C70463}" name="Balanced" dataDxfId="390" dataCellStyle="Comma">
      <calculatedColumnFormula>IF($Q2="Balanced Compounder",$O2,NA())</calculatedColumnFormula>
    </tableColumn>
    <tableColumn id="8" xr3:uid="{FAB21E20-0C77-49E9-95FC-D2B6A79AEAB7}" name="Undervalued" dataDxfId="389">
      <calculatedColumnFormula>IF($Q2="Undervalued Efficient",$O2,NA())</calculatedColumnFormula>
    </tableColumn>
    <tableColumn id="9" xr3:uid="{302D4586-0B33-4B24-8CEF-3FDA0BB8635B}" name="Value Anchor" dataDxfId="388">
      <calculatedColumnFormula>IF($Q2="Value Anchor",$O2,NA())</calculatedColumnFormula>
    </tableColumn>
    <tableColumn id="10" xr3:uid="{29D5A1C5-1EE1-47D3-A427-C76A8C9BCED5}" name="Mid-Tier" dataDxfId="387">
      <calculatedColumnFormula>IF($Q2="Mid-tier",$O2,NA())</calculatedColumnFormula>
    </tableColumn>
  </tableColumns>
  <tableStyleInfo name="TableStyleMedium9"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B6CF97D1-6C19-40EF-AF33-1A54D1BE07AA}" name="Table140153" displayName="Table140153" ref="Z15:AA19" totalsRowShown="0" headerRowDxfId="386">
  <autoFilter ref="Z15:AA19" xr:uid="{B6CF97D1-6C19-40EF-AF33-1A54D1BE07AA}">
    <filterColumn colId="0" hiddenButton="1"/>
    <filterColumn colId="1" hiddenButton="1"/>
  </autoFilter>
  <tableColumns count="2">
    <tableColumn id="1" xr3:uid="{36E4087B-AFCA-4650-AFFF-EF3E3BB8E994}" name="Thresholds" dataDxfId="385"/>
    <tableColumn id="2" xr3:uid="{B65E976F-0B06-4040-BB04-19F2BFD38470}" name="Value" dataDxfId="384" dataCellStyle="Comma"/>
  </tableColumns>
  <tableStyleInfo name="TableStyleMedium9"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72EC571-DFE7-4611-96ED-7941EDAE614B}" name="Table160" displayName="Table160" ref="AD1:AH12" totalsRowShown="0" headerRowDxfId="383" dataDxfId="382" tableBorderDxfId="381">
  <autoFilter ref="AD1:AH12" xr:uid="{B72EC571-DFE7-4611-96ED-7941EDAE614B}">
    <filterColumn colId="0" hiddenButton="1"/>
    <filterColumn colId="1" hiddenButton="1"/>
    <filterColumn colId="2" hiddenButton="1"/>
    <filterColumn colId="3" hiddenButton="1"/>
    <filterColumn colId="4" hiddenButton="1"/>
  </autoFilter>
  <tableColumns count="5">
    <tableColumn id="1" xr3:uid="{273DAE79-8F69-4657-B5D3-BD5EC7407A25}" name="Sector" dataDxfId="380">
      <calculatedColumnFormula>Table150[[#This Row],[Sector]]</calculatedColumnFormula>
    </tableColumn>
    <tableColumn id="2" xr3:uid="{AF882692-E889-4BA2-9511-30B0C20A072E}" name="Forecasted ROCE-India" dataDxfId="379">
      <calculatedColumnFormula>Table139[[#This Row],[Forecasted ROCE]]</calculatedColumnFormula>
    </tableColumn>
    <tableColumn id="3" xr3:uid="{10E0C288-4D75-41CD-8977-C58B749B577D}" name="Forecasted PE-India" dataDxfId="378">
      <calculatedColumnFormula>Table139[[#This Row],[Forecasted PE]]</calculatedColumnFormula>
    </tableColumn>
    <tableColumn id="4" xr3:uid="{9D5FC313-906B-44F4-BBCE-9A6BE5D52A08}" name="Forecasted ROCE-US" dataDxfId="377">
      <calculatedColumnFormula>Table150[[#This Row],[Forecasted ROCE]]</calculatedColumnFormula>
    </tableColumn>
    <tableColumn id="5" xr3:uid="{0449F4C1-20F2-4CA9-8780-237D66FA0BBA}" name="Forecasted PE-US" dataDxfId="376">
      <calculatedColumnFormula>Table150[[#This Row],[Forecasted PE]]</calculatedColumnFormula>
    </tableColumn>
  </tableColumns>
  <tableStyleInfo name="TableStyleDark10"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B6DC841-89B9-48FC-AA19-DEB24F998D4E}" name="Table161" displayName="Table161" ref="AK1:AM13" totalsRowShown="0" headerRowDxfId="375" tableBorderDxfId="374">
  <autoFilter ref="AK1:AM13" xr:uid="{EB6DC841-89B9-48FC-AA19-DEB24F998D4E}">
    <filterColumn colId="0" hiddenButton="1"/>
    <filterColumn colId="1" hiddenButton="1"/>
    <filterColumn colId="2" hiddenButton="1"/>
  </autoFilter>
  <tableColumns count="3">
    <tableColumn id="1" xr3:uid="{E63F068D-5F0C-45EB-977E-86A296D0C6BA}" name="Sector" dataDxfId="373"/>
    <tableColumn id="2" xr3:uid="{2809A6E2-D670-477F-B1CC-2C3B051C3F43}" name="Earnings CAGR (Historical)" dataDxfId="372"/>
    <tableColumn id="3" xr3:uid="{7F27B022-EFF9-41AD-BFF7-0903798E2884}" name="Earnings CAGR (Forecast)" dataDxfId="371"/>
  </tableColumns>
  <tableStyleInfo name="TableStyleDark10"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092FCC5D-7425-4765-99B9-3748D86C62A3}" name="Table181" displayName="Table181" ref="AQ6:AT10" totalsRowShown="0" headerRowDxfId="370">
  <autoFilter ref="AQ6:AT10" xr:uid="{092FCC5D-7425-4765-99B9-3748D86C62A3}">
    <filterColumn colId="0" hiddenButton="1"/>
    <filterColumn colId="1" hiddenButton="1"/>
    <filterColumn colId="2" hiddenButton="1"/>
    <filterColumn colId="3" hiddenButton="1"/>
  </autoFilter>
  <tableColumns count="4">
    <tableColumn id="1" xr3:uid="{63BEF649-17E3-4AC1-9EBD-59E6B4459D1C}" name="Country" dataDxfId="369"/>
    <tableColumn id="2" xr3:uid="{550086B0-3DA0-4DE6-AF0D-0EF263EA7FC0}" name="Correlation" dataDxfId="368" dataCellStyle="Comma">
      <calculatedColumnFormula>CORREL(Table160[Forecasted ROCE-US],Table160[Forecasted PE-US])</calculatedColumnFormula>
    </tableColumn>
    <tableColumn id="3" xr3:uid="{53E48A89-DC9F-42A3-97D9-1F3353E03D1F}" name="R-square" dataDxfId="367" dataCellStyle="Comma">
      <calculatedColumnFormula>RSQ(Table160[Forecasted ROCE-US],Table160[Forecasted PE-US])</calculatedColumnFormula>
    </tableColumn>
    <tableColumn id="4" xr3:uid="{DD289EFE-CEE8-4AD1-9908-144413E04C77}" name="Interpretation" dataDxfId="366"/>
  </tableColumns>
  <tableStyleInfo name="TableStyleDark10"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7F0FE28D-314C-4366-9A06-8972B07C2A34}" name="Table182" displayName="Table182" ref="AW1:BE12" totalsRowShown="0" headerRowDxfId="365" dataDxfId="364" tableBorderDxfId="363">
  <autoFilter ref="AW1:BE12" xr:uid="{7F0FE28D-314C-4366-9A06-8972B07C2A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39D7A51-82FC-4E42-A94E-48D2576641B4}" name="Sector" dataDxfId="362"/>
    <tableColumn id="2" xr3:uid="{02E65FDA-571C-40F7-8C84-7E2A42789D8B}" name="ROCE India-H" dataDxfId="361" dataCellStyle="Comma">
      <calculatedColumnFormula>Table5[[#This Row],[Incremental ROCE (Historical)]]</calculatedColumnFormula>
    </tableColumn>
    <tableColumn id="3" xr3:uid="{76C472AB-E8D9-4400-A28A-1101B1BB5B40}" name="PE India-H" dataDxfId="360">
      <calculatedColumnFormula>Table144[[#This Row],[Avg Valuation Multiple]]</calculatedColumnFormula>
    </tableColumn>
    <tableColumn id="4" xr3:uid="{0E9DD4F0-A137-4A7D-ABD8-A4C7CBA27746}" name="ROCE US-H" dataDxfId="359" dataCellStyle="Comma">
      <calculatedColumnFormula>Table5157[[#This Row],[Incremental ROCE (Historical)]]</calculatedColumnFormula>
    </tableColumn>
    <tableColumn id="5" xr3:uid="{E25AFAF7-CD1D-4106-90DC-374F3289D92E}" name="PE US-H" dataDxfId="358">
      <calculatedColumnFormula>Table127148[[#This Row],[Base PE]]</calculatedColumnFormula>
    </tableColumn>
    <tableColumn id="6" xr3:uid="{7887E7F1-AB65-426E-9943-A92F4FEBFD03}" name="ROCE India-F" dataDxfId="357">
      <calculatedColumnFormula>Table160[[#This Row],[Forecasted ROCE-India]]</calculatedColumnFormula>
    </tableColumn>
    <tableColumn id="7" xr3:uid="{3A90B79E-5B28-4D3F-A81B-BB5427B45846}" name="PE India-F" dataDxfId="356">
      <calculatedColumnFormula>Table160[[#This Row],[Forecasted PE-India]]</calculatedColumnFormula>
    </tableColumn>
    <tableColumn id="8" xr3:uid="{09F688E8-DBFF-48CD-8B82-9EF107D6B38B}" name="ROCE US-F" dataDxfId="355">
      <calculatedColumnFormula>Table160[[#This Row],[Forecasted ROCE-US]]</calculatedColumnFormula>
    </tableColumn>
    <tableColumn id="9" xr3:uid="{D3C85E5B-A3D2-406C-B32A-1D8FD18FD8E1}" name="PE US-F" dataDxfId="354">
      <calculatedColumnFormula>Table160[[#This Row],[Forecasted PE-US]]</calculatedColumnFormula>
    </tableColumn>
  </tableColumns>
  <tableStyleInfo name="TableStyleDark10"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5486E765-25C8-40C9-BAEF-A0128EC9B458}" name="Table144155" displayName="Table144155" ref="A1:F13" totalsRowShown="0" headerRowDxfId="353" dataDxfId="351" headerRowBorderDxfId="352" tableBorderDxfId="350">
  <autoFilter ref="A1:F13" xr:uid="{5486E765-25C8-40C9-BAEF-A0128EC9B458}">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2:F12">
    <sortCondition ref="A1:A12"/>
  </sortState>
  <tableColumns count="6">
    <tableColumn id="1" xr3:uid="{1E2F8E86-6CA6-4AB7-B483-E59A9A434609}" name="Sector" dataDxfId="349"/>
    <tableColumn id="2" xr3:uid="{CCA2F2C0-8826-46E2-8DBD-5A9B4396210E}" name="Revenue CAGR" dataDxfId="348" dataCellStyle="Percent"/>
    <tableColumn id="3" xr3:uid="{DAFB38E5-975A-40AB-9B5A-2884D34A1513}" name="Avg EBITDA Margin" dataDxfId="347" dataCellStyle="Percent"/>
    <tableColumn id="4" xr3:uid="{A84F2F42-55BE-4F27-A219-69E4605E1DE8}" name="Avg ROCE" dataDxfId="346" dataCellStyle="Percent"/>
    <tableColumn id="5" xr3:uid="{274AD4BC-FAB7-40A6-B8CF-B1A205B4C692}" name="Avg NPM" dataDxfId="345" dataCellStyle="Percent"/>
    <tableColumn id="6" xr3:uid="{2E35928E-CCBE-48CD-BAF3-1B674577E10C}" name="Avg Valuation Multiple" dataDxfId="344" dataCellStyle="Comma"/>
  </tableColumns>
  <tableStyleInfo name="TableStyleDark9"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585C7348-B87A-42E1-BFEA-2AE6E6ED8C37}" name="Table145156" displayName="Table145156" ref="A15:D27" totalsRowShown="0" headerRowDxfId="343" dataDxfId="342" tableBorderDxfId="341">
  <autoFilter ref="A15:D27" xr:uid="{585C7348-B87A-42E1-BFEA-2AE6E6ED8C37}">
    <filterColumn colId="0" hiddenButton="1"/>
    <filterColumn colId="1" hiddenButton="1"/>
    <filterColumn colId="2" hiddenButton="1"/>
    <filterColumn colId="3" hiddenButton="1"/>
  </autoFilter>
  <tableColumns count="4">
    <tableColumn id="1" xr3:uid="{08750D2F-019C-44F3-A62B-0BE96A934E79}" name="Sector" dataDxfId="340"/>
    <tableColumn id="2" xr3:uid="{3C2CDD54-0B95-44F9-9B68-E95054DF28A2}" name="Expected Revenue CAGR" dataDxfId="339"/>
    <tableColumn id="3" xr3:uid="{FE675AFE-C372-47C9-91FA-2433E37F1497}" name="Expected CapEx Intensity" dataDxfId="338"/>
    <tableColumn id="4" xr3:uid="{D388234B-BB20-4838-8444-14FBEE8DD50B}" name="Earnings Senstivity to GDP H" dataDxfId="337"/>
  </tableColumns>
  <tableStyleInfo name="TableStyleDark9"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3C96BB51-C035-4BFD-862C-1BC4A0C2DABF}" name="Table5157" displayName="Table5157" ref="I1:O13" totalsRowShown="0" headerRowDxfId="336" dataDxfId="335" tableBorderDxfId="334">
  <autoFilter ref="I1:O13" xr:uid="{3C96BB51-C035-4BFD-862C-1BC4A0C2DAB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5CD852F-FB69-4287-88EA-93BC7D0A7208}" name="Sector" dataDxfId="333"/>
    <tableColumn id="2" xr3:uid="{90ABF413-ADDA-4A01-A874-7D58D5E1E3FD}" name="Avg Capex (20-25)" dataDxfId="332"/>
    <tableColumn id="3" xr3:uid="{6D7E5680-15E4-473E-A09F-9F162C7C1F15}" name="Avg Capex (26-30)" dataDxfId="331"/>
    <tableColumn id="4" xr3:uid="{28A33FAC-E058-4C5B-B3CF-758BF3AD9A67}" name="Capex CAGR (Expected)" dataDxfId="330"/>
    <tableColumn id="5" xr3:uid="{FD4BDA23-C16A-4803-9E29-FDCC0AC49A3D}" name="Expected Capex Intensity" dataDxfId="329">
      <calculatedColumnFormula>C16</calculatedColumnFormula>
    </tableColumn>
    <tableColumn id="6" xr3:uid="{F3EA638D-749A-4BCE-B740-30F2A4C96FB8}" name="Incremental ROCE (Historical)" dataDxfId="328"/>
    <tableColumn id="7" xr3:uid="{BF54F427-0C7B-4276-921F-038DD488B93B}" name="Incremental ROCE (Forecast)" dataDxfId="327"/>
  </tableColumns>
  <tableStyleInfo name="TableStyleDark9"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1E1531B4-4EBE-41A5-8971-38740CD6A9D8}" name="Table151" displayName="Table151" ref="A1:F8" totalsRowShown="0" headerRowDxfId="326" dataDxfId="325" tableBorderDxfId="324" dataCellStyle="Percent">
  <autoFilter ref="A1:F8" xr:uid="{1E1531B4-4EBE-41A5-8971-38740CD6A9D8}">
    <filterColumn colId="0" hiddenButton="1"/>
    <filterColumn colId="1" hiddenButton="1"/>
    <filterColumn colId="2" hiddenButton="1"/>
    <filterColumn colId="3" hiddenButton="1"/>
    <filterColumn colId="4" hiddenButton="1"/>
    <filterColumn colId="5" hiddenButton="1"/>
  </autoFilter>
  <tableColumns count="6">
    <tableColumn id="1" xr3:uid="{0EFD2771-4E3E-4E85-9762-38A663446709}" name="Metric (Weighted Average)" dataDxfId="323"/>
    <tableColumn id="2" xr3:uid="{C1190FF6-B336-46EC-B4F0-918E755D9AF6}" name="India (Historical)" dataDxfId="322" dataCellStyle="Percent"/>
    <tableColumn id="3" xr3:uid="{10A000E8-DF61-4155-A254-AABC88B62748}" name="United States (Historical)" dataDxfId="321" dataCellStyle="Percent"/>
    <tableColumn id="4" xr3:uid="{7A82252D-DCE0-45E0-A4BF-8463E57BD6D9}" name="India (Forecast)" dataDxfId="320" dataCellStyle="Percent"/>
    <tableColumn id="5" xr3:uid="{6944249B-C51D-46EA-8143-612AF9225934}" name="United States (Forecast)" dataDxfId="319" dataCellStyle="Percent"/>
    <tableColumn id="6" xr3:uid="{E9838693-F159-41CA-AD6B-94202BAC67F2}" name="Interpretation" dataDxfId="318"/>
  </tableColumns>
  <tableStyleInfo name="TableStyleDark9"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83F9D8AE-186D-4B15-A714-C3A7D0D893C7}" name="Table157" displayName="Table157" ref="I1:N5" totalsRowShown="0" headerRowDxfId="317" dataDxfId="315" headerRowBorderDxfId="316">
  <autoFilter ref="I1:N5" xr:uid="{83F9D8AE-186D-4B15-A714-C3A7D0D893C7}">
    <filterColumn colId="0" hiddenButton="1"/>
    <filterColumn colId="1" hiddenButton="1"/>
    <filterColumn colId="2" hiddenButton="1"/>
    <filterColumn colId="3" hiddenButton="1"/>
    <filterColumn colId="4" hiddenButton="1"/>
    <filterColumn colId="5" hiddenButton="1"/>
  </autoFilter>
  <tableColumns count="6">
    <tableColumn id="1" xr3:uid="{5D2848C4-77BC-439E-89B0-EAEF669AA604}" name="Metric" dataDxfId="314"/>
    <tableColumn id="2" xr3:uid="{D9B3A53E-45FF-48A9-B7AD-7C08396E48B3}" name="India (Historical)" dataDxfId="313"/>
    <tableColumn id="3" xr3:uid="{0C729467-A24D-4A97-ACC3-4C196545E051}" name="US (Historical)" dataDxfId="312"/>
    <tableColumn id="4" xr3:uid="{BC0673FE-FD71-4930-AE8B-AD2568AF1D64}" name="India (Forecast)" dataDxfId="311"/>
    <tableColumn id="5" xr3:uid="{43C5361D-6D96-4BD5-B6F0-1E2B0E02A0FD}" name="US (Forecast)" dataDxfId="310"/>
    <tableColumn id="6" xr3:uid="{5E993102-4CB6-4175-B07D-D44793493800}" name="Interpretation" dataDxfId="309"/>
  </tableColumns>
  <tableStyleInfo name="TableStyleDark9"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52F4C6B-2A32-41C8-A729-26677D87F554}" name="Table158" displayName="Table158" ref="Q1:U5" totalsRowShown="0" headerRowDxfId="308">
  <autoFilter ref="Q1:U5" xr:uid="{C52F4C6B-2A32-41C8-A729-26677D87F554}">
    <filterColumn colId="0" hiddenButton="1"/>
    <filterColumn colId="1" hiddenButton="1"/>
    <filterColumn colId="2" hiddenButton="1"/>
    <filterColumn colId="3" hiddenButton="1"/>
    <filterColumn colId="4" hiddenButton="1"/>
  </autoFilter>
  <tableColumns count="5">
    <tableColumn id="1" xr3:uid="{D8106188-558F-4A12-8FA7-65A7D0524EE4}" name="Metric" dataDxfId="307"/>
    <tableColumn id="2" xr3:uid="{E4BC74F7-DBDE-468D-82CB-0BD5940E670A}" name="India (Forecast)" dataDxfId="306">
      <calculatedColumnFormula>Table157[[#This Row],[India (Forecast)]]</calculatedColumnFormula>
    </tableColumn>
    <tableColumn id="3" xr3:uid="{DD000BDC-6A47-4875-ADCC-B1BAE2886995}" name="US (Forecast)" dataDxfId="305">
      <calculatedColumnFormula>Table157[[#This Row],[US (Forecast)]]</calculatedColumnFormula>
    </tableColumn>
    <tableColumn id="4" xr3:uid="{91E92E9D-CA63-458E-AE4F-7C3231186688}" name="Valuation Spread (India-US)" dataDxfId="304" dataCellStyle="Percent">
      <calculatedColumnFormula>(R2-S2)/S2</calculatedColumnFormula>
    </tableColumn>
    <tableColumn id="5" xr3:uid="{C86463FD-C0EF-4330-91E7-C15DA93247BA}" name="Interpretation" dataDxfId="303"/>
  </tableColumns>
  <tableStyleInfo name="TableStyleDark9"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56756A37-7CA7-4C7D-813F-EBF3BD69C3B1}" name="Table159" displayName="Table159" ref="W1:Y4" totalsRowShown="0" headerRowDxfId="302" tableBorderDxfId="301">
  <autoFilter ref="W1:Y4" xr:uid="{56756A37-7CA7-4C7D-813F-EBF3BD69C3B1}">
    <filterColumn colId="0" hiddenButton="1"/>
    <filterColumn colId="1" hiddenButton="1"/>
    <filterColumn colId="2" hiddenButton="1"/>
  </autoFilter>
  <tableColumns count="3">
    <tableColumn id="1" xr3:uid="{C105A966-E226-4475-8FE1-63F37C612EB2}" name="Component" dataDxfId="300"/>
    <tableColumn id="2" xr3:uid="{B3E06950-649A-47CD-A1BA-D0B3B4CAD18F}" name="Relative Contribution to Premium" dataDxfId="299" dataCellStyle="Percent">
      <calculatedColumnFormula>D12/$D$15</calculatedColumnFormula>
    </tableColumn>
    <tableColumn id="3" xr3:uid="{9EFFC937-99D2-4343-B6C1-95410B0E3860}" name="Interpretation" dataDxfId="298"/>
  </tableColumns>
  <tableStyleInfo name="TableStyleDark9"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E429C1EC-70E1-4757-9355-E477DFD4EDF0}" name="Table162" displayName="Table162" ref="AA1:AC5" totalsRowShown="0" headerRowDxfId="297">
  <autoFilter ref="AA1:AC5" xr:uid="{E429C1EC-70E1-4757-9355-E477DFD4EDF0}">
    <filterColumn colId="0" hiddenButton="1"/>
    <filterColumn colId="1" hiddenButton="1"/>
    <filterColumn colId="2" hiddenButton="1"/>
  </autoFilter>
  <tableColumns count="3">
    <tableColumn id="1" xr3:uid="{4E2EDFF9-6B91-45E2-85C5-C2387E639F37}" name="Driver" dataDxfId="296"/>
    <tableColumn id="2" xr3:uid="{1097EF5A-B5A8-42DC-A3CC-5C726949CD19}" name="Value" dataDxfId="295"/>
    <tableColumn id="3" xr3:uid="{EE72A01D-07AC-426E-808D-FF993E55EAD6}" name="Interpretation" dataDxfId="294"/>
  </tableColumns>
  <tableStyleInfo name="TableStyleMedium13"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FDB79403-05EE-4270-8445-59672809AE62}" name="Table163" displayName="Table163" ref="A17:D19" totalsRowShown="0" headerRowDxfId="293">
  <autoFilter ref="A17:D19" xr:uid="{FDB79403-05EE-4270-8445-59672809AE62}">
    <filterColumn colId="0" hiddenButton="1"/>
    <filterColumn colId="1" hiddenButton="1"/>
    <filterColumn colId="2" hiddenButton="1"/>
    <filterColumn colId="3" hiddenButton="1"/>
  </autoFilter>
  <tableColumns count="4">
    <tableColumn id="1" xr3:uid="{33393AC2-E52A-4CD9-AA62-275DFF028583}" name="Region" dataDxfId="292"/>
    <tableColumn id="2" xr3:uid="{017BD6D0-1A3B-47C5-A407-9572265492B9}" name="Correlation" dataDxfId="291" dataCellStyle="Percent">
      <calculatedColumnFormula>'Cross-Sector US'!AR7</calculatedColumnFormula>
    </tableColumn>
    <tableColumn id="3" xr3:uid="{CC289204-D6DA-495D-B0A2-8A2ACD0E753E}" name="R square" dataDxfId="290" dataCellStyle="Percent">
      <calculatedColumnFormula>'Cross-Sector US'!AS7</calculatedColumnFormula>
    </tableColumn>
    <tableColumn id="4" xr3:uid="{CF8BF89D-C28B-4141-8A6A-548E258AB05F}" name="Interpretation" dataDxfId="289" dataCellStyle="Percent"/>
  </tableColumns>
  <tableStyleInfo name="TableStyleMedium13"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D18AD8A-79A7-4D88-8AD4-2680319A0FA9}" name="Table166" displayName="Table166" ref="AE1:AJ5" totalsRowShown="0" headerRowDxfId="288" dataDxfId="287">
  <autoFilter ref="AE1:AJ5" xr:uid="{AD18AD8A-79A7-4D88-8AD4-2680319A0FA9}">
    <filterColumn colId="0" hiddenButton="1"/>
    <filterColumn colId="1" hiddenButton="1"/>
    <filterColumn colId="2" hiddenButton="1"/>
    <filterColumn colId="3" hiddenButton="1"/>
    <filterColumn colId="4" hiddenButton="1"/>
    <filterColumn colId="5" hiddenButton="1"/>
  </autoFilter>
  <tableColumns count="6">
    <tableColumn id="1" xr3:uid="{2AC3DF30-8D48-499B-B55A-9096577CAF78}" name="Metric" dataDxfId="286"/>
    <tableColumn id="2" xr3:uid="{27A5F860-71EC-49A1-AF26-0F29B2F5FF74}" name="India (Historical)" dataDxfId="285"/>
    <tableColumn id="3" xr3:uid="{5B2EE011-7389-442E-AD01-1198CBFA88F0}" name="US (Historical)" dataDxfId="284"/>
    <tableColumn id="4" xr3:uid="{5A51A7A3-155F-428E-912D-F9FEF57944BB}" name="India (Forecast)" dataDxfId="283"/>
    <tableColumn id="5" xr3:uid="{E14ED731-75CA-4429-8B89-FF0CC37B37DF}" name="US (Forecast)" dataDxfId="282"/>
    <tableColumn id="6" xr3:uid="{42FEF335-34A5-445E-A953-E6AC6810B9EC}" name="Interpretation" dataDxfId="281"/>
  </tableColumns>
  <tableStyleInfo name="TableStyleMedium9"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1CD912C7-7F77-4DED-B809-72CE35E823C1}" name="Table167" displayName="Table167" ref="AL1:AQ6" totalsRowShown="0" headerRowDxfId="280" dataDxfId="279" tableBorderDxfId="278">
  <autoFilter ref="AL1:AQ6" xr:uid="{1CD912C7-7F77-4DED-B809-72CE35E823C1}">
    <filterColumn colId="0" hiddenButton="1"/>
    <filterColumn colId="1" hiddenButton="1"/>
    <filterColumn colId="2" hiddenButton="1"/>
    <filterColumn colId="3" hiddenButton="1"/>
    <filterColumn colId="4" hiddenButton="1"/>
    <filterColumn colId="5" hiddenButton="1"/>
  </autoFilter>
  <tableColumns count="6">
    <tableColumn id="1" xr3:uid="{264899CB-E5DD-482D-8A84-11F0B0A9DF38}" name="Metric (Weighted Average)" dataDxfId="277"/>
    <tableColumn id="2" xr3:uid="{1DD10FB5-5A37-409F-A775-B3F8693C544F}" name="India (Historical)" dataDxfId="276"/>
    <tableColumn id="3" xr3:uid="{B0FF77C5-83A2-41E8-BE0E-EA71EFFFB5A2}" name="United States (Historical)" dataDxfId="275"/>
    <tableColumn id="4" xr3:uid="{8E549792-8EA1-4774-BF41-38E4533AC7D7}" name="India (Forecast)" dataDxfId="274"/>
    <tableColumn id="5" xr3:uid="{0D3FAD8F-664F-41B1-AF01-281A3DA58593}" name="United States (Forecast)" dataDxfId="273"/>
    <tableColumn id="6" xr3:uid="{3F909F52-3EB2-4287-8F79-2E61455421C8}" name="Interpretation" dataDxfId="272"/>
  </tableColumns>
  <tableStyleInfo name="TableStyleMedium20"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B52D7C68-60BA-451A-9865-1952C12705F6}" name="Table164" displayName="Table164" ref="AC1:AW13" totalsRowShown="0" headerRowDxfId="271">
  <autoFilter ref="AC1:AW13" xr:uid="{B52D7C68-60BA-451A-9865-1952C12705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8EFF8425-E603-4E2F-BD30-91680B570DB4}" name="Sector" dataDxfId="270">
      <calculatedColumnFormula>'Cross-Sector US'!A2</calculatedColumnFormula>
    </tableColumn>
    <tableColumn id="2" xr3:uid="{0FB6ECB2-F062-446A-AB52-0F5E6492B522}" name="WACC-India" dataDxfId="269" dataCellStyle="Percent"/>
    <tableColumn id="3" xr3:uid="{1B1AC076-7CFF-410F-8E9A-F23B8D96778A}" name="WACC-US" dataDxfId="268" dataCellStyle="Percent"/>
    <tableColumn id="4" xr3:uid="{42605E80-101D-4796-AA77-221A73FE5BAB}" name="Beta US" dataDxfId="267"/>
    <tableColumn id="5" xr3:uid="{BB54E189-DC9B-4F8A-81FA-2B8A4AA4BD27}" name="Beta India" dataDxfId="266"/>
    <tableColumn id="6" xr3:uid="{F796DD2F-96AD-4B2F-ABB6-75F785A31721}" name="Debt weight US" dataDxfId="265"/>
    <tableColumn id="7" xr3:uid="{AE6E72DE-A979-4DAA-9A8A-9C0210E22689}" name="Equity weight US" dataDxfId="264"/>
    <tableColumn id="8" xr3:uid="{857B5CA5-B1F1-4793-BE2B-375B8212E15F}" name="Debt weight India" dataDxfId="263" dataCellStyle="Percent"/>
    <tableColumn id="9" xr3:uid="{E3F6ED6E-769B-47FB-A543-6F9B52964188}" name="Equity weight India" dataDxfId="262" dataCellStyle="Percent"/>
    <tableColumn id="10" xr3:uid="{00070974-F7CF-4584-BFBC-2E5F7CD10094}" name="Rf-India" dataDxfId="261" dataCellStyle="Percent">
      <calculatedColumnFormula>$S$10</calculatedColumnFormula>
    </tableColumn>
    <tableColumn id="11" xr3:uid="{B537CC02-6F30-4C1C-BF66-F8C4963ADBF2}" name="Rf-US" dataDxfId="260" dataCellStyle="Percent"/>
    <tableColumn id="12" xr3:uid="{34526ADB-D152-4E0B-8496-9B172EC4FDDA}" name="ERP-India" dataDxfId="259" dataCellStyle="Percent">
      <calculatedColumnFormula>AVERAGE($U$10:$U$14)</calculatedColumnFormula>
    </tableColumn>
    <tableColumn id="13" xr3:uid="{AE50FBDA-C4DD-4A1B-BE24-27F491891FDA}" name="ERP-US" dataDxfId="258" dataCellStyle="Percent">
      <calculatedColumnFormula>AVERAGE($U$2:$U$6)</calculatedColumnFormula>
    </tableColumn>
    <tableColumn id="14" xr3:uid="{3F4E788E-CBCA-4E98-BA04-0416DFCD6733}" name="Kd-India" dataDxfId="257" dataCellStyle="Percent"/>
    <tableColumn id="15" xr3:uid="{F435D9A3-60FF-41E0-9F8F-9CC6B2DBDC70}" name="Kd-US" dataDxfId="256" dataCellStyle="Percent"/>
    <tableColumn id="16" xr3:uid="{BBEBF3F1-49B4-4822-AA0F-5A5193440CD8}" name="Ke-India" dataDxfId="255" dataCellStyle="Percent">
      <calculatedColumnFormula>Table164[[#This Row],[Rf-India]]+(Table164[[#This Row],[ERP-India]]*Table164[[#This Row],[Beta-India]])</calculatedColumnFormula>
    </tableColumn>
    <tableColumn id="17" xr3:uid="{FD4286BE-F039-4571-A80E-09B243B57CDB}" name="Ke-US" dataDxfId="254" dataCellStyle="Percent">
      <calculatedColumnFormula>Table164[[#This Row],[Rf-US]]+(Table164[[#This Row],[ERP-US]]*Table164[[#This Row],[Beta-US]])</calculatedColumnFormula>
    </tableColumn>
    <tableColumn id="18" xr3:uid="{BEF5763B-08D2-47EB-9865-1FB2914CAF61}" name="Beta-India" dataDxfId="253" dataCellStyle="Percent">
      <calculatedColumnFormula>(0.67*Table164[[#This Row],[Beta India]])+(0.33*1)</calculatedColumnFormula>
    </tableColumn>
    <tableColumn id="19" xr3:uid="{2D3B2CA7-DC02-4BF5-81C9-91C5355D289C}" name="Beta-US" dataDxfId="252" dataCellStyle="Percent">
      <calculatedColumnFormula>(Table164[[#This Row],[Beta US]]*0.67)+(0.33*1)</calculatedColumnFormula>
    </tableColumn>
    <tableColumn id="20" xr3:uid="{D1C1DDD0-F91D-4625-964C-B3872A0F4D91}" name="WACC-IndiaF" dataDxfId="251" dataCellStyle="Percent">
      <calculatedColumnFormula>(Table164[[#This Row],[Ke-India]]*Table164[[#This Row],[Equity weight India]])+(Table164[[#This Row],[Debt weight India]]*Table164[[#This Row],[Kd-India]])</calculatedColumnFormula>
    </tableColumn>
    <tableColumn id="21" xr3:uid="{5D2EC119-BA82-4653-8475-ED0F7DBA5FCC}" name="WACC-USF" dataDxfId="250" dataCellStyle="Percent">
      <calculatedColumnFormula>SUMPRODUCT(Table164[[#This Row],[Equity weight US]],Table164[[#This Row],[Ke-US]])+SUMPRODUCT(Table164[[#This Row],[Debt weight US]],Table164[[#This Row],[Kd-US]])</calculatedColumnFormula>
    </tableColumn>
  </tableColumns>
  <tableStyleInfo name="TableStyleMedium13"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F0679DFF-5FBA-4A90-9BE6-6E97E924E463}" name="Table165" displayName="Table165" ref="AY1:BA13" totalsRowShown="0" headerRowDxfId="249">
  <autoFilter ref="AY1:BA13" xr:uid="{F0679DFF-5FBA-4A90-9BE6-6E97E924E463}">
    <filterColumn colId="0" hiddenButton="1"/>
    <filterColumn colId="1" hiddenButton="1"/>
    <filterColumn colId="2" hiddenButton="1"/>
  </autoFilter>
  <tableColumns count="3">
    <tableColumn id="1" xr3:uid="{B82D4BF1-C32A-41A8-8ADD-24C8AE38FD7C}" name="Sector" dataDxfId="248">
      <calculatedColumnFormula>Table164[[#This Row],[Sector]]</calculatedColumnFormula>
    </tableColumn>
    <tableColumn id="2" xr3:uid="{834BEA7A-3043-4274-9D39-1E2936C54A66}" name="Capex Intensity India F" dataDxfId="247" dataCellStyle="Percent"/>
    <tableColumn id="3" xr3:uid="{BB5BA494-956E-4B04-8A0B-DC2C86F65DCC}" name="Capex Intensity US F" dataDxfId="246" dataCellStyle="Percent"/>
  </tableColumns>
  <tableStyleInfo name="TableStyleMedium13"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29685F55-B0F6-4A0B-81DC-6C86768DDDB9}" name="India_FSI_Historical" displayName="India_FSI_Historical" ref="H1:M11" totalsRowShown="0" headerRowDxfId="245" dataDxfId="244">
  <autoFilter ref="H1:M11" xr:uid="{29685F55-B0F6-4A0B-81DC-6C86768DDDB9}">
    <filterColumn colId="0" hiddenButton="1"/>
    <filterColumn colId="1" hiddenButton="1"/>
    <filterColumn colId="2" hiddenButton="1"/>
    <filterColumn colId="3" hiddenButton="1"/>
    <filterColumn colId="4" hiddenButton="1"/>
    <filterColumn colId="5" hiddenButton="1"/>
  </autoFilter>
  <tableColumns count="6">
    <tableColumn id="1" xr3:uid="{825AEE63-0573-4FE8-BBDC-62ECF95E273D}" name="Sector" dataDxfId="243">
      <calculatedColumnFormula>A3</calculatedColumnFormula>
    </tableColumn>
    <tableColumn id="2" xr3:uid="{3D5684E8-41F3-4696-9B69-C5E5327CB942}" name="D/E" dataDxfId="242">
      <calculatedColumnFormula>B3</calculatedColumnFormula>
    </tableColumn>
    <tableColumn id="3" xr3:uid="{2D4E160E-3926-42D3-BCD6-7F1096B43A27}" name="ICR" dataDxfId="241">
      <calculatedColumnFormula>C3</calculatedColumnFormula>
    </tableColumn>
    <tableColumn id="4" xr3:uid="{4AE67E3A-DEE6-4212-A3A4-8D6000CDB263}" name="EBITDA Margin" dataDxfId="240">
      <calculatedColumnFormula>D3</calculatedColumnFormula>
    </tableColumn>
    <tableColumn id="5" xr3:uid="{4A8BF332-A8D4-4221-8621-57D2394DFE77}" name="Liquidity Ratio" dataDxfId="239">
      <calculatedColumnFormula>E3</calculatedColumnFormula>
    </tableColumn>
    <tableColumn id="6" xr3:uid="{C6BAA14C-8ED2-4ADD-BC92-089B08D2ADE0}" name="FSI" dataDxfId="238">
      <calculatedColumnFormula>F3</calculatedColumnFormula>
    </tableColumn>
  </tableColumns>
  <tableStyleInfo name="TableStyleMedium13"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C0A278D4-4E99-4885-854D-3752E06230B8}" name="Table168" displayName="Table168" ref="A1:O11" totalsRowShown="0" headerRowDxfId="237" dataDxfId="236" dataCellStyle="Comma">
  <autoFilter ref="A1:O11" xr:uid="{C0A278D4-4E99-4885-854D-3752E06230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1CD650D4-3924-422E-A6CC-76A810C9CC5E}" name="Sector" dataDxfId="235">
      <calculatedColumnFormula>'USI-2'!A3</calculatedColumnFormula>
    </tableColumn>
    <tableColumn id="2" xr3:uid="{96D3D3F8-C46E-44CB-85D0-8C5225F47121}" name="D/E" dataDxfId="234">
      <calculatedColumnFormula>'USI-2'!B3</calculatedColumnFormula>
    </tableColumn>
    <tableColumn id="3" xr3:uid="{AD5ABCF9-A1F5-4BCB-A02E-8FE143841CB1}" name="ICR" dataDxfId="233">
      <calculatedColumnFormula>'USI-2'!C3</calculatedColumnFormula>
    </tableColumn>
    <tableColumn id="4" xr3:uid="{CE724147-2111-44C9-B323-0F04133249A4}" name="EBITDA Margin" dataDxfId="232">
      <calculatedColumnFormula>'USI-2'!D3</calculatedColumnFormula>
    </tableColumn>
    <tableColumn id="5" xr3:uid="{5091DA6B-B96D-45E7-833D-6C436AEBB73C}" name="Liquidity Ratio" dataDxfId="231">
      <calculatedColumnFormula>'USI-2'!E3</calculatedColumnFormula>
    </tableColumn>
    <tableColumn id="6" xr3:uid="{E5B7213A-BFD2-4431-BA48-45407D75D3FC}" name="Normalized D/E" dataDxfId="230">
      <calculatedColumnFormula>(B2-MIN($B$2:$B$11))/(MAX($B$2:$B$11)-MIN($B$2:$B$11))</calculatedColumnFormula>
    </tableColumn>
    <tableColumn id="7" xr3:uid="{DB2FC78B-2629-432C-8643-A25A0B32A101}" name="Normalized ICR" dataDxfId="229">
      <calculatedColumnFormula>(C2-MIN($C$2,$C$3:$C$11))/(MAX($C$2,$C$3:$C$11)-MIN($C$2,$C$3:$C$11))</calculatedColumnFormula>
    </tableColumn>
    <tableColumn id="8" xr3:uid="{BBA81E12-E47B-4E83-9205-7CDB52BBE3EE}" name="Normalized EBITDA Margin" dataDxfId="228" dataCellStyle="Comma"/>
    <tableColumn id="9" xr3:uid="{7EDAB48D-6DDA-4A37-AFB9-080142E08596}" name="Normalized QR" dataDxfId="227">
      <calculatedColumnFormula>(E2-MIN($E$2:$E$11))/(MAX($E$2:$E$11)-MIN($E$2:$E$11))</calculatedColumnFormula>
    </tableColumn>
    <tableColumn id="10" xr3:uid="{42E32A78-5A3D-46AD-8333-D83868D742D1}" name="Total" dataDxfId="226">
      <calculatedColumnFormula>F2+G2+H2+I2</calculatedColumnFormula>
    </tableColumn>
    <tableColumn id="11" xr3:uid="{B96FC411-B0FD-44AD-BDC8-C1F0E02F9FE3}" name="Weight D/E" dataDxfId="225" dataCellStyle="Comma">
      <calculatedColumnFormula>F2/J2</calculatedColumnFormula>
    </tableColumn>
    <tableColumn id="12" xr3:uid="{04B72C12-5E70-48B7-9646-05B2772A418C}" name="Weight ICR" dataDxfId="224" dataCellStyle="Comma">
      <calculatedColumnFormula>G2/$J$2</calculatedColumnFormula>
    </tableColumn>
    <tableColumn id="13" xr3:uid="{CB064110-5C03-409D-9425-AB6395FF62EE}" name="Weight EBITDA" dataDxfId="223" dataCellStyle="Comma">
      <calculatedColumnFormula>H2/$J$2</calculatedColumnFormula>
    </tableColumn>
    <tableColumn id="14" xr3:uid="{8762217C-0B03-4DEB-ADB7-F7654B0AE02F}" name="Weight QR" dataDxfId="222" dataCellStyle="Comma">
      <calculatedColumnFormula>I2/$J$2</calculatedColumnFormula>
    </tableColumn>
    <tableColumn id="15" xr3:uid="{14ED68D1-BE3A-4F9B-A80E-46284F252807}" name="FSI" dataDxfId="221">
      <calculatedColumnFormula>(F2*K2)+(G2*L2)+(H2*M2)+(I2*N2)</calculatedColumnFormula>
    </tableColumn>
  </tableColumns>
  <tableStyleInfo name="TableStyleMedium20"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72304364-F6EF-4EE3-AECF-A26FC272EAA3}" name="Table169" displayName="Table169" ref="A13:AD21" totalsRowShown="0" headerRowDxfId="220" dataDxfId="219" dataCellStyle="Comma">
  <autoFilter ref="A13:AD21" xr:uid="{72304364-F6EF-4EE3-AECF-A26FC272EAA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3AEB16B0-5D0F-4ED1-AD2D-54214658B48B}" name="Institution" dataDxfId="218"/>
    <tableColumn id="2" xr3:uid="{EC0C8B98-B23C-450C-A151-A1C58C63B811}" name="CAR" dataDxfId="217" dataCellStyle="Comma"/>
    <tableColumn id="3" xr3:uid="{739C0197-2275-4B3D-80DA-B90F2039B3ED}" name="Tier 1" dataDxfId="216" dataCellStyle="Comma"/>
    <tableColumn id="4" xr3:uid="{33C68017-1E45-457B-92C6-9E15543F1070}" name="CET 1" dataDxfId="215" dataCellStyle="Comma"/>
    <tableColumn id="5" xr3:uid="{280B0CE7-9607-4086-8002-4903BA5CAA54}" name="LCR" dataDxfId="214" dataCellStyle="Comma"/>
    <tableColumn id="6" xr3:uid="{073244EF-B28A-4F82-954B-10C1BB5C29F1}" name="Provision Coverage" dataDxfId="213" dataCellStyle="Comma"/>
    <tableColumn id="7" xr3:uid="{01222709-4D0F-4A64-9851-3D59B0192126}" name="NIM" dataDxfId="212" dataCellStyle="Comma"/>
    <tableColumn id="8" xr3:uid="{26B86EFD-3044-43F8-99A2-E3B435C346F5}" name="RoA" dataDxfId="211" dataCellStyle="Comma"/>
    <tableColumn id="9" xr3:uid="{42DEFA4C-C64B-406C-98DA-E07AD104D961}" name="RoE" dataDxfId="210" dataCellStyle="Comma"/>
    <tableColumn id="10" xr3:uid="{39BAF93D-B9CD-4AB0-A1E7-2206A5BD1FE4}" name="NPA Ratios" dataDxfId="209" dataCellStyle="Comma"/>
    <tableColumn id="11" xr3:uid="{E7EE86FB-0D1F-44B1-A524-EB206F10D770}" name="Normalized CAR" dataDxfId="208" dataCellStyle="Comma">
      <calculatedColumnFormula>(B14-MIN($B$14:$B$21))/(MAX($B$14:$B$21)-MIN($B$14:$B$21))</calculatedColumnFormula>
    </tableColumn>
    <tableColumn id="12" xr3:uid="{24EA4593-EEBA-4A4C-95AE-0B7BCE9BB2A5}" name="Normalized T1" dataDxfId="207" dataCellStyle="Comma">
      <calculatedColumnFormula>(C14-MIN($C$14:$C$21))/(MAX($C$14:$C$21)-MIN($C$14:$C$21))</calculatedColumnFormula>
    </tableColumn>
    <tableColumn id="13" xr3:uid="{5373E111-EB5B-4327-BF8D-03C510FAAA30}" name="Normalized CET1" dataDxfId="206" dataCellStyle="Comma">
      <calculatedColumnFormula>(D14-MIN($D$14:$D$21))/(MAX($D$14:$D$21)-MIN($D$14:$D$21))</calculatedColumnFormula>
    </tableColumn>
    <tableColumn id="14" xr3:uid="{8E5A99C0-6B88-4ED9-9D74-4EF6F51FC1C0}" name="Normalized LCR" dataDxfId="205" dataCellStyle="Comma">
      <calculatedColumnFormula>(E14-MIN($E$14:$E$21))/(MAX($E$14:$E$21)-MIN($E$14:$E$21))</calculatedColumnFormula>
    </tableColumn>
    <tableColumn id="15" xr3:uid="{2F2973FF-9FE1-4623-A94E-DCE0D52A7A84}" name="Normalized PCR" dataDxfId="204" dataCellStyle="Comma">
      <calculatedColumnFormula>(F14-MIN($F$14:$F$21))/(MAX($F$14:$F$21)-MIN($F$14:$F$21))</calculatedColumnFormula>
    </tableColumn>
    <tableColumn id="16" xr3:uid="{6F751DD1-98B9-4931-8656-CBD651BD48D8}" name="Normalized NIM" dataDxfId="203" dataCellStyle="Comma">
      <calculatedColumnFormula>(G14-MIN($G$14:$G$21))/(MAX($G$14:$G$21)-MIN($G$14:$G$21))</calculatedColumnFormula>
    </tableColumn>
    <tableColumn id="17" xr3:uid="{23976057-B2E3-4655-8EAF-F9B6CD35E92D}" name="Normalized ROA" dataDxfId="202" dataCellStyle="Comma">
      <calculatedColumnFormula>(H14-MIN($H$14:$H$21))/(MAX($H$14:$H$21)-MIN($H$14:$H$21))</calculatedColumnFormula>
    </tableColumn>
    <tableColumn id="18" xr3:uid="{7E736BBF-5D4B-4705-8921-CD6D9D50DBA2}" name="Normalized ROE" dataDxfId="201" dataCellStyle="Comma">
      <calculatedColumnFormula>(I14-MIN($I$14:$I$21))/(MAX($I$14:$I$21)-MIN($I$14:$I$21))</calculatedColumnFormula>
    </tableColumn>
    <tableColumn id="19" xr3:uid="{5DB5B808-A8A9-4483-AC3D-2A1FFD2F1EE2}" name="Normalized NPA" dataDxfId="200" dataCellStyle="Comma">
      <calculatedColumnFormula>(J14-MIN($J$14:$J$21))/(MAX($J$14:$J$21)-MIN($J$14:$J$21))</calculatedColumnFormula>
    </tableColumn>
    <tableColumn id="20" xr3:uid="{7888A7B4-D367-4F79-9A08-690E5C7B6451}" name="Total " dataDxfId="199" dataCellStyle="Comma">
      <calculatedColumnFormula>SUM(K14:S14)</calculatedColumnFormula>
    </tableColumn>
    <tableColumn id="21" xr3:uid="{7A68A092-592E-4767-B46C-31C9F2BD12EB}" name="Weight CAR" dataDxfId="198" dataCellStyle="Comma">
      <calculatedColumnFormula>K14/T14</calculatedColumnFormula>
    </tableColumn>
    <tableColumn id="22" xr3:uid="{34F3D544-8E4B-42CB-9561-CFBA8AFF6AF0}" name="Weight T1" dataDxfId="197" dataCellStyle="Comma">
      <calculatedColumnFormula>L14/T14</calculatedColumnFormula>
    </tableColumn>
    <tableColumn id="23" xr3:uid="{C62375C4-EABF-4D5E-B08B-5667FC5F8D1F}" name="Weight CET1" dataDxfId="196" dataCellStyle="Comma">
      <calculatedColumnFormula>M14/T14</calculatedColumnFormula>
    </tableColumn>
    <tableColumn id="24" xr3:uid="{4FC8391B-34D2-4894-B3C9-7BC2026B2165}" name="Weight LCR" dataDxfId="195" dataCellStyle="Comma">
      <calculatedColumnFormula>N14/T14</calculatedColumnFormula>
    </tableColumn>
    <tableColumn id="25" xr3:uid="{F91DB49D-58C0-49A8-B6F8-0F714C4F2AA9}" name="Weight PCR" dataDxfId="194" dataCellStyle="Comma">
      <calculatedColumnFormula>O14/T14</calculatedColumnFormula>
    </tableColumn>
    <tableColumn id="26" xr3:uid="{1B9C37A0-BB97-4068-9C56-EA5DBA497652}" name="Weight NIM" dataDxfId="193" dataCellStyle="Comma">
      <calculatedColumnFormula>P14/T14</calculatedColumnFormula>
    </tableColumn>
    <tableColumn id="27" xr3:uid="{344105C0-CE7D-4CCA-BEA1-70478ACC224C}" name="Weight ROA" dataDxfId="192" dataCellStyle="Comma">
      <calculatedColumnFormula>Q14/T14</calculatedColumnFormula>
    </tableColumn>
    <tableColumn id="28" xr3:uid="{FFDBCA73-0B5C-4F18-A2D0-3F743002C765}" name="Weight ROE" dataDxfId="191" dataCellStyle="Comma">
      <calculatedColumnFormula>R14/T14</calculatedColumnFormula>
    </tableColumn>
    <tableColumn id="29" xr3:uid="{953B6556-331D-478C-B132-D1655610D1E7}" name="Weight NPA" dataDxfId="190" dataCellStyle="Comma">
      <calculatedColumnFormula>S14/T14</calculatedColumnFormula>
    </tableColumn>
    <tableColumn id="30" xr3:uid="{3809618D-FFAD-4570-87C6-4B10253C276C}" name="FSI" dataDxfId="189">
      <calculatedColumnFormula>(K14*U14)+(L14*V14)+(M14*W14)+(O14*Y14)+(R14*AB14)+(S14*AC14)</calculatedColumnFormula>
    </tableColumn>
  </tableColumns>
  <tableStyleInfo name="TableStyleMedium17"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7B52814-4594-4590-8077-8976178F5709}" name="India_FSI_Forecast" displayName="India_FSI_Forecast" ref="Q1:Y11" totalsRowShown="0" headerRowDxfId="188" dataDxfId="187">
  <autoFilter ref="Q1:Y11" xr:uid="{07B52814-4594-4590-8077-8976178F57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B4FD469-B0D0-4E1B-BF9F-CA59E8AD3956}" name="Sector" dataDxfId="186">
      <calculatedColumnFormula>Table168[[#This Row],[Sector]]</calculatedColumnFormula>
    </tableColumn>
    <tableColumn id="2" xr3:uid="{4A824A21-5F43-40CB-AE39-D5569AD6FDDA}" name="EBITDA Margin" dataDxfId="185" dataCellStyle="Percent"/>
    <tableColumn id="3" xr3:uid="{4FC973EA-A3CB-420B-97B9-9FE7CD1F903D}" name="Capex Intensity" dataDxfId="184" dataCellStyle="Percent"/>
    <tableColumn id="4" xr3:uid="{28BCCD42-F71F-4975-ADF7-A5AFC7AAF397}" name="ROCE" dataDxfId="183" dataCellStyle="Percent">
      <calculatedColumnFormula>India!O3</calculatedColumnFormula>
    </tableColumn>
    <tableColumn id="5" xr3:uid="{37B55D8D-E12A-434E-B5FA-9789AC15B398}" name="NPM" dataDxfId="182" dataCellStyle="Percent"/>
    <tableColumn id="6" xr3:uid="{CFD576F0-1E62-4C38-820A-76BCC32ADF1E}" name="Revenue CAGR" dataDxfId="181" dataCellStyle="Percent"/>
    <tableColumn id="7" xr3:uid="{DA3D7E3C-13F7-4838-8F58-232FB4C9EBB9}" name="WACC" dataDxfId="180" dataCellStyle="Percent">
      <calculatedColumnFormula>'USI-2'!AV3</calculatedColumnFormula>
    </tableColumn>
    <tableColumn id="8" xr3:uid="{693606DC-CA56-4756-A025-07B37B1F3A73}" name="Ke" dataDxfId="179" dataCellStyle="Percent">
      <calculatedColumnFormula>'USI-2'!AR3</calculatedColumnFormula>
    </tableColumn>
    <tableColumn id="9" xr3:uid="{DC93745B-E01F-4C73-8098-356E7D9CA3A0}" name="FSI" dataDxfId="178" dataCellStyle="Percent">
      <calculatedColumnFormula>'USI-4'!X11</calculatedColumnFormula>
    </tableColumn>
  </tableColumns>
  <tableStyleInfo name="TableStyleMedium13"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3A424929-64D5-477A-9D63-37E82F28E906}" name="Table178" displayName="Table178" ref="AF13:AO20" totalsRowShown="0" headerRowDxfId="177" dataDxfId="176">
  <autoFilter ref="AF13:AO20" xr:uid="{3A424929-64D5-477A-9D63-37E82F28E9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7598587-3230-4471-B4B0-6D38E8D0A309}" name="Institution" dataDxfId="175">
      <calculatedColumnFormula>A14</calculatedColumnFormula>
    </tableColumn>
    <tableColumn id="2" xr3:uid="{BF6DCAA6-516E-4953-89D1-EF00B0E0A8B4}" name="NPM" dataDxfId="174" dataCellStyle="Percent"/>
    <tableColumn id="3" xr3:uid="{BE15F6EE-E67B-4F39-9BDF-BB0A825F9610}" name="PCR" dataDxfId="173" dataCellStyle="Percent"/>
    <tableColumn id="4" xr3:uid="{67C225F7-2A2B-44CE-B449-CAE4E9B659FD}" name="Gross NPA" dataDxfId="172" dataCellStyle="Percent"/>
    <tableColumn id="5" xr3:uid="{92F7679F-6D20-45E7-9574-5F5DCCF022E9}" name="ROCE" dataDxfId="171">
      <calculatedColumnFormula>[31]Calc!M2</calculatedColumnFormula>
    </tableColumn>
    <tableColumn id="6" xr3:uid="{20BEADEA-54DC-4497-A57D-2AAA38B7590B}" name="Advances Growth" dataDxfId="170" dataCellStyle="Percent"/>
    <tableColumn id="7" xr3:uid="{DE641E9D-0623-4B29-80AE-3C63C0E0A5E5}" name="WACC" dataDxfId="169">
      <calculatedColumnFormula>'USI-2'!BL2</calculatedColumnFormula>
    </tableColumn>
    <tableColumn id="8" xr3:uid="{B5F255F9-A825-4811-8EF5-7D0D3DAE2407}" name="Ke" dataDxfId="168">
      <calculatedColumnFormula>'USI-2'!BH2</calculatedColumnFormula>
    </tableColumn>
    <tableColumn id="9" xr3:uid="{D58C9DE7-7134-4423-B4AA-D5EA66BB7EA6}" name="Kd" dataDxfId="167">
      <calculatedColumnFormula>'USI-2'!BI2</calculatedColumnFormula>
    </tableColumn>
    <tableColumn id="10" xr3:uid="{A7627AF9-550C-471B-B503-C029101DECBF}" name="FSI" dataDxfId="166">
      <calculatedColumnFormula>'USI-4'!AA2</calculatedColumnFormula>
    </tableColumn>
  </tableColumns>
  <tableStyleInfo name="TableStyleMedium9"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8F6B70F9-6731-43F7-865A-08E71D53FB77}" name="US_FSI_Forecast181" displayName="US_FSI_Forecast181" ref="A1:I11" totalsRowShown="0" headerRowDxfId="165" dataDxfId="164">
  <autoFilter ref="A1:I11" xr:uid="{8F6B70F9-6731-43F7-865A-08E71D53FB7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5DF3CC6-10AF-4BC5-B5F7-1BEA935094AF}" name="Sector" dataDxfId="163">
      <calculatedColumnFormula>Table168[[#This Row],[Sector]]</calculatedColumnFormula>
    </tableColumn>
    <tableColumn id="2" xr3:uid="{E1FEF518-0FA0-4D37-86CB-41E71AC40410}" name="EBITDA Margin" dataDxfId="162" dataCellStyle="Percent"/>
    <tableColumn id="3" xr3:uid="{A78D0051-A8AA-45CB-B76A-2050D4CEAB3F}" name="Capex Intensity" dataDxfId="161" dataCellStyle="Percent"/>
    <tableColumn id="4" xr3:uid="{E364B7CB-7BEB-4CBA-BCEC-07B54330249D}" name="ROCE" dataDxfId="160" dataCellStyle="Percent"/>
    <tableColumn id="5" xr3:uid="{81ABE7FA-1F79-4AE6-8F7A-1A5F0DEF8B89}" name="NPM" dataDxfId="159" dataCellStyle="Percent"/>
    <tableColumn id="6" xr3:uid="{12400F66-7449-4209-87A0-31EBFA333DEA}" name="Revenue CAGR" dataDxfId="158" dataCellStyle="Percent"/>
    <tableColumn id="7" xr3:uid="{8BB56837-57EE-4887-956B-210E28885009}" name="WACC" dataDxfId="157" dataCellStyle="Percent"/>
    <tableColumn id="8" xr3:uid="{5D183D53-4BBA-4C21-B4E5-53017D7FE518}" name="Ke" dataDxfId="156" dataCellStyle="Percent"/>
    <tableColumn id="10" xr3:uid="{6B326BAB-87D1-4D7F-B974-BA33D2349FFC}" name="FSI" dataDxfId="155" dataCellStyle="Percent">
      <calculatedColumnFormula>AH2</calculatedColumnFormula>
    </tableColumn>
  </tableColumns>
  <tableStyleInfo name="TableStyleMedium13"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7D9FBC3F-3F70-4A05-94B1-1502EC35E646}" name="US_FSI_Forecast" displayName="US_FSI_Forecast" ref="A13:I23" totalsRowShown="0" headerRowDxfId="154" dataDxfId="153" dataCellStyle="Percent">
  <autoFilter ref="A13:I23" xr:uid="{7D9FBC3F-3F70-4A05-94B1-1502EC35E64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2E787A9-D456-4F4D-B1EB-52A9DE4BB509}" name="Sector" dataDxfId="152"/>
    <tableColumn id="2" xr3:uid="{5D5717A0-E246-4721-A758-920A8A93D809}" name="EBITDA Margin" dataDxfId="151" dataCellStyle="Percent"/>
    <tableColumn id="3" xr3:uid="{6970BE2E-94A7-4884-80F0-7167D34369A5}" name="Capex Intensity" dataDxfId="150" dataCellStyle="Percent"/>
    <tableColumn id="4" xr3:uid="{92EA3F5E-550D-4867-9EB9-4543D8FF5774}" name="ROCE" dataDxfId="149" dataCellStyle="Percent"/>
    <tableColumn id="5" xr3:uid="{7DDA0D7D-C91E-494F-9BF8-B33337F431DA}" name="NPM" dataDxfId="148" dataCellStyle="Percent"/>
    <tableColumn id="6" xr3:uid="{5EED8A16-08A5-405C-A84B-CA1539E31B69}" name="Revenue CAGR" dataDxfId="147" dataCellStyle="Percent"/>
    <tableColumn id="7" xr3:uid="{AF286182-5607-45E5-9B14-21C44F6B9B30}" name="WACC" dataDxfId="146" dataCellStyle="Percent"/>
    <tableColumn id="8" xr3:uid="{2B7DC074-467A-4D41-8C59-F24C1202BB33}" name="Ke" dataDxfId="145" dataCellStyle="Percent"/>
    <tableColumn id="9" xr3:uid="{135DF67D-3E55-405E-9E73-FA63CF6548C3}" name="FSI" dataDxfId="144" dataCellStyle="Percent">
      <calculatedColumnFormula>AH14</calculatedColumnFormula>
    </tableColumn>
  </tableColumns>
  <tableStyleInfo name="TableStyleMedium13"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44A93A55-3D22-45FD-9DA0-B4CD71C153E8}" name="Table173" displayName="Table173" ref="A25:H31" totalsRowShown="0" headerRowDxfId="143" dataDxfId="142">
  <autoFilter ref="A25:H31" xr:uid="{44A93A55-3D22-45FD-9DA0-B4CD71C153E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9531F64-F446-4450-87F5-58974BE39976}" name="Institution" dataDxfId="141"/>
    <tableColumn id="2" xr3:uid="{F37A2564-97CA-457B-97D3-5881EBF760D4}" name="NPM" dataDxfId="140"/>
    <tableColumn id="3" xr3:uid="{C79BE21E-E3F4-4282-8161-BA8EF76C41D7}" name="PCR" dataDxfId="139"/>
    <tableColumn id="4" xr3:uid="{016A376C-00B0-4F81-9D03-6C4F76AC62F4}" name="ROCE" dataDxfId="138"/>
    <tableColumn id="5" xr3:uid="{49F96B90-7162-415C-8B55-039B9E2DB9AB}" name="Advances Growth" dataDxfId="137"/>
    <tableColumn id="6" xr3:uid="{68D75044-0C9C-41B8-BCC3-B506BB4213F1}" name="Ke" dataDxfId="136"/>
    <tableColumn id="7" xr3:uid="{6026C36D-34EF-4066-A24C-C7956021A172}" name="NIM" dataDxfId="135"/>
    <tableColumn id="8" xr3:uid="{EB9CDEDC-E473-4CFD-BE65-F08623C7D27B}" name="FSI" dataDxfId="134">
      <calculatedColumnFormula>AE26</calculatedColumnFormula>
    </tableColumn>
  </tableColumns>
  <tableStyleInfo name="TableStyleMedium13"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37F99611-6869-40AB-AEAF-C6B44D765D35}" name="Table174" displayName="Table174" ref="A33:I34" totalsRowShown="0" headerRowDxfId="133" dataDxfId="132">
  <autoFilter ref="A33:I34" xr:uid="{37F99611-6869-40AB-AEAF-C6B44D765D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82F25FD-49CB-4F67-AE57-CC2672924F1E}" name="Company" dataDxfId="131"/>
    <tableColumn id="2" xr3:uid="{02C4B4F8-1804-41BF-B9A1-EA5E9020AB47}" name="EBITDA Margin" dataDxfId="130">
      <calculatedColumnFormula>[21]Calc!$D$53</calculatedColumnFormula>
    </tableColumn>
    <tableColumn id="3" xr3:uid="{35DECB70-6B20-41F3-BCDC-1291D4E2DC92}" name="Capex Intensity" dataDxfId="129">
      <calculatedColumnFormula>'[21]Assumptions &amp; WACC'!$J$5</calculatedColumnFormula>
    </tableColumn>
    <tableColumn id="4" xr3:uid="{48843B7B-2497-40F9-8C0B-FBADA289D4FC}" name="ROCE" dataDxfId="128">
      <calculatedColumnFormula>[21]Calc!$I$5</calculatedColumnFormula>
    </tableColumn>
    <tableColumn id="5" xr3:uid="{0DAA0398-8D0B-44FB-8ECA-45A4731B5FA5}" name="NPM" dataDxfId="127">
      <calculatedColumnFormula>[21]Calc!$D$61</calculatedColumnFormula>
    </tableColumn>
    <tableColumn id="6" xr3:uid="{2BF6710A-8D13-4CC7-A5F4-49F530382784}" name="Revenue CAGR" dataDxfId="126">
      <calculatedColumnFormula>'[21]Assumptions &amp; WACC'!$J$2</calculatedColumnFormula>
    </tableColumn>
    <tableColumn id="7" xr3:uid="{E147CAE9-F7CA-4D8F-952E-2F1938DDF648}" name="WACC" dataDxfId="125">
      <calculatedColumnFormula>'[21]Assumptions &amp; WACC'!$J$20</calculatedColumnFormula>
    </tableColumn>
    <tableColumn id="8" xr3:uid="{5FC4F192-0047-4E1B-8881-6CECE5BD1C84}" name="Ke" dataDxfId="124">
      <calculatedColumnFormula>'[21]Assumptions &amp; WACC'!$J$11</calculatedColumnFormula>
    </tableColumn>
    <tableColumn id="9" xr3:uid="{E1A5402D-2EB8-4CAB-8159-93A0E40D8703}" name="FSI" dataDxfId="123">
      <calculatedColumnFormula>AA34</calculatedColumnFormula>
    </tableColumn>
  </tableColumns>
  <tableStyleInfo name="TableStyleMedium9"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9CA6B370-4BB0-45CD-9F93-A4FFA699AD65}" name="Table175" displayName="Table175" ref="A36:H42" totalsRowShown="0" headerRowDxfId="122" dataDxfId="121">
  <autoFilter ref="A36:H42" xr:uid="{9CA6B370-4BB0-45CD-9F93-A4FFA699AD6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F723231-EC60-4A09-8FE7-EA6301BFCC8A}" name="Institution" dataDxfId="120">
      <calculatedColumnFormula>A26</calculatedColumnFormula>
    </tableColumn>
    <tableColumn id="2" xr3:uid="{F8D15F6F-948F-40AD-9148-1DE62BCF3867}" name="NPM" dataDxfId="119" dataCellStyle="Percent"/>
    <tableColumn id="3" xr3:uid="{D4CAB82B-0338-460A-AA06-B06E42E62DB4}" name="PCR" dataDxfId="118" dataCellStyle="Percent"/>
    <tableColumn id="4" xr3:uid="{2892BE3D-DFF8-46E2-855B-4013999EFF45}" name="ROCE" dataDxfId="117" dataCellStyle="Percent"/>
    <tableColumn id="5" xr3:uid="{670C8263-6F31-4F10-9BF0-BFA949E2955E}" name="Advances Growth" dataDxfId="116" dataCellStyle="Percent"/>
    <tableColumn id="6" xr3:uid="{747EC41A-9177-4A04-983D-DC2D969C3E1A}" name="Ke" dataDxfId="115" dataCellStyle="Percent">
      <calculatedColumnFormula>'USI-2'!BS2</calculatedColumnFormula>
    </tableColumn>
    <tableColumn id="7" xr3:uid="{65E7F05C-92E9-46BB-85DC-70225245A24F}" name="NIM" dataDxfId="114" dataCellStyle="Percent"/>
    <tableColumn id="8" xr3:uid="{F997F0DE-86F8-4BF0-A9E4-CD60F034E932}" name="FSI" dataDxfId="113">
      <calculatedColumnFormula>AE37</calculatedColumnFormula>
    </tableColumn>
  </tableColumns>
  <tableStyleInfo name="TableStyleMedium9"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C900D674-C996-46AE-B6A1-62092D0AFEB3}" name="Table176" displayName="Table176" ref="A44:I45" totalsRowShown="0" headerRowDxfId="112" dataDxfId="111">
  <autoFilter ref="A44:I45" xr:uid="{C900D674-C996-46AE-B6A1-62092D0AFEB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1076D3-12B7-4DBC-A365-45AC53AFDD4D}" name="Company" dataDxfId="110"/>
    <tableColumn id="2" xr3:uid="{40D6EE22-F5F3-45E3-9C03-61BC5A94F66C}" name="EBITDA Margin" dataDxfId="109" dataCellStyle="Percent">
      <calculatedColumnFormula>(AVERAGE([21]DCF!$AH$4:$AM$4)+AVERAGE([21]DCF!$AH$7:$AM$7))/AVERAGE([21]DCF!$AH$3:$AM$3)</calculatedColumnFormula>
    </tableColumn>
    <tableColumn id="3" xr3:uid="{851A1907-9DA6-4C12-8413-DE6E114A6979}" name="Capex Intensity" dataDxfId="108">
      <calculatedColumnFormula>[21]Calc!$D$77</calculatedColumnFormula>
    </tableColumn>
    <tableColumn id="4" xr3:uid="{CD8A88EF-94E0-44E8-B821-B621D9EE1C09}" name="ROCE" dataDxfId="107">
      <calculatedColumnFormula>[21]Calc!$L$5</calculatedColumnFormula>
    </tableColumn>
    <tableColumn id="5" xr3:uid="{C83C8E28-1339-45DE-A002-53FA843A6447}" name="NPM" dataDxfId="106" dataCellStyle="Percent">
      <calculatedColumnFormula>AVERAGE([21]DCF!$AH$6:$AM$6)/AVERAGE([21]DCF!$AH$3:$AM$3)</calculatedColumnFormula>
    </tableColumn>
    <tableColumn id="6" xr3:uid="{B45DC780-41FA-4642-92C0-A468FF827E23}" name="Revenue CAGR" dataDxfId="105" dataCellStyle="Percent">
      <calculatedColumnFormula>([21]DCF!$AM$3/[21]DCF!$AH$3)^(1/6)-1</calculatedColumnFormula>
    </tableColumn>
    <tableColumn id="7" xr3:uid="{4FE04282-2660-464D-9E19-F293F7F75014}" name="WACC" dataDxfId="104">
      <calculatedColumnFormula>'USI-2'!BW8</calculatedColumnFormula>
    </tableColumn>
    <tableColumn id="8" xr3:uid="{7A5CEE9D-6987-4613-8B36-524879817C59}" name="Ke" dataDxfId="103">
      <calculatedColumnFormula>'USI-2'!BS8</calculatedColumnFormula>
    </tableColumn>
    <tableColumn id="9" xr3:uid="{6EDB5D9C-3345-46A6-8652-1206492883CD}" name="FSI" dataDxfId="102"/>
  </tableColumns>
  <tableStyleInfo name="TableStyleMedium13"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4CD7031A-9514-4729-B892-6DC40BB3550C}" name="Table179" displayName="Table179" ref="AL1:AP6" totalsRowShown="0" headerRowDxfId="101" dataDxfId="100">
  <autoFilter ref="AL1:AP6" xr:uid="{4CD7031A-9514-4729-B892-6DC40BB3550C}">
    <filterColumn colId="0" hiddenButton="1"/>
    <filterColumn colId="1" hiddenButton="1"/>
    <filterColumn colId="2" hiddenButton="1"/>
    <filterColumn colId="3" hiddenButton="1"/>
    <filterColumn colId="4" hiddenButton="1"/>
  </autoFilter>
  <tableColumns count="5">
    <tableColumn id="1" xr3:uid="{302111B0-538A-483D-91DF-C3A76DD31945}" name="Metric" dataDxfId="99"/>
    <tableColumn id="2" xr3:uid="{00A8CC80-0ECF-4D44-B8F4-DFB99FE05F77}" name="India (Historical)" dataDxfId="98"/>
    <tableColumn id="3" xr3:uid="{1475FF24-2745-4AB6-906A-82701C3FDDA3}" name="US Historical" dataDxfId="97"/>
    <tableColumn id="4" xr3:uid="{10A41F52-CA84-45C6-AAF3-886DF929247D}" name="India Forecast" dataDxfId="96"/>
    <tableColumn id="5" xr3:uid="{511BEC01-C7BB-457F-A655-B74398FF2E72}" name="US Forecast" dataDxfId="95"/>
  </tableColumns>
  <tableStyleInfo name="TableStyleMedium13"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489A85D4-9AA2-4A13-B566-491F8264F722}" name="Table172" displayName="Table172" ref="A1:AA8" totalsRowShown="0" headerRowDxfId="94" dataDxfId="93">
  <autoFilter ref="A1:AA8" xr:uid="{489A85D4-9AA2-4A13-B566-491F8264F7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1C1A67A2-0470-4D55-AEC0-B5FF35EE41AE}" name="Institution" dataDxfId="92">
      <calculatedColumnFormula>'USI-3'!AF14</calculatedColumnFormula>
    </tableColumn>
    <tableColumn id="2" xr3:uid="{A8B1326B-AD21-49B7-BD2F-3F5496974EEA}" name="NPM" dataDxfId="91" dataCellStyle="Percent"/>
    <tableColumn id="3" xr3:uid="{48067434-617A-479B-B58E-8C199FC9DDAB}" name="PCR" dataDxfId="90" dataCellStyle="Percent"/>
    <tableColumn id="4" xr3:uid="{F314922D-ECFB-4519-9304-2C8AF0311091}" name="Gross NPA" dataDxfId="89" dataCellStyle="Percent"/>
    <tableColumn id="5" xr3:uid="{800666A1-707E-4851-B795-5AE845B31A3A}" name="ROCE" dataDxfId="88">
      <calculatedColumnFormula>'USI-3'!AJ14</calculatedColumnFormula>
    </tableColumn>
    <tableColumn id="6" xr3:uid="{C0A288FF-85AE-49B2-B773-06189D8A454F}" name="Advances Growth" dataDxfId="87" dataCellStyle="Percent"/>
    <tableColumn id="7" xr3:uid="{B42454AE-BB7A-43F7-B5A8-98610B8538A3}" name="WACC" dataDxfId="86">
      <calculatedColumnFormula>'USI-3'!AJ14</calculatedColumnFormula>
    </tableColumn>
    <tableColumn id="8" xr3:uid="{4C8136D3-142D-4B86-A5BB-E7994812A4E2}" name="Ke" dataDxfId="85">
      <calculatedColumnFormula>'USI-2'!AI2</calculatedColumnFormula>
    </tableColumn>
    <tableColumn id="9" xr3:uid="{EC8B3BF8-FC26-4B71-94AB-90E7FA9F7531}" name="Kd" dataDxfId="84">
      <calculatedColumnFormula>'USI-2'!AJ2</calculatedColumnFormula>
    </tableColumn>
    <tableColumn id="10" xr3:uid="{6D3F363B-48F5-48A0-900C-FC5EE1690E4E}" name="Normalized NPM" dataDxfId="83" dataCellStyle="Comma"/>
    <tableColumn id="11" xr3:uid="{85A9AC4F-F401-48FD-BDAC-66C9A8F27684}" name="Normalized PCR" dataDxfId="82" dataCellStyle="Comma"/>
    <tableColumn id="12" xr3:uid="{DCAFE02D-FFBD-4374-A2A4-3FFB6B98F8D0}" name="Normalized Gross NPA" dataDxfId="81" dataCellStyle="Comma">
      <calculatedColumnFormula>(D2-MIN($D$2:$D$8))/(MAX($D$2:$D$8)-MIN($D$2:$D$8))</calculatedColumnFormula>
    </tableColumn>
    <tableColumn id="13" xr3:uid="{03ACB2DF-C0D2-4687-88EA-D935ECF346D3}" name="Normalized ROCE" dataDxfId="80" dataCellStyle="Comma"/>
    <tableColumn id="14" xr3:uid="{E1103E88-D791-48C4-BDEB-27F0F9BB8712}" name="Normalized Advances Growth" dataDxfId="79" dataCellStyle="Comma">
      <calculatedColumnFormula>(F2-MIN($F$2:$F$8))/(MAX($F$2:$F$8)-MIN($F$2:$F$8))</calculatedColumnFormula>
    </tableColumn>
    <tableColumn id="15" xr3:uid="{94DEBE39-2421-4A62-B31A-8836CC94CB07}" name="Normalized WACC" dataDxfId="78" dataCellStyle="Comma"/>
    <tableColumn id="16" xr3:uid="{80FE46A2-D838-4248-836A-55C6FDAAFA4B}" name="Normalized Ke" dataDxfId="77" dataCellStyle="Comma"/>
    <tableColumn id="17" xr3:uid="{9C906DF5-D63D-43C8-A257-67444EADE22D}" name="Normalized Kd" dataDxfId="76" dataCellStyle="Comma">
      <calculatedColumnFormula>(I2-MIN($I$2:$I$8))/(MAX($I$2:$I$8)-MIN($I$2:$I$8))</calculatedColumnFormula>
    </tableColumn>
    <tableColumn id="18" xr3:uid="{851E121D-9917-4032-AB62-628817606CED}" name="Total" dataDxfId="75">
      <calculatedColumnFormula>SUM(J2:Q2)</calculatedColumnFormula>
    </tableColumn>
    <tableColumn id="19" xr3:uid="{42A0B5C9-29E1-4767-8F94-8953F9F9E3B6}" name="Weight NPM" dataDxfId="74"/>
    <tableColumn id="20" xr3:uid="{DE9522FB-5821-4F39-9D9F-742B140113EA}" name="Weight PCR" dataDxfId="73"/>
    <tableColumn id="21" xr3:uid="{2A4D1709-D7F9-4B3E-ABB0-C866D3C2BF49}" name="Weight NPA" dataDxfId="72"/>
    <tableColumn id="22" xr3:uid="{7AB4ECD3-713D-47BE-9280-C97F03EC526C}" name="Weight ROCE" dataDxfId="71"/>
    <tableColumn id="23" xr3:uid="{03819045-3215-4666-9AE2-3DE0D8A03B8A}" name="Weight Adv Growth" dataDxfId="70"/>
    <tableColumn id="24" xr3:uid="{0C0D7456-18AF-4551-A3F5-EAB9EB1649A2}" name="Weight WACC" dataDxfId="69"/>
    <tableColumn id="25" xr3:uid="{ECC61BAA-F74E-4250-B76A-9CD9F59306A8}" name="Weight Ke" dataDxfId="68"/>
    <tableColumn id="26" xr3:uid="{DA93B07C-6FAC-4938-AFE2-F53D5C845F10}" name="Weight Kd" dataDxfId="67"/>
    <tableColumn id="27" xr3:uid="{873C6B8B-173C-4A5D-8BDE-E43DFBE1615E}" name="FSI" dataDxfId="66">
      <calculatedColumnFormula>(J2*S2)+(K2*T2)+(L2*U2)+(M2*V2)+(N2*W2)+(O2*X2)+(P2*Y2)+(Q2*Z2)</calculatedColumnFormula>
    </tableColumn>
  </tableColumns>
  <tableStyleInfo name="TableStyleMedium9"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AC77D39B-2B4D-4816-A4BD-05D9C177CA56}" name="Table177" displayName="Table177" ref="A10:X20" totalsRowShown="0" headerRowDxfId="65" dataDxfId="64">
  <autoFilter ref="A10:X20" xr:uid="{AC77D39B-2B4D-4816-A4BD-05D9C177CA5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D84AE012-5DEB-4920-A0FB-8F132EBDA53A}" name="Sector" dataDxfId="63"/>
    <tableColumn id="2" xr3:uid="{A47E816F-4B72-4942-95AF-8A7C613A81DB}" name="EBITDA Margin" dataDxfId="62"/>
    <tableColumn id="3" xr3:uid="{2A847F57-863B-4F90-98C1-5711AB10013F}" name="Capex Intensity" dataDxfId="61"/>
    <tableColumn id="4" xr3:uid="{C84A3422-8DC3-44D0-B828-7A703D681515}" name="ROCE" dataDxfId="60"/>
    <tableColumn id="5" xr3:uid="{FBC80DC7-0F0A-446F-8A34-B175A836BA02}" name="NPM" dataDxfId="59"/>
    <tableColumn id="6" xr3:uid="{01F5DC70-8143-4184-955A-6450790CC901}" name="Revenue CAGR" dataDxfId="58"/>
    <tableColumn id="7" xr3:uid="{E1F0F7FF-8630-446D-B440-561F01F32CF1}" name="WACC" dataDxfId="57"/>
    <tableColumn id="8" xr3:uid="{3572B84E-8832-4C08-B4DA-6A9770A34676}" name="Ke" dataDxfId="56"/>
    <tableColumn id="9" xr3:uid="{42CA924A-4293-40F3-BF51-A08BE6732FA7}" name="Normalized EBITDA" dataDxfId="55">
      <calculatedColumnFormula>(B11-MIN($B$11:$B$20))/(MAX($B$11:$B$20)-MIN($B$11:$B$20))</calculatedColumnFormula>
    </tableColumn>
    <tableColumn id="10" xr3:uid="{5B35DD71-A429-402D-A438-313E2A77EC26}" name="Normalized Capex intensity" dataDxfId="54">
      <calculatedColumnFormula>(C11-MIN($C$11:$C$20))/(MAX($C$11:$C$20)-MIN($C$11:$C$20))</calculatedColumnFormula>
    </tableColumn>
    <tableColumn id="11" xr3:uid="{0B5D6F60-73F1-402A-9A61-85902F063CFA}" name="Normalized ROCE" dataDxfId="53">
      <calculatedColumnFormula>(D11-MIN($D$11:$D$20))/(MAX($D$11:$D$20)-MIN($D$11:$D$20))</calculatedColumnFormula>
    </tableColumn>
    <tableColumn id="12" xr3:uid="{CD0E3CB2-F9DC-4ECA-8811-782B40DF5DAD}" name="Normalized NPM" dataDxfId="52">
      <calculatedColumnFormula>(E11-MIN($E$11:$E$20))/(MAX($E$11:$E$20)-MIN($E$11:$E$20))</calculatedColumnFormula>
    </tableColumn>
    <tableColumn id="13" xr3:uid="{1661D639-44FB-4734-A2F6-9DB829915C6D}" name="Normalized Revenue CAGR" dataDxfId="51">
      <calculatedColumnFormula>(F11-MIN($F$11:$F$20))/(MAX($F$11:$F$20)-MIN($F$11:$F$20))</calculatedColumnFormula>
    </tableColumn>
    <tableColumn id="14" xr3:uid="{EF066AE0-0B33-4637-87BA-C5A053B8EA8D}" name="Normalized WACC" dataDxfId="50">
      <calculatedColumnFormula>(G11-MIN($G$11:$G$20))/(MAX($G$11:$G$20)-MIN($G$11:$G$20))</calculatedColumnFormula>
    </tableColumn>
    <tableColumn id="15" xr3:uid="{355F47D7-7B5A-4724-8441-C04A4D1F85EC}" name="Normalized Ke" dataDxfId="49">
      <calculatedColumnFormula>(H11-MIN($H$11:$H$20))/(MAX($H$11:$H$20)-MIN($H$11:$H$20))</calculatedColumnFormula>
    </tableColumn>
    <tableColumn id="16" xr3:uid="{3ED9A987-733D-4E20-84A5-A35FB26A2226}" name="Total" dataDxfId="48">
      <calculatedColumnFormula>SUM(I11:O11)</calculatedColumnFormula>
    </tableColumn>
    <tableColumn id="17" xr3:uid="{BCA533D5-82EB-4720-A5E0-41F73AD24534}" name="Weight EBITDA" dataDxfId="47"/>
    <tableColumn id="18" xr3:uid="{E50F241F-4C26-4724-97DD-D0B3B6286D7E}" name="Weight Capex" dataDxfId="46"/>
    <tableColumn id="19" xr3:uid="{E14EB703-E00F-4BB3-8C7A-A9664AEFC1F6}" name="Weight ROCE" dataDxfId="45"/>
    <tableColumn id="20" xr3:uid="{827E2A04-C9C6-4BCC-B4A5-A38F57833279}" name="Weight NPM" dataDxfId="44"/>
    <tableColumn id="21" xr3:uid="{7360471A-A04B-4759-B45D-0FAC237088F7}" name="Weight Revenue CAGR" dataDxfId="43"/>
    <tableColumn id="22" xr3:uid="{EE5DF178-9113-45CE-81BF-6113B518ACC9}" name="Weight WACC" dataDxfId="42"/>
    <tableColumn id="23" xr3:uid="{0AE60011-3BC2-4097-8B1B-44A571CBF935}" name="Weight Ke" dataDxfId="41"/>
    <tableColumn id="24" xr3:uid="{4AEF5EEC-88DF-4606-94AA-BA72ADB6E8B9}" name="FSI" dataDxfId="40">
      <calculatedColumnFormula>(I11*Q11)+(J11*R11)+(K11*S11)+(L11*T11)+(M11*U11)+(N11*V11)+(O11*W11)</calculatedColumnFormula>
    </tableColumn>
  </tableColumns>
  <tableStyleInfo name="TableStyleMedium13"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6FBAA7B-6320-4CD4-A775-4908F93CF3D5}" name="Table126" displayName="Table126" ref="A1:C12" totalsRowShown="0" headerRowDxfId="39">
  <autoFilter ref="A1:C12" xr:uid="{06FBAA7B-6320-4CD4-A775-4908F93CF3D5}">
    <filterColumn colId="0" hiddenButton="1"/>
    <filterColumn colId="1" hiddenButton="1"/>
    <filterColumn colId="2" hiddenButton="1"/>
  </autoFilter>
  <tableColumns count="3">
    <tableColumn id="1" xr3:uid="{C188297C-1772-4F76-B82F-538DBC241788}" name="Sector" dataDxfId="38"/>
    <tableColumn id="2" xr3:uid="{238BB172-2B3A-4497-8744-ADB4C39A0D0F}" name="Avg Valuation multiple" dataDxfId="37">
      <calculatedColumnFormula>Table144[[#This Row],[Avg Valuation Multiple]]</calculatedColumnFormula>
    </tableColumn>
    <tableColumn id="3" xr3:uid="{D52C897E-D256-43A1-9BDA-16D322FD65ED}" name="Key Drivers" dataDxfId="36"/>
  </tableColumns>
  <tableStyleInfo name="TableStyleMedium6"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6E8A10BB-8C29-4FD7-9911-A795DA8FB723}" name="Table127" displayName="Table127" ref="E1:O13" totalsRowShown="0" headerRowDxfId="35" dataDxfId="34" tableBorderDxfId="33">
  <autoFilter ref="E1:O13" xr:uid="{6E8A10BB-8C29-4FD7-9911-A795DA8FB7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167393A-BEEF-4BDD-8807-2974B2407FED}" name="Sector" dataDxfId="32">
      <calculatedColumnFormula>Table126[[#This Row],[Sector]]</calculatedColumnFormula>
    </tableColumn>
    <tableColumn id="2" xr3:uid="{A2327BE9-C008-408D-8829-3E2AEA18A272}" name="Base PE" dataDxfId="31">
      <calculatedColumnFormula>Table126[[#This Row],[Avg Valuation multiple]]</calculatedColumnFormula>
    </tableColumn>
    <tableColumn id="3" xr3:uid="{28B731CB-6F6B-465C-AF70-D4AA100C28F7}" name="Earnings CAGR" dataDxfId="30" dataCellStyle="Percent"/>
    <tableColumn id="4" xr3:uid="{D62B9E83-211C-49B9-820C-87F7335F0F80}" name="ROCE" dataDxfId="29">
      <calculatedColumnFormula>Table5[[#This Row],[Incremental ROCE (Forecast)]]</calculatedColumnFormula>
    </tableColumn>
    <tableColumn id="5" xr3:uid="{07EC1660-9472-417E-85EC-B0BC1F879568}" name="Ke" dataDxfId="28" dataCellStyle="Percent">
      <calculatedColumnFormula>AVERAGE(Table234589[Cost of Equity])</calculatedColumnFormula>
    </tableColumn>
    <tableColumn id="6" xr3:uid="{1211214C-EE87-4FDB-8046-481AA30D7DE4}" name="Earnings Sensitivity" dataDxfId="27">
      <calculatedColumnFormula>India!D15</calculatedColumnFormula>
    </tableColumn>
    <tableColumn id="7" xr3:uid="{31D83AEE-5A3E-4150-AFF2-9709BAFCC4CB}" name="Risk Adjustment" dataDxfId="26">
      <calculatedColumnFormula>MIN(0.5,Table127[[#This Row],[Earnings Sensitivity]]/100)</calculatedColumnFormula>
    </tableColumn>
    <tableColumn id="8" xr3:uid="{538B5138-20D0-4437-AAE6-5C8BB6DE98C7}" name="Alpha" dataDxfId="25"/>
    <tableColumn id="9" xr3:uid="{FB2F5BDF-FFF5-4B39-B01B-2CF1CB487BFD}" name="Beta" dataDxfId="24"/>
    <tableColumn id="10" xr3:uid="{18073660-C043-4005-A091-3EB2563E33AA}" name="Gamma" dataDxfId="23"/>
    <tableColumn id="11" xr3:uid="{55298890-C1A7-4821-9D5A-BD0573452914}" name="Forecasted PE" dataDxfId="22" dataCellStyle="Comma">
      <calculatedColumnFormula>Table127[[#This Row],[Base PE]]*(1+Table127[[#This Row],[Alpha]]*(Table127[[#This Row],[Earnings CAGR]]/0.15)+Table127[[#This Row],[Beta]]*((Table127[[#This Row],[ROCE]]-Table127[[#This Row],[Ke]])/Table127[[#This Row],[Ke]])-Table127[[#This Row],[Gamma]]*Table127[[#This Row],[Risk Adjustment]])</calculatedColumnFormula>
    </tableColumn>
  </tableColumns>
  <tableStyleInfo name="TableStyleDark9"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5FC2FA7-9F36-444F-A495-2807B4D4E710}" name="Table139" displayName="Table139" ref="Q1:Z12" totalsRowShown="0" headerRowDxfId="21">
  <autoFilter ref="Q1:Z12" xr:uid="{05FC2FA7-9F36-444F-A495-2807B4D4E71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920C46F-CEE8-419F-BFBC-8D8887B94722}" name="Sector" dataDxfId="20">
      <calculatedColumnFormula>Table127[[#This Row],[Sector]]</calculatedColumnFormula>
    </tableColumn>
    <tableColumn id="2" xr3:uid="{183B48CD-5B15-4C75-A627-51CE769371F6}" name="Forecasted ROCE" dataDxfId="19" dataCellStyle="Comma">
      <calculatedColumnFormula>Table127[[#This Row],[ROCE]]</calculatedColumnFormula>
    </tableColumn>
    <tableColumn id="3" xr3:uid="{7682B60B-905C-4484-A82D-986DF88903B2}" name="Forecasted PE" dataDxfId="18">
      <calculatedColumnFormula>Table127[[#This Row],[Forecasted PE]]</calculatedColumnFormula>
    </tableColumn>
    <tableColumn id="4" xr3:uid="{6CAA56CE-56B7-47A8-B83F-4FB2994AF927}" name="Quadrant" dataDxfId="17">
      <calculatedColumnFormula>IF(R2&gt;= $AA$16,
    IF(S2&gt;= $AA$18,"High ROCE &amp; High PE",
       IF(S2&gt;= $AA$19,"High ROCE &amp; Moderate PE","High ROCE &amp; Low PE")),
 IF(R2&gt;= $AA$17,
    IF(S2&gt;= $AA$18,"Moderate ROCE &amp; High PE",
       IF(S2&gt;= $AA$19,"Moderate ROCE &amp; Moderate PE","Moderate ROCE &amp; Low PE")),
 IF(S2&gt;= $AA$18,"Low ROCE &amp; High PE",
    IF(S2&gt;= $AA$19,"Low ROCE &amp; Moderate PE","Low ROCE &amp; Low PE"))))</calculatedColumnFormula>
    </tableColumn>
    <tableColumn id="5" xr3:uid="{D836A088-4F88-424E-B40C-8CB31EB8DAF4}" name="Category" dataDxfId="16">
      <calculatedColumnFormula>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calculatedColumnFormula>
    </tableColumn>
    <tableColumn id="6" xr3:uid="{E4E9BBED-222E-4B66-9670-0671DDFB9F7F}" name="Premium " dataDxfId="15" dataCellStyle="Comma">
      <calculatedColumnFormula>IF($U2="Premium Efficiency",$S2,NA())</calculatedColumnFormula>
    </tableColumn>
    <tableColumn id="7" xr3:uid="{5E323512-2033-4BD2-8F51-A6A79C5FB35B}" name="Balanced" dataDxfId="14" dataCellStyle="Comma">
      <calculatedColumnFormula>IF($U2="Balanced Compounder",$S2,NA())</calculatedColumnFormula>
    </tableColumn>
    <tableColumn id="8" xr3:uid="{6291FB0C-7FD9-46FC-968D-32D17C234A81}" name="Undervalued" dataDxfId="13" dataCellStyle="Comma">
      <calculatedColumnFormula>IF($U2="Undervalued Efficient",$S2,NA())</calculatedColumnFormula>
    </tableColumn>
    <tableColumn id="9" xr3:uid="{808FF941-1D49-43CE-B99D-303AD3D7728C}" name="Value Anchor" dataDxfId="12" dataCellStyle="Comma">
      <calculatedColumnFormula>IF($U2="Value Anchor",$S2,NA())</calculatedColumnFormula>
    </tableColumn>
    <tableColumn id="10" xr3:uid="{A9E7F783-E187-470B-B0C5-523178C0C866}" name="Mid-Tier" dataDxfId="11" dataCellStyle="Comma">
      <calculatedColumnFormula>IF($U2="Mid-Tier Performer",$S2,NA())</calculatedColumnFormula>
    </tableColumn>
  </tableColumns>
  <tableStyleInfo name="TableStyleMedium13"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77281705-B0CF-424E-87E5-B93D24D701C9}" name="Table140" displayName="Table140" ref="Z15:AA19" totalsRowShown="0" headerRowDxfId="10">
  <autoFilter ref="Z15:AA19" xr:uid="{77281705-B0CF-424E-87E5-B93D24D701C9}">
    <filterColumn colId="0" hiddenButton="1"/>
    <filterColumn colId="1" hiddenButton="1"/>
  </autoFilter>
  <tableColumns count="2">
    <tableColumn id="1" xr3:uid="{C68140C6-510C-4ED4-A097-D77214190C60}" name="Thresholds" dataDxfId="9"/>
    <tableColumn id="2" xr3:uid="{72A1C039-C825-4A08-9E14-13A94DE6CB34}" name="Value" dataDxfId="8" dataCellStyle="Comma"/>
  </tableColumns>
  <tableStyleInfo name="TableStyleMedium9"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7EEBBF96-3400-4F58-8E69-C9A25E88EE7A}" name="Table146" displayName="Table146" ref="AD8:AG11" totalsRowShown="0" headerRowDxfId="7" dataDxfId="6">
  <autoFilter ref="AD8:AG11" xr:uid="{7EEBBF96-3400-4F58-8E69-C9A25E88EE7A}">
    <filterColumn colId="0" hiddenButton="1"/>
    <filterColumn colId="1" hiddenButton="1"/>
    <filterColumn colId="2" hiddenButton="1"/>
    <filterColumn colId="3" hiddenButton="1"/>
  </autoFilter>
  <tableColumns count="4">
    <tableColumn id="1" xr3:uid="{10896809-4850-400F-8C83-3FD148E07462}" name="ROEC\ P/E" dataDxfId="5"/>
    <tableColumn id="2" xr3:uid="{076779B2-B76C-4A21-A550-B2220D8BCFBA}" name="High (&gt;60)" dataDxfId="4"/>
    <tableColumn id="3" xr3:uid="{09243217-7BDF-4E53-8857-C7F9E75B4603}" name="Moderate  (30-60)" dataDxfId="3"/>
    <tableColumn id="4" xr3:uid="{6640D2C3-3144-4D77-8114-0EA83A2611F7}" name="Low (&lt;30)" dataDxfId="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5ED36A7-6262-42BD-9CD4-841A9D2E22D0}">
  <we:reference id="wa104379220" version="8.0.0.0" store="en-US" storeType="OMEX"/>
  <we:alternateReferences>
    <we:reference id="wa104379220" version="8.0.0.0" store="WA10437922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5.xml"/><Relationship Id="rId3" Type="http://schemas.openxmlformats.org/officeDocument/2006/relationships/table" Target="../tables/table30.xml"/><Relationship Id="rId7" Type="http://schemas.openxmlformats.org/officeDocument/2006/relationships/table" Target="../tables/table34.xml"/><Relationship Id="rId12" Type="http://schemas.openxmlformats.org/officeDocument/2006/relationships/table" Target="../tables/table39.xml"/><Relationship Id="rId2" Type="http://schemas.openxmlformats.org/officeDocument/2006/relationships/table" Target="../tables/table29.xml"/><Relationship Id="rId1" Type="http://schemas.openxmlformats.org/officeDocument/2006/relationships/table" Target="../tables/table28.xml"/><Relationship Id="rId6" Type="http://schemas.openxmlformats.org/officeDocument/2006/relationships/table" Target="../tables/table33.xml"/><Relationship Id="rId11" Type="http://schemas.openxmlformats.org/officeDocument/2006/relationships/table" Target="../tables/table38.xml"/><Relationship Id="rId5" Type="http://schemas.openxmlformats.org/officeDocument/2006/relationships/table" Target="../tables/table32.xml"/><Relationship Id="rId10" Type="http://schemas.openxmlformats.org/officeDocument/2006/relationships/table" Target="../tables/table37.xml"/><Relationship Id="rId4" Type="http://schemas.openxmlformats.org/officeDocument/2006/relationships/table" Target="../tables/table31.xml"/><Relationship Id="rId9" Type="http://schemas.openxmlformats.org/officeDocument/2006/relationships/table" Target="../tables/table3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table" Target="../tables/table42.xml"/><Relationship Id="rId7" Type="http://schemas.openxmlformats.org/officeDocument/2006/relationships/table" Target="../tables/table46.xml"/><Relationship Id="rId2" Type="http://schemas.openxmlformats.org/officeDocument/2006/relationships/table" Target="../tables/table41.xml"/><Relationship Id="rId1" Type="http://schemas.openxmlformats.org/officeDocument/2006/relationships/table" Target="../tables/table40.xml"/><Relationship Id="rId6" Type="http://schemas.openxmlformats.org/officeDocument/2006/relationships/table" Target="../tables/table45.xml"/><Relationship Id="rId5" Type="http://schemas.openxmlformats.org/officeDocument/2006/relationships/table" Target="../tables/table44.xml"/><Relationship Id="rId10" Type="http://schemas.openxmlformats.org/officeDocument/2006/relationships/table" Target="../tables/table49.xml"/><Relationship Id="rId4" Type="http://schemas.openxmlformats.org/officeDocument/2006/relationships/table" Target="../tables/table43.xml"/><Relationship Id="rId9" Type="http://schemas.openxmlformats.org/officeDocument/2006/relationships/table" Target="../tables/table4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12" Type="http://schemas.openxmlformats.org/officeDocument/2006/relationships/table" Target="../tables/table61.xml"/><Relationship Id="rId2" Type="http://schemas.openxmlformats.org/officeDocument/2006/relationships/table" Target="../tables/table51.xml"/><Relationship Id="rId1" Type="http://schemas.openxmlformats.org/officeDocument/2006/relationships/table" Target="../tables/table50.xml"/><Relationship Id="rId6" Type="http://schemas.openxmlformats.org/officeDocument/2006/relationships/table" Target="../tables/table55.xml"/><Relationship Id="rId11" Type="http://schemas.openxmlformats.org/officeDocument/2006/relationships/table" Target="../tables/table60.xml"/><Relationship Id="rId5" Type="http://schemas.openxmlformats.org/officeDocument/2006/relationships/table" Target="../tables/table54.xml"/><Relationship Id="rId10" Type="http://schemas.openxmlformats.org/officeDocument/2006/relationships/table" Target="../tables/table59.xml"/><Relationship Id="rId4" Type="http://schemas.openxmlformats.org/officeDocument/2006/relationships/table" Target="../tables/table53.xml"/><Relationship Id="rId9" Type="http://schemas.openxmlformats.org/officeDocument/2006/relationships/table" Target="../tables/table5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9.xml"/><Relationship Id="rId3" Type="http://schemas.openxmlformats.org/officeDocument/2006/relationships/table" Target="../tables/table64.xml"/><Relationship Id="rId7" Type="http://schemas.openxmlformats.org/officeDocument/2006/relationships/table" Target="../tables/table68.xml"/><Relationship Id="rId2" Type="http://schemas.openxmlformats.org/officeDocument/2006/relationships/table" Target="../tables/table63.xml"/><Relationship Id="rId1" Type="http://schemas.openxmlformats.org/officeDocument/2006/relationships/table" Target="../tables/table62.xml"/><Relationship Id="rId6" Type="http://schemas.openxmlformats.org/officeDocument/2006/relationships/table" Target="../tables/table67.xml"/><Relationship Id="rId5" Type="http://schemas.openxmlformats.org/officeDocument/2006/relationships/table" Target="../tables/table66.xml"/><Relationship Id="rId10" Type="http://schemas.openxmlformats.org/officeDocument/2006/relationships/table" Target="../tables/table71.xml"/><Relationship Id="rId4" Type="http://schemas.openxmlformats.org/officeDocument/2006/relationships/table" Target="../tables/table65.xml"/><Relationship Id="rId9" Type="http://schemas.openxmlformats.org/officeDocument/2006/relationships/table" Target="../tables/table70.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9.xml"/><Relationship Id="rId3" Type="http://schemas.openxmlformats.org/officeDocument/2006/relationships/table" Target="../tables/table74.xml"/><Relationship Id="rId7" Type="http://schemas.openxmlformats.org/officeDocument/2006/relationships/table" Target="../tables/table78.xml"/><Relationship Id="rId12" Type="http://schemas.openxmlformats.org/officeDocument/2006/relationships/table" Target="../tables/table83.xml"/><Relationship Id="rId2" Type="http://schemas.openxmlformats.org/officeDocument/2006/relationships/table" Target="../tables/table73.xml"/><Relationship Id="rId1" Type="http://schemas.openxmlformats.org/officeDocument/2006/relationships/table" Target="../tables/table72.xml"/><Relationship Id="rId6" Type="http://schemas.openxmlformats.org/officeDocument/2006/relationships/table" Target="../tables/table77.xml"/><Relationship Id="rId11" Type="http://schemas.openxmlformats.org/officeDocument/2006/relationships/table" Target="../tables/table82.xml"/><Relationship Id="rId5" Type="http://schemas.openxmlformats.org/officeDocument/2006/relationships/table" Target="../tables/table76.xml"/><Relationship Id="rId10" Type="http://schemas.openxmlformats.org/officeDocument/2006/relationships/table" Target="../tables/table81.xml"/><Relationship Id="rId4" Type="http://schemas.openxmlformats.org/officeDocument/2006/relationships/table" Target="../tables/table75.xml"/><Relationship Id="rId9" Type="http://schemas.openxmlformats.org/officeDocument/2006/relationships/table" Target="../tables/table80.xml"/></Relationships>
</file>

<file path=xl/worksheets/_rels/sheet9.xml.rels><?xml version="1.0" encoding="UTF-8" standalone="yes"?>
<Relationships xmlns="http://schemas.openxmlformats.org/package/2006/relationships"><Relationship Id="rId8" Type="http://schemas.openxmlformats.org/officeDocument/2006/relationships/table" Target="../tables/table91.xml"/><Relationship Id="rId3" Type="http://schemas.openxmlformats.org/officeDocument/2006/relationships/table" Target="../tables/table86.xml"/><Relationship Id="rId7" Type="http://schemas.openxmlformats.org/officeDocument/2006/relationships/table" Target="../tables/table90.xml"/><Relationship Id="rId2" Type="http://schemas.openxmlformats.org/officeDocument/2006/relationships/table" Target="../tables/table85.xml"/><Relationship Id="rId1" Type="http://schemas.openxmlformats.org/officeDocument/2006/relationships/table" Target="../tables/table84.xml"/><Relationship Id="rId6" Type="http://schemas.openxmlformats.org/officeDocument/2006/relationships/table" Target="../tables/table89.xml"/><Relationship Id="rId5" Type="http://schemas.openxmlformats.org/officeDocument/2006/relationships/table" Target="../tables/table88.xml"/><Relationship Id="rId10" Type="http://schemas.openxmlformats.org/officeDocument/2006/relationships/table" Target="../tables/table93.xml"/><Relationship Id="rId4" Type="http://schemas.openxmlformats.org/officeDocument/2006/relationships/table" Target="../tables/table87.xml"/><Relationship Id="rId9" Type="http://schemas.openxmlformats.org/officeDocument/2006/relationships/table" Target="../tables/table9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01.xml"/><Relationship Id="rId3" Type="http://schemas.openxmlformats.org/officeDocument/2006/relationships/table" Target="../tables/table96.xml"/><Relationship Id="rId7" Type="http://schemas.openxmlformats.org/officeDocument/2006/relationships/table" Target="../tables/table100.xml"/><Relationship Id="rId12" Type="http://schemas.openxmlformats.org/officeDocument/2006/relationships/table" Target="../tables/table105.xml"/><Relationship Id="rId2" Type="http://schemas.openxmlformats.org/officeDocument/2006/relationships/table" Target="../tables/table95.xml"/><Relationship Id="rId1" Type="http://schemas.openxmlformats.org/officeDocument/2006/relationships/table" Target="../tables/table94.xml"/><Relationship Id="rId6" Type="http://schemas.openxmlformats.org/officeDocument/2006/relationships/table" Target="../tables/table99.xml"/><Relationship Id="rId11" Type="http://schemas.openxmlformats.org/officeDocument/2006/relationships/table" Target="../tables/table104.xml"/><Relationship Id="rId5" Type="http://schemas.openxmlformats.org/officeDocument/2006/relationships/table" Target="../tables/table98.xml"/><Relationship Id="rId10" Type="http://schemas.openxmlformats.org/officeDocument/2006/relationships/table" Target="../tables/table103.xml"/><Relationship Id="rId4" Type="http://schemas.openxmlformats.org/officeDocument/2006/relationships/table" Target="../tables/table97.xml"/><Relationship Id="rId9" Type="http://schemas.openxmlformats.org/officeDocument/2006/relationships/table" Target="../tables/table102.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13.xml"/><Relationship Id="rId3" Type="http://schemas.openxmlformats.org/officeDocument/2006/relationships/table" Target="../tables/table108.xml"/><Relationship Id="rId7" Type="http://schemas.openxmlformats.org/officeDocument/2006/relationships/table" Target="../tables/table112.xml"/><Relationship Id="rId2" Type="http://schemas.openxmlformats.org/officeDocument/2006/relationships/table" Target="../tables/table107.xml"/><Relationship Id="rId1" Type="http://schemas.openxmlformats.org/officeDocument/2006/relationships/table" Target="../tables/table106.xml"/><Relationship Id="rId6" Type="http://schemas.openxmlformats.org/officeDocument/2006/relationships/table" Target="../tables/table111.xml"/><Relationship Id="rId5" Type="http://schemas.openxmlformats.org/officeDocument/2006/relationships/table" Target="../tables/table110.xml"/><Relationship Id="rId10" Type="http://schemas.openxmlformats.org/officeDocument/2006/relationships/table" Target="../tables/table115.xml"/><Relationship Id="rId4" Type="http://schemas.openxmlformats.org/officeDocument/2006/relationships/table" Target="../tables/table109.xml"/><Relationship Id="rId9" Type="http://schemas.openxmlformats.org/officeDocument/2006/relationships/table" Target="../tables/table114.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3.xml"/><Relationship Id="rId3" Type="http://schemas.openxmlformats.org/officeDocument/2006/relationships/table" Target="../tables/table118.xml"/><Relationship Id="rId7" Type="http://schemas.openxmlformats.org/officeDocument/2006/relationships/table" Target="../tables/table122.xml"/><Relationship Id="rId12" Type="http://schemas.openxmlformats.org/officeDocument/2006/relationships/table" Target="../tables/table127.xml"/><Relationship Id="rId2" Type="http://schemas.openxmlformats.org/officeDocument/2006/relationships/table" Target="../tables/table117.xml"/><Relationship Id="rId1" Type="http://schemas.openxmlformats.org/officeDocument/2006/relationships/table" Target="../tables/table116.xml"/><Relationship Id="rId6" Type="http://schemas.openxmlformats.org/officeDocument/2006/relationships/table" Target="../tables/table121.xml"/><Relationship Id="rId11" Type="http://schemas.openxmlformats.org/officeDocument/2006/relationships/table" Target="../tables/table126.xml"/><Relationship Id="rId5" Type="http://schemas.openxmlformats.org/officeDocument/2006/relationships/table" Target="../tables/table120.xml"/><Relationship Id="rId10" Type="http://schemas.openxmlformats.org/officeDocument/2006/relationships/table" Target="../tables/table125.xml"/><Relationship Id="rId4" Type="http://schemas.openxmlformats.org/officeDocument/2006/relationships/table" Target="../tables/table119.xml"/><Relationship Id="rId9" Type="http://schemas.openxmlformats.org/officeDocument/2006/relationships/table" Target="../tables/table124.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35.xml"/><Relationship Id="rId3" Type="http://schemas.openxmlformats.org/officeDocument/2006/relationships/table" Target="../tables/table130.xml"/><Relationship Id="rId7" Type="http://schemas.openxmlformats.org/officeDocument/2006/relationships/table" Target="../tables/table134.xml"/><Relationship Id="rId2" Type="http://schemas.openxmlformats.org/officeDocument/2006/relationships/table" Target="../tables/table129.xml"/><Relationship Id="rId1" Type="http://schemas.openxmlformats.org/officeDocument/2006/relationships/table" Target="../tables/table128.xml"/><Relationship Id="rId6" Type="http://schemas.openxmlformats.org/officeDocument/2006/relationships/table" Target="../tables/table133.xml"/><Relationship Id="rId11" Type="http://schemas.openxmlformats.org/officeDocument/2006/relationships/table" Target="../tables/table138.xml"/><Relationship Id="rId5" Type="http://schemas.openxmlformats.org/officeDocument/2006/relationships/table" Target="../tables/table132.xml"/><Relationship Id="rId10" Type="http://schemas.openxmlformats.org/officeDocument/2006/relationships/table" Target="../tables/table137.xml"/><Relationship Id="rId4" Type="http://schemas.openxmlformats.org/officeDocument/2006/relationships/table" Target="../tables/table131.xml"/><Relationship Id="rId9" Type="http://schemas.openxmlformats.org/officeDocument/2006/relationships/table" Target="../tables/table136.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1.xml"/><Relationship Id="rId2" Type="http://schemas.openxmlformats.org/officeDocument/2006/relationships/table" Target="../tables/table140.xml"/><Relationship Id="rId1" Type="http://schemas.openxmlformats.org/officeDocument/2006/relationships/table" Target="../tables/table139.xml"/><Relationship Id="rId4" Type="http://schemas.openxmlformats.org/officeDocument/2006/relationships/table" Target="../tables/table142.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49.xml"/><Relationship Id="rId3" Type="http://schemas.openxmlformats.org/officeDocument/2006/relationships/table" Target="../tables/table144.xml"/><Relationship Id="rId7" Type="http://schemas.openxmlformats.org/officeDocument/2006/relationships/table" Target="../tables/table148.xml"/><Relationship Id="rId2" Type="http://schemas.openxmlformats.org/officeDocument/2006/relationships/table" Target="../tables/table143.xml"/><Relationship Id="rId1" Type="http://schemas.openxmlformats.org/officeDocument/2006/relationships/drawing" Target="../drawings/drawing1.xml"/><Relationship Id="rId6" Type="http://schemas.openxmlformats.org/officeDocument/2006/relationships/table" Target="../tables/table147.xml"/><Relationship Id="rId5" Type="http://schemas.openxmlformats.org/officeDocument/2006/relationships/table" Target="../tables/table146.xml"/><Relationship Id="rId4" Type="http://schemas.openxmlformats.org/officeDocument/2006/relationships/table" Target="../tables/table145.xml"/><Relationship Id="rId9" Type="http://schemas.openxmlformats.org/officeDocument/2006/relationships/table" Target="../tables/table15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3.xml"/><Relationship Id="rId2" Type="http://schemas.openxmlformats.org/officeDocument/2006/relationships/table" Target="../tables/table152.xml"/><Relationship Id="rId1" Type="http://schemas.openxmlformats.org/officeDocument/2006/relationships/table" Target="../tables/table151.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61.xml"/><Relationship Id="rId3" Type="http://schemas.openxmlformats.org/officeDocument/2006/relationships/table" Target="../tables/table156.xml"/><Relationship Id="rId7" Type="http://schemas.openxmlformats.org/officeDocument/2006/relationships/table" Target="../tables/table160.xml"/><Relationship Id="rId2" Type="http://schemas.openxmlformats.org/officeDocument/2006/relationships/table" Target="../tables/table155.xml"/><Relationship Id="rId1" Type="http://schemas.openxmlformats.org/officeDocument/2006/relationships/table" Target="../tables/table154.xml"/><Relationship Id="rId6" Type="http://schemas.openxmlformats.org/officeDocument/2006/relationships/table" Target="../tables/table159.xml"/><Relationship Id="rId5" Type="http://schemas.openxmlformats.org/officeDocument/2006/relationships/table" Target="../tables/table158.xml"/><Relationship Id="rId4" Type="http://schemas.openxmlformats.org/officeDocument/2006/relationships/table" Target="../tables/table15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64.xml"/><Relationship Id="rId2" Type="http://schemas.openxmlformats.org/officeDocument/2006/relationships/table" Target="../tables/table163.xml"/><Relationship Id="rId1" Type="http://schemas.openxmlformats.org/officeDocument/2006/relationships/table" Target="../tables/table162.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67.xml"/><Relationship Id="rId2" Type="http://schemas.openxmlformats.org/officeDocument/2006/relationships/table" Target="../tables/table166.xml"/><Relationship Id="rId1" Type="http://schemas.openxmlformats.org/officeDocument/2006/relationships/table" Target="../tables/table165.xml"/><Relationship Id="rId4" Type="http://schemas.openxmlformats.org/officeDocument/2006/relationships/table" Target="../tables/table168.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175.xml"/><Relationship Id="rId3" Type="http://schemas.openxmlformats.org/officeDocument/2006/relationships/table" Target="../tables/table170.xml"/><Relationship Id="rId7" Type="http://schemas.openxmlformats.org/officeDocument/2006/relationships/table" Target="../tables/table174.xml"/><Relationship Id="rId2" Type="http://schemas.openxmlformats.org/officeDocument/2006/relationships/table" Target="../tables/table169.xml"/><Relationship Id="rId1" Type="http://schemas.openxmlformats.org/officeDocument/2006/relationships/drawing" Target="../drawings/drawing4.xml"/><Relationship Id="rId6" Type="http://schemas.openxmlformats.org/officeDocument/2006/relationships/table" Target="../tables/table173.xml"/><Relationship Id="rId5" Type="http://schemas.openxmlformats.org/officeDocument/2006/relationships/table" Target="../tables/table172.xml"/><Relationship Id="rId4" Type="http://schemas.openxmlformats.org/officeDocument/2006/relationships/table" Target="../tables/table171.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77.xml"/><Relationship Id="rId1" Type="http://schemas.openxmlformats.org/officeDocument/2006/relationships/table" Target="../tables/table176.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180.xml"/><Relationship Id="rId2" Type="http://schemas.openxmlformats.org/officeDocument/2006/relationships/table" Target="../tables/table179.xml"/><Relationship Id="rId1" Type="http://schemas.openxmlformats.org/officeDocument/2006/relationships/table" Target="../tables/table178.xml"/><Relationship Id="rId5" Type="http://schemas.openxmlformats.org/officeDocument/2006/relationships/table" Target="../tables/table182.xml"/><Relationship Id="rId4" Type="http://schemas.openxmlformats.org/officeDocument/2006/relationships/table" Target="../tables/table18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26"/>
  <sheetViews>
    <sheetView tabSelected="1" workbookViewId="0"/>
  </sheetViews>
  <sheetFormatPr defaultRowHeight="14.4" x14ac:dyDescent="0.3"/>
  <cols>
    <col min="1" max="1" width="13.5546875" style="1" customWidth="1"/>
    <col min="2" max="2" width="36.109375" style="2" bestFit="1" customWidth="1"/>
    <col min="3" max="3" width="10.5546875" style="2" bestFit="1" customWidth="1"/>
    <col min="4" max="4" width="11" style="7" bestFit="1" customWidth="1"/>
    <col min="5" max="5" width="12.33203125" style="5" bestFit="1" customWidth="1"/>
    <col min="6" max="6" width="10.5546875" style="2" bestFit="1" customWidth="1"/>
    <col min="7" max="7" width="8.88671875" style="2"/>
    <col min="8" max="16384" width="8.88671875" style="1"/>
  </cols>
  <sheetData>
    <row r="1" spans="1:6" x14ac:dyDescent="0.3">
      <c r="A1" s="3" t="s">
        <v>8</v>
      </c>
      <c r="B1" s="6" t="s">
        <v>9</v>
      </c>
      <c r="C1" s="4" t="s">
        <v>10</v>
      </c>
      <c r="D1" s="8" t="s">
        <v>11</v>
      </c>
      <c r="E1" s="4" t="s">
        <v>12</v>
      </c>
      <c r="F1" s="4" t="s">
        <v>13</v>
      </c>
    </row>
    <row r="2" spans="1:6" x14ac:dyDescent="0.3">
      <c r="A2" s="3" t="s">
        <v>0</v>
      </c>
      <c r="B2" s="6" t="s">
        <v>3</v>
      </c>
      <c r="C2" s="4" t="s">
        <v>15</v>
      </c>
      <c r="D2" s="10" t="s">
        <v>16</v>
      </c>
      <c r="E2" s="5">
        <f>'[1]Balance Sheet-Banks'!$B$75</f>
        <v>582958.80000000005</v>
      </c>
      <c r="F2" s="4" t="str">
        <f>IF(VALUE(D2)&gt;2024,"Forecast","Actual")</f>
        <v>Actual</v>
      </c>
    </row>
    <row r="3" spans="1:6" x14ac:dyDescent="0.3">
      <c r="A3" s="3" t="s">
        <v>0</v>
      </c>
      <c r="B3" s="6" t="s">
        <v>3</v>
      </c>
      <c r="C3" s="4" t="s">
        <v>15</v>
      </c>
      <c r="D3" s="9" t="s">
        <v>17</v>
      </c>
      <c r="E3" s="5">
        <f>'[1]Balance Sheet-Banks'!$C$75</f>
        <v>625749.9</v>
      </c>
      <c r="F3" s="4" t="str">
        <f t="shared" ref="F3:F23" si="0">IF(VALUE(D3)&gt;2024,"Forecast","Actual")</f>
        <v>Actual</v>
      </c>
    </row>
    <row r="4" spans="1:6" x14ac:dyDescent="0.3">
      <c r="A4" s="3" t="s">
        <v>0</v>
      </c>
      <c r="B4" s="6" t="s">
        <v>3</v>
      </c>
      <c r="C4" s="4" t="s">
        <v>15</v>
      </c>
      <c r="D4" s="9" t="s">
        <v>18</v>
      </c>
      <c r="E4" s="5">
        <f>'[1]Balance Sheet-Banks'!$D$75</f>
        <v>725125.5</v>
      </c>
      <c r="F4" s="4" t="str">
        <f t="shared" si="0"/>
        <v>Actual</v>
      </c>
    </row>
    <row r="5" spans="1:6" x14ac:dyDescent="0.3">
      <c r="A5" s="3" t="s">
        <v>0</v>
      </c>
      <c r="B5" s="6" t="s">
        <v>3</v>
      </c>
      <c r="C5" s="4" t="s">
        <v>15</v>
      </c>
      <c r="D5" s="9" t="s">
        <v>19</v>
      </c>
      <c r="E5" s="5">
        <f>'[1]Balance Sheet-Banks'!$E$75</f>
        <v>868387.54</v>
      </c>
      <c r="F5" s="4" t="str">
        <f t="shared" si="0"/>
        <v>Actual</v>
      </c>
    </row>
    <row r="6" spans="1:6" x14ac:dyDescent="0.3">
      <c r="A6" s="3" t="s">
        <v>0</v>
      </c>
      <c r="B6" s="6" t="s">
        <v>3</v>
      </c>
      <c r="C6" s="4" t="s">
        <v>15</v>
      </c>
      <c r="D6" s="9" t="s">
        <v>20</v>
      </c>
      <c r="E6" s="5">
        <f>'[1]Balance Sheet-Banks'!$F$75</f>
        <v>999333.47999999986</v>
      </c>
      <c r="F6" s="4" t="str">
        <f t="shared" si="0"/>
        <v>Actual</v>
      </c>
    </row>
    <row r="7" spans="1:6" x14ac:dyDescent="0.3">
      <c r="A7" s="3" t="s">
        <v>0</v>
      </c>
      <c r="B7" s="6" t="s">
        <v>3</v>
      </c>
      <c r="C7" s="4" t="s">
        <v>15</v>
      </c>
      <c r="D7" s="9" t="s">
        <v>21</v>
      </c>
      <c r="E7" s="5">
        <f>'[1]Financial Projections'!$D$5</f>
        <v>1113076.3431270414</v>
      </c>
      <c r="F7" s="4" t="str">
        <f t="shared" si="0"/>
        <v>Forecast</v>
      </c>
    </row>
    <row r="8" spans="1:6" x14ac:dyDescent="0.3">
      <c r="A8" s="3" t="s">
        <v>0</v>
      </c>
      <c r="B8" s="6" t="s">
        <v>3</v>
      </c>
      <c r="C8" s="4" t="s">
        <v>15</v>
      </c>
      <c r="D8" s="9" t="s">
        <v>22</v>
      </c>
      <c r="E8" s="5">
        <f>'[1]Financial Projections'!$E$5</f>
        <v>1239765.2739794801</v>
      </c>
      <c r="F8" s="4" t="str">
        <f t="shared" si="0"/>
        <v>Forecast</v>
      </c>
    </row>
    <row r="9" spans="1:6" x14ac:dyDescent="0.3">
      <c r="A9" s="3" t="s">
        <v>0</v>
      </c>
      <c r="B9" s="6" t="s">
        <v>3</v>
      </c>
      <c r="C9" s="4" t="s">
        <v>15</v>
      </c>
      <c r="D9" s="9" t="s">
        <v>23</v>
      </c>
      <c r="E9" s="5">
        <f>'[1]Financial Projections'!$F$5</f>
        <v>1380873.7774871453</v>
      </c>
      <c r="F9" s="4" t="str">
        <f t="shared" si="0"/>
        <v>Forecast</v>
      </c>
    </row>
    <row r="10" spans="1:6" x14ac:dyDescent="0.3">
      <c r="A10" s="3" t="s">
        <v>0</v>
      </c>
      <c r="B10" s="6" t="s">
        <v>3</v>
      </c>
      <c r="C10" s="4" t="s">
        <v>15</v>
      </c>
      <c r="D10" s="9" t="s">
        <v>24</v>
      </c>
      <c r="E10" s="5">
        <f>'[1]Financial Projections'!$G$5</f>
        <v>1538043.0710331206</v>
      </c>
      <c r="F10" s="4" t="str">
        <f t="shared" si="0"/>
        <v>Forecast</v>
      </c>
    </row>
    <row r="11" spans="1:6" x14ac:dyDescent="0.3">
      <c r="A11" s="3" t="s">
        <v>0</v>
      </c>
      <c r="B11" s="6" t="s">
        <v>3</v>
      </c>
      <c r="C11" s="4" t="s">
        <v>15</v>
      </c>
      <c r="D11" s="9" t="s">
        <v>25</v>
      </c>
      <c r="E11" s="5">
        <f>'[1]Financial Projections'!$H$5</f>
        <v>1713101.1732714393</v>
      </c>
      <c r="F11" s="4" t="str">
        <f t="shared" si="0"/>
        <v>Forecast</v>
      </c>
    </row>
    <row r="12" spans="1:6" x14ac:dyDescent="0.3">
      <c r="A12" s="3" t="s">
        <v>0</v>
      </c>
      <c r="B12" s="6" t="s">
        <v>3</v>
      </c>
      <c r="C12" s="4" t="s">
        <v>15</v>
      </c>
      <c r="D12" s="9" t="s">
        <v>26</v>
      </c>
      <c r="E12" s="5">
        <f>'[1]Financial Projections'!$I$5</f>
        <v>1908084.1656096801</v>
      </c>
      <c r="F12" s="4" t="str">
        <f t="shared" si="0"/>
        <v>Forecast</v>
      </c>
    </row>
    <row r="13" spans="1:6" x14ac:dyDescent="0.3">
      <c r="A13" s="3" t="s">
        <v>0</v>
      </c>
      <c r="B13" s="6" t="s">
        <v>1</v>
      </c>
      <c r="C13" s="4" t="s">
        <v>15</v>
      </c>
      <c r="D13" s="8" t="s">
        <v>16</v>
      </c>
      <c r="E13" s="5">
        <f>'[1]Balance Sheet-Banks'!$G$75</f>
        <v>1043670.83</v>
      </c>
      <c r="F13" s="4" t="str">
        <f t="shared" si="0"/>
        <v>Actual</v>
      </c>
    </row>
    <row r="14" spans="1:6" x14ac:dyDescent="0.3">
      <c r="A14" s="3" t="s">
        <v>0</v>
      </c>
      <c r="B14" s="6" t="s">
        <v>1</v>
      </c>
      <c r="C14" s="4" t="s">
        <v>15</v>
      </c>
      <c r="D14" s="8" t="s">
        <v>17</v>
      </c>
      <c r="E14" s="5">
        <f>'[1]Balance Sheet-Banks'!$H$75</f>
        <v>1185283.4889999998</v>
      </c>
      <c r="F14" s="4" t="str">
        <f t="shared" si="0"/>
        <v>Actual</v>
      </c>
    </row>
    <row r="15" spans="1:6" x14ac:dyDescent="0.3">
      <c r="A15" s="3" t="s">
        <v>0</v>
      </c>
      <c r="B15" s="6" t="s">
        <v>1</v>
      </c>
      <c r="C15" s="4" t="s">
        <v>15</v>
      </c>
      <c r="D15" s="8" t="s">
        <v>18</v>
      </c>
      <c r="E15" s="5">
        <f>'[1]Balance Sheet-Banks'!$I$75</f>
        <v>1420942.2800000003</v>
      </c>
      <c r="F15" s="4" t="str">
        <f t="shared" si="0"/>
        <v>Actual</v>
      </c>
    </row>
    <row r="16" spans="1:6" x14ac:dyDescent="0.3">
      <c r="A16" s="3" t="s">
        <v>0</v>
      </c>
      <c r="B16" s="6" t="s">
        <v>1</v>
      </c>
      <c r="C16" s="4" t="s">
        <v>15</v>
      </c>
      <c r="D16" s="8" t="s">
        <v>19</v>
      </c>
      <c r="E16" s="5">
        <f>'[1]Balance Sheet-Banks'!$J$75</f>
        <v>1661949.29</v>
      </c>
      <c r="F16" s="4" t="str">
        <f t="shared" si="0"/>
        <v>Actual</v>
      </c>
    </row>
    <row r="17" spans="1:6" x14ac:dyDescent="0.3">
      <c r="A17" s="3" t="s">
        <v>0</v>
      </c>
      <c r="B17" s="6" t="s">
        <v>1</v>
      </c>
      <c r="C17" s="4" t="s">
        <v>15</v>
      </c>
      <c r="D17" s="8" t="s">
        <v>20</v>
      </c>
      <c r="E17" s="5">
        <f>'[1]Balance Sheet-Banks'!$K$75</f>
        <v>2565891.4</v>
      </c>
      <c r="F17" s="4" t="str">
        <f t="shared" si="0"/>
        <v>Actual</v>
      </c>
    </row>
    <row r="18" spans="1:6" x14ac:dyDescent="0.3">
      <c r="A18" s="3" t="s">
        <v>0</v>
      </c>
      <c r="B18" s="6" t="s">
        <v>1</v>
      </c>
      <c r="C18" s="4" t="s">
        <v>15</v>
      </c>
      <c r="D18" s="8" t="s">
        <v>21</v>
      </c>
      <c r="E18" s="5">
        <f>'[1]Financial Projections'!$M$5</f>
        <v>3071660.5237216875</v>
      </c>
      <c r="F18" s="4" t="str">
        <f t="shared" si="0"/>
        <v>Forecast</v>
      </c>
    </row>
    <row r="19" spans="1:6" x14ac:dyDescent="0.3">
      <c r="A19" s="3" t="s">
        <v>0</v>
      </c>
      <c r="B19" s="6" t="s">
        <v>1</v>
      </c>
      <c r="C19" s="4" t="s">
        <v>15</v>
      </c>
      <c r="D19" s="8" t="s">
        <v>22</v>
      </c>
      <c r="E19" s="5">
        <f>'[1]Financial Projections'!$N$5</f>
        <v>3677123.0352890976</v>
      </c>
      <c r="F19" s="4" t="str">
        <f t="shared" si="0"/>
        <v>Forecast</v>
      </c>
    </row>
    <row r="20" spans="1:6" x14ac:dyDescent="0.3">
      <c r="A20" s="3" t="s">
        <v>0</v>
      </c>
      <c r="B20" s="6" t="s">
        <v>1</v>
      </c>
      <c r="C20" s="4" t="s">
        <v>15</v>
      </c>
      <c r="D20" s="8" t="s">
        <v>23</v>
      </c>
      <c r="E20" s="5">
        <f>'[1]Financial Projections'!$O$5</f>
        <v>4401929.741985647</v>
      </c>
      <c r="F20" s="4" t="str">
        <f t="shared" si="0"/>
        <v>Forecast</v>
      </c>
    </row>
    <row r="21" spans="1:6" x14ac:dyDescent="0.3">
      <c r="A21" s="3" t="s">
        <v>0</v>
      </c>
      <c r="B21" s="6" t="s">
        <v>1</v>
      </c>
      <c r="C21" s="4" t="s">
        <v>15</v>
      </c>
      <c r="D21" s="8" t="s">
        <v>24</v>
      </c>
      <c r="E21" s="5">
        <f>'[1]Financial Projections'!$P$5</f>
        <v>5269604.8697359934</v>
      </c>
      <c r="F21" s="4" t="str">
        <f t="shared" si="0"/>
        <v>Forecast</v>
      </c>
    </row>
    <row r="22" spans="1:6" x14ac:dyDescent="0.3">
      <c r="A22" s="3" t="s">
        <v>0</v>
      </c>
      <c r="B22" s="6" t="s">
        <v>1</v>
      </c>
      <c r="C22" s="4" t="s">
        <v>15</v>
      </c>
      <c r="D22" s="8" t="s">
        <v>25</v>
      </c>
      <c r="E22" s="5">
        <f>'[1]Financial Projections'!$Q$5</f>
        <v>6308309.5621192763</v>
      </c>
      <c r="F22" s="4" t="str">
        <f t="shared" si="0"/>
        <v>Forecast</v>
      </c>
    </row>
    <row r="23" spans="1:6" x14ac:dyDescent="0.3">
      <c r="A23" s="3" t="s">
        <v>0</v>
      </c>
      <c r="B23" s="6" t="s">
        <v>1</v>
      </c>
      <c r="C23" s="4" t="s">
        <v>15</v>
      </c>
      <c r="D23" s="8" t="s">
        <v>26</v>
      </c>
      <c r="E23" s="5">
        <f>'[1]Financial Projections'!$R$5</f>
        <v>7551755.8745385045</v>
      </c>
      <c r="F23" s="4" t="str">
        <f t="shared" si="0"/>
        <v>Forecast</v>
      </c>
    </row>
    <row r="24" spans="1:6" x14ac:dyDescent="0.3">
      <c r="A24" s="3" t="s">
        <v>0</v>
      </c>
      <c r="B24" s="6" t="s">
        <v>2</v>
      </c>
      <c r="C24" s="4" t="s">
        <v>15</v>
      </c>
      <c r="D24" s="8">
        <v>2020</v>
      </c>
      <c r="E24" s="5">
        <f>'[1]Balance Sheet-Banks'!$L$75</f>
        <v>706246.08569999994</v>
      </c>
      <c r="F24" s="4" t="str">
        <f>IF(VALUE(D24)&gt;2024,"Forecast","Actual")</f>
        <v>Actual</v>
      </c>
    </row>
    <row r="25" spans="1:6" x14ac:dyDescent="0.3">
      <c r="A25" s="3" t="s">
        <v>0</v>
      </c>
      <c r="B25" s="6" t="s">
        <v>2</v>
      </c>
      <c r="C25" s="4" t="s">
        <v>15</v>
      </c>
      <c r="D25" s="8" t="s">
        <v>17</v>
      </c>
      <c r="E25" s="5">
        <f>'[1]Balance Sheet-Banks'!$M$75</f>
        <v>733729.03999999992</v>
      </c>
      <c r="F25" s="4" t="str">
        <f>IF(VALUE(D25)&gt;2024,"Forecast","Actual")</f>
        <v>Actual</v>
      </c>
    </row>
    <row r="26" spans="1:6" x14ac:dyDescent="0.3">
      <c r="A26" s="3" t="s">
        <v>0</v>
      </c>
      <c r="B26" s="6" t="s">
        <v>2</v>
      </c>
      <c r="C26" s="4" t="s">
        <v>15</v>
      </c>
      <c r="D26" s="8" t="s">
        <v>18</v>
      </c>
      <c r="E26" s="5">
        <f>'[1]Balance Sheet-Banks'!$N$75</f>
        <v>859020.4</v>
      </c>
      <c r="F26" s="4" t="str">
        <f>IF(VALUE(D26)&gt;2024,"Forecast","Actual")</f>
        <v>Actual</v>
      </c>
    </row>
    <row r="27" spans="1:6" x14ac:dyDescent="0.3">
      <c r="A27" s="3" t="s">
        <v>0</v>
      </c>
      <c r="B27" s="6" t="s">
        <v>2</v>
      </c>
      <c r="C27" s="4" t="s">
        <v>15</v>
      </c>
      <c r="D27" s="8" t="s">
        <v>19</v>
      </c>
      <c r="E27" s="5">
        <f>'[1]Balance Sheet-Banks'!$O$75</f>
        <v>1083866.26</v>
      </c>
      <c r="F27" s="4" t="str">
        <f>IF(VALUE(D27)&gt;2024,"Forecast","Actual")</f>
        <v>Actual</v>
      </c>
    </row>
    <row r="28" spans="1:6" x14ac:dyDescent="0.3">
      <c r="A28" s="3" t="s">
        <v>0</v>
      </c>
      <c r="B28" s="6" t="s">
        <v>2</v>
      </c>
      <c r="C28" s="4" t="s">
        <v>15</v>
      </c>
      <c r="D28" s="8" t="s">
        <v>20</v>
      </c>
      <c r="E28" s="5">
        <f>'[1]Balance Sheet-Banks'!$P$75</f>
        <v>1260776.17</v>
      </c>
      <c r="F28" s="4" t="str">
        <f t="shared" ref="F28:F34" si="1">IF(VALUE(D28)&gt;2024,"Forecast","Actual")</f>
        <v>Actual</v>
      </c>
    </row>
    <row r="29" spans="1:6" x14ac:dyDescent="0.3">
      <c r="A29" s="3" t="s">
        <v>0</v>
      </c>
      <c r="B29" s="6" t="s">
        <v>2</v>
      </c>
      <c r="C29" s="4" t="s">
        <v>15</v>
      </c>
      <c r="D29" s="8" t="s">
        <v>21</v>
      </c>
      <c r="E29" s="5">
        <f>'[1]Financial Projections'!$V$5</f>
        <v>1415710.2588467074</v>
      </c>
      <c r="F29" s="4" t="str">
        <f t="shared" si="1"/>
        <v>Forecast</v>
      </c>
    </row>
    <row r="30" spans="1:6" x14ac:dyDescent="0.3">
      <c r="A30" s="3" t="s">
        <v>0</v>
      </c>
      <c r="B30" s="6" t="s">
        <v>2</v>
      </c>
      <c r="C30" s="4" t="s">
        <v>15</v>
      </c>
      <c r="D30" s="8" t="s">
        <v>22</v>
      </c>
      <c r="E30" s="5">
        <f>'[1]Financial Projections'!$W$5</f>
        <v>1589683.8667277566</v>
      </c>
      <c r="F30" s="4" t="str">
        <f t="shared" si="1"/>
        <v>Forecast</v>
      </c>
    </row>
    <row r="31" spans="1:6" x14ac:dyDescent="0.3">
      <c r="A31" s="3" t="s">
        <v>0</v>
      </c>
      <c r="B31" s="6" t="s">
        <v>2</v>
      </c>
      <c r="C31" s="4" t="s">
        <v>15</v>
      </c>
      <c r="D31" s="8" t="s">
        <v>23</v>
      </c>
      <c r="E31" s="5">
        <f>'[1]Financial Projections'!$X$5</f>
        <v>1785036.7194436956</v>
      </c>
      <c r="F31" s="4" t="str">
        <f t="shared" si="1"/>
        <v>Forecast</v>
      </c>
    </row>
    <row r="32" spans="1:6" x14ac:dyDescent="0.3">
      <c r="A32" s="3" t="s">
        <v>0</v>
      </c>
      <c r="B32" s="6" t="s">
        <v>2</v>
      </c>
      <c r="C32" s="4" t="s">
        <v>15</v>
      </c>
      <c r="D32" s="8" t="s">
        <v>24</v>
      </c>
      <c r="E32" s="5">
        <f>'[1]Financial Projections'!$Y$5</f>
        <v>2004396.0666979549</v>
      </c>
      <c r="F32" s="4" t="str">
        <f t="shared" si="1"/>
        <v>Forecast</v>
      </c>
    </row>
    <row r="33" spans="1:6" x14ac:dyDescent="0.3">
      <c r="A33" s="3" t="s">
        <v>0</v>
      </c>
      <c r="B33" s="6" t="s">
        <v>2</v>
      </c>
      <c r="C33" s="4" t="s">
        <v>15</v>
      </c>
      <c r="D33" s="8" t="s">
        <v>25</v>
      </c>
      <c r="E33" s="5">
        <f>'[1]Financial Projections'!$Z$5</f>
        <v>2250712.0152947404</v>
      </c>
      <c r="F33" s="4" t="str">
        <f t="shared" si="1"/>
        <v>Forecast</v>
      </c>
    </row>
    <row r="34" spans="1:6" x14ac:dyDescent="0.3">
      <c r="A34" s="3" t="s">
        <v>0</v>
      </c>
      <c r="B34" s="6" t="s">
        <v>2</v>
      </c>
      <c r="C34" s="4" t="s">
        <v>15</v>
      </c>
      <c r="D34" s="8" t="s">
        <v>26</v>
      </c>
      <c r="E34" s="5">
        <f>'[1]Financial Projections'!$AA$5</f>
        <v>2527297.2043580995</v>
      </c>
      <c r="F34" s="4" t="str">
        <f t="shared" si="1"/>
        <v>Forecast</v>
      </c>
    </row>
    <row r="35" spans="1:6" x14ac:dyDescent="0.3">
      <c r="A35" s="3" t="s">
        <v>0</v>
      </c>
      <c r="B35" s="6" t="s">
        <v>4</v>
      </c>
      <c r="C35" s="4" t="s">
        <v>15</v>
      </c>
      <c r="D35" s="8" t="s">
        <v>16</v>
      </c>
      <c r="E35" s="5">
        <f>'[1]Balance Sheet-Banks'!$Q$75</f>
        <v>2374311.1500000004</v>
      </c>
      <c r="F35" s="4" t="str">
        <f>IF(VALUE(D35)&gt;2024,"Forecast","Actual")</f>
        <v>Actual</v>
      </c>
    </row>
    <row r="36" spans="1:6" x14ac:dyDescent="0.3">
      <c r="A36" s="3" t="s">
        <v>0</v>
      </c>
      <c r="B36" s="6" t="s">
        <v>4</v>
      </c>
      <c r="C36" s="4" t="s">
        <v>15</v>
      </c>
      <c r="D36" s="8" t="s">
        <v>17</v>
      </c>
      <c r="E36" s="5">
        <f>'[1]Balance Sheet-Banks'!$R$75</f>
        <v>2500598.9677999998</v>
      </c>
      <c r="F36" s="4" t="str">
        <f>IF(VALUE(D36)&gt;2024,"Forecast","Actual")</f>
        <v>Actual</v>
      </c>
    </row>
    <row r="37" spans="1:6" x14ac:dyDescent="0.3">
      <c r="A37" s="3" t="s">
        <v>0</v>
      </c>
      <c r="B37" s="6" t="s">
        <v>4</v>
      </c>
      <c r="C37" s="4" t="s">
        <v>15</v>
      </c>
      <c r="D37" s="8" t="s">
        <v>18</v>
      </c>
      <c r="E37" s="5">
        <f>'[1]Balance Sheet-Banks'!$S$75</f>
        <v>2794075.9758000001</v>
      </c>
      <c r="F37" s="4" t="str">
        <f>IF(VALUE(D37)&gt;2024,"Forecast","Actual")</f>
        <v>Actual</v>
      </c>
    </row>
    <row r="38" spans="1:6" x14ac:dyDescent="0.3">
      <c r="A38" s="3" t="s">
        <v>0</v>
      </c>
      <c r="B38" s="6" t="s">
        <v>4</v>
      </c>
      <c r="C38" s="4" t="s">
        <v>15</v>
      </c>
      <c r="D38" s="8" t="s">
        <v>19</v>
      </c>
      <c r="E38" s="5">
        <f>'[1]Balance Sheet-Banks'!$T$75</f>
        <v>3267902.1236</v>
      </c>
      <c r="F38" s="4" t="str">
        <f>IF(VALUE(D38)&gt;2024,"Forecast","Actual")</f>
        <v>Actual</v>
      </c>
    </row>
    <row r="39" spans="1:6" x14ac:dyDescent="0.3">
      <c r="A39" s="3" t="s">
        <v>0</v>
      </c>
      <c r="B39" s="6" t="s">
        <v>4</v>
      </c>
      <c r="C39" s="4" t="s">
        <v>15</v>
      </c>
      <c r="D39" s="8" t="s">
        <v>20</v>
      </c>
      <c r="E39" s="5">
        <f>'[1]Balance Sheet-Banks'!$U$75</f>
        <v>3784272.6676000003</v>
      </c>
      <c r="F39" s="4" t="str">
        <f t="shared" ref="F39:F45" si="2">IF(VALUE(D39)&gt;2024,"Forecast","Actual")</f>
        <v>Actual</v>
      </c>
    </row>
    <row r="40" spans="1:6" x14ac:dyDescent="0.3">
      <c r="A40" s="3" t="s">
        <v>0</v>
      </c>
      <c r="B40" s="6" t="s">
        <v>4</v>
      </c>
      <c r="C40" s="4" t="s">
        <v>15</v>
      </c>
      <c r="D40" s="8" t="s">
        <v>21</v>
      </c>
      <c r="E40" s="5">
        <f>'[1]Financial Projections'!$AE$5</f>
        <v>4154046.7403928745</v>
      </c>
      <c r="F40" s="4" t="str">
        <f t="shared" si="2"/>
        <v>Forecast</v>
      </c>
    </row>
    <row r="41" spans="1:6" x14ac:dyDescent="0.3">
      <c r="A41" s="3" t="s">
        <v>0</v>
      </c>
      <c r="B41" s="6" t="s">
        <v>4</v>
      </c>
      <c r="C41" s="4" t="s">
        <v>15</v>
      </c>
      <c r="D41" s="8" t="s">
        <v>22</v>
      </c>
      <c r="E41" s="5">
        <f>'[1]Financial Projections'!$AF$5</f>
        <v>4559952.6876356276</v>
      </c>
      <c r="F41" s="4" t="str">
        <f t="shared" si="2"/>
        <v>Forecast</v>
      </c>
    </row>
    <row r="42" spans="1:6" x14ac:dyDescent="0.3">
      <c r="A42" s="3" t="s">
        <v>0</v>
      </c>
      <c r="B42" s="6" t="s">
        <v>4</v>
      </c>
      <c r="C42" s="4" t="s">
        <v>15</v>
      </c>
      <c r="D42" s="8" t="s">
        <v>23</v>
      </c>
      <c r="E42" s="5">
        <f>'[1]Financial Projections'!$AG$5</f>
        <v>5005521.0769026736</v>
      </c>
      <c r="F42" s="4" t="str">
        <f t="shared" si="2"/>
        <v>Forecast</v>
      </c>
    </row>
    <row r="43" spans="1:6" x14ac:dyDescent="0.3">
      <c r="A43" s="3" t="s">
        <v>0</v>
      </c>
      <c r="B43" s="6" t="s">
        <v>4</v>
      </c>
      <c r="C43" s="4" t="s">
        <v>15</v>
      </c>
      <c r="D43" s="8" t="s">
        <v>24</v>
      </c>
      <c r="E43" s="5">
        <f>'[1]Financial Projections'!$AH$5</f>
        <v>5494627.4594590692</v>
      </c>
      <c r="F43" s="4" t="str">
        <f t="shared" si="2"/>
        <v>Forecast</v>
      </c>
    </row>
    <row r="44" spans="1:6" x14ac:dyDescent="0.3">
      <c r="A44" s="3" t="s">
        <v>0</v>
      </c>
      <c r="B44" s="6" t="s">
        <v>4</v>
      </c>
      <c r="C44" s="4" t="s">
        <v>15</v>
      </c>
      <c r="D44" s="8" t="s">
        <v>25</v>
      </c>
      <c r="E44" s="5">
        <f>'[1]Financial Projections'!$AI$5</f>
        <v>6031526.0797829321</v>
      </c>
      <c r="F44" s="4" t="str">
        <f t="shared" si="2"/>
        <v>Forecast</v>
      </c>
    </row>
    <row r="45" spans="1:6" x14ac:dyDescent="0.3">
      <c r="A45" s="3" t="s">
        <v>0</v>
      </c>
      <c r="B45" s="6" t="s">
        <v>4</v>
      </c>
      <c r="C45" s="4" t="s">
        <v>15</v>
      </c>
      <c r="D45" s="8" t="s">
        <v>26</v>
      </c>
      <c r="E45" s="5">
        <f>'[1]Financial Projections'!$AJ$5</f>
        <v>6620886.8789592348</v>
      </c>
      <c r="F45" s="4" t="str">
        <f t="shared" si="2"/>
        <v>Forecast</v>
      </c>
    </row>
    <row r="46" spans="1:6" x14ac:dyDescent="0.3">
      <c r="A46" s="3" t="s">
        <v>0</v>
      </c>
      <c r="B46" s="6" t="s">
        <v>6</v>
      </c>
      <c r="C46" s="4" t="s">
        <v>15</v>
      </c>
      <c r="D46" s="8" t="s">
        <v>16</v>
      </c>
      <c r="E46" s="5">
        <f>'[1]Balance Sheet-NBFCs'!$B$27</f>
        <v>27975.41</v>
      </c>
      <c r="F46" s="4" t="str">
        <f>IF(VALUE(D46)&gt;2024,"Forecast","Actual")</f>
        <v>Actual</v>
      </c>
    </row>
    <row r="47" spans="1:6" x14ac:dyDescent="0.3">
      <c r="A47" s="3" t="s">
        <v>0</v>
      </c>
      <c r="B47" s="6" t="s">
        <v>6</v>
      </c>
      <c r="C47" s="4" t="s">
        <v>15</v>
      </c>
      <c r="D47" s="8" t="s">
        <v>17</v>
      </c>
      <c r="E47" s="5">
        <f>'[1]Balance Sheet-NBFCs'!$C$27</f>
        <v>33418.9</v>
      </c>
      <c r="F47" s="4" t="str">
        <f>IF(VALUE(D47)&gt;2024,"Forecast","Actual")</f>
        <v>Actual</v>
      </c>
    </row>
    <row r="48" spans="1:6" x14ac:dyDescent="0.3">
      <c r="A48" s="3" t="s">
        <v>0</v>
      </c>
      <c r="B48" s="6" t="s">
        <v>6</v>
      </c>
      <c r="C48" s="4" t="s">
        <v>15</v>
      </c>
      <c r="D48" s="8" t="s">
        <v>18</v>
      </c>
      <c r="E48" s="5">
        <f>'[1]Balance Sheet-NBFCs'!$D$27</f>
        <v>46482.07</v>
      </c>
      <c r="F48" s="4" t="str">
        <f t="shared" ref="F48:F56" si="3">IF(VALUE(D48)&gt;2024,"Forecast","Actual")</f>
        <v>Actual</v>
      </c>
    </row>
    <row r="49" spans="1:6" x14ac:dyDescent="0.3">
      <c r="A49" s="3" t="s">
        <v>0</v>
      </c>
      <c r="B49" s="6" t="s">
        <v>6</v>
      </c>
      <c r="C49" s="4" t="s">
        <v>15</v>
      </c>
      <c r="D49" s="8" t="s">
        <v>19</v>
      </c>
      <c r="E49" s="5">
        <f>'[1]Balance Sheet-NBFCs'!$E$27</f>
        <v>62113.89</v>
      </c>
      <c r="F49" s="4" t="str">
        <f t="shared" si="3"/>
        <v>Actual</v>
      </c>
    </row>
    <row r="50" spans="1:6" x14ac:dyDescent="0.3">
      <c r="A50" s="3" t="s">
        <v>0</v>
      </c>
      <c r="B50" s="6" t="s">
        <v>6</v>
      </c>
      <c r="C50" s="4" t="s">
        <v>15</v>
      </c>
      <c r="D50" s="8" t="s">
        <v>20</v>
      </c>
      <c r="E50" s="5">
        <f>'[1]Balance Sheet-NBFCs'!$F$27</f>
        <v>79300.75</v>
      </c>
      <c r="F50" s="4" t="str">
        <f t="shared" si="3"/>
        <v>Actual</v>
      </c>
    </row>
    <row r="51" spans="1:6" x14ac:dyDescent="0.3">
      <c r="A51" s="3" t="s">
        <v>0</v>
      </c>
      <c r="B51" s="6" t="s">
        <v>6</v>
      </c>
      <c r="C51" s="4" t="s">
        <v>15</v>
      </c>
      <c r="D51" s="8" t="s">
        <v>21</v>
      </c>
      <c r="E51" s="5">
        <f>'[1]Financial Projections'!$AN$5</f>
        <v>97673.659974016409</v>
      </c>
      <c r="F51" s="4" t="str">
        <f t="shared" si="3"/>
        <v>Forecast</v>
      </c>
    </row>
    <row r="52" spans="1:6" x14ac:dyDescent="0.3">
      <c r="A52" s="3" t="s">
        <v>0</v>
      </c>
      <c r="B52" s="6" t="s">
        <v>6</v>
      </c>
      <c r="C52" s="4" t="s">
        <v>15</v>
      </c>
      <c r="D52" s="8" t="s">
        <v>22</v>
      </c>
      <c r="E52" s="5">
        <f>'[1]Financial Projections'!$AO$5</f>
        <v>120303.32440386471</v>
      </c>
      <c r="F52" s="4" t="str">
        <f t="shared" si="3"/>
        <v>Forecast</v>
      </c>
    </row>
    <row r="53" spans="1:6" x14ac:dyDescent="0.3">
      <c r="A53" s="3" t="s">
        <v>0</v>
      </c>
      <c r="B53" s="6" t="s">
        <v>6</v>
      </c>
      <c r="C53" s="4" t="s">
        <v>15</v>
      </c>
      <c r="D53" s="8" t="s">
        <v>23</v>
      </c>
      <c r="E53" s="5">
        <f>'[1]Financial Projections'!$AP$5</f>
        <v>148175.97565681121</v>
      </c>
      <c r="F53" s="4" t="str">
        <f t="shared" si="3"/>
        <v>Forecast</v>
      </c>
    </row>
    <row r="54" spans="1:6" x14ac:dyDescent="0.3">
      <c r="A54" s="3" t="s">
        <v>0</v>
      </c>
      <c r="B54" s="6" t="s">
        <v>6</v>
      </c>
      <c r="C54" s="4" t="s">
        <v>15</v>
      </c>
      <c r="D54" s="8" t="s">
        <v>24</v>
      </c>
      <c r="E54" s="5">
        <f>'[1]Financial Projections'!$AQ$5</f>
        <v>182506.34278517554</v>
      </c>
      <c r="F54" s="4" t="str">
        <f t="shared" si="3"/>
        <v>Forecast</v>
      </c>
    </row>
    <row r="55" spans="1:6" x14ac:dyDescent="0.3">
      <c r="A55" s="3" t="s">
        <v>0</v>
      </c>
      <c r="B55" s="6" t="s">
        <v>6</v>
      </c>
      <c r="C55" s="4" t="s">
        <v>15</v>
      </c>
      <c r="D55" s="8" t="s">
        <v>25</v>
      </c>
      <c r="E55" s="5">
        <f>'[1]Financial Projections'!$AR$5</f>
        <v>224790.59111421416</v>
      </c>
      <c r="F55" s="4" t="str">
        <f t="shared" si="3"/>
        <v>Forecast</v>
      </c>
    </row>
    <row r="56" spans="1:6" x14ac:dyDescent="0.3">
      <c r="A56" s="3" t="s">
        <v>0</v>
      </c>
      <c r="B56" s="6" t="s">
        <v>6</v>
      </c>
      <c r="C56" s="4" t="s">
        <v>15</v>
      </c>
      <c r="D56" s="8" t="s">
        <v>26</v>
      </c>
      <c r="E56" s="5">
        <f>'[1]Financial Projections'!$AS$5</f>
        <v>276871.52721566829</v>
      </c>
      <c r="F56" s="4" t="str">
        <f t="shared" si="3"/>
        <v>Forecast</v>
      </c>
    </row>
    <row r="57" spans="1:6" x14ac:dyDescent="0.3">
      <c r="A57" s="3" t="s">
        <v>0</v>
      </c>
      <c r="B57" s="6" t="s">
        <v>5</v>
      </c>
      <c r="C57" s="4" t="s">
        <v>15</v>
      </c>
      <c r="D57" s="8" t="s">
        <v>16</v>
      </c>
      <c r="E57" s="5">
        <f>'[1]Balance Sheet-NBFCs'!$G$27</f>
        <v>141376.04999999999</v>
      </c>
      <c r="F57" s="4" t="str">
        <f>IF(VALUE(D57)&gt;2024,"Forecast","Actual")</f>
        <v>Actual</v>
      </c>
    </row>
    <row r="58" spans="1:6" x14ac:dyDescent="0.3">
      <c r="A58" s="3" t="s">
        <v>0</v>
      </c>
      <c r="B58" s="6" t="s">
        <v>5</v>
      </c>
      <c r="C58" s="4" t="s">
        <v>15</v>
      </c>
      <c r="D58" s="8" t="s">
        <v>17</v>
      </c>
      <c r="E58" s="5">
        <f>'[1]Balance Sheet-NBFCs'!$H$27</f>
        <v>146686.87</v>
      </c>
      <c r="F58" s="4" t="str">
        <f>IF(VALUE(D58)&gt;2024,"Forecast","Actual")</f>
        <v>Actual</v>
      </c>
    </row>
    <row r="59" spans="1:6" x14ac:dyDescent="0.3">
      <c r="A59" s="3" t="s">
        <v>0</v>
      </c>
      <c r="B59" s="6" t="s">
        <v>5</v>
      </c>
      <c r="C59" s="4" t="s">
        <v>15</v>
      </c>
      <c r="D59" s="8" t="s">
        <v>18</v>
      </c>
      <c r="E59" s="5">
        <f>'[1]Balance Sheet-NBFCs'!$I$27</f>
        <v>191423.25</v>
      </c>
      <c r="F59" s="4" t="str">
        <f t="shared" ref="F59:F67" si="4">IF(VALUE(D59)&gt;2024,"Forecast","Actual")</f>
        <v>Actual</v>
      </c>
    </row>
    <row r="60" spans="1:6" x14ac:dyDescent="0.3">
      <c r="A60" s="3" t="s">
        <v>0</v>
      </c>
      <c r="B60" s="6" t="s">
        <v>5</v>
      </c>
      <c r="C60" s="4" t="s">
        <v>15</v>
      </c>
      <c r="D60" s="8" t="s">
        <v>19</v>
      </c>
      <c r="E60" s="5">
        <f>'[1]Balance Sheet-NBFCs'!$J$27</f>
        <v>242268.93</v>
      </c>
      <c r="F60" s="4" t="str">
        <f t="shared" si="4"/>
        <v>Actual</v>
      </c>
    </row>
    <row r="61" spans="1:6" x14ac:dyDescent="0.3">
      <c r="A61" s="3" t="s">
        <v>0</v>
      </c>
      <c r="B61" s="6" t="s">
        <v>5</v>
      </c>
      <c r="C61" s="4" t="s">
        <v>15</v>
      </c>
      <c r="D61" s="8" t="s">
        <v>20</v>
      </c>
      <c r="E61" s="5">
        <f>'[1]Balance Sheet-NBFCs'!$K$27</f>
        <v>326293.32</v>
      </c>
      <c r="F61" s="4" t="str">
        <f t="shared" si="4"/>
        <v>Actual</v>
      </c>
    </row>
    <row r="62" spans="1:6" x14ac:dyDescent="0.3">
      <c r="A62" s="3" t="s">
        <v>0</v>
      </c>
      <c r="B62" s="6" t="s">
        <v>5</v>
      </c>
      <c r="C62" s="4" t="s">
        <v>15</v>
      </c>
      <c r="D62" s="8" t="s">
        <v>21</v>
      </c>
      <c r="E62" s="5">
        <f>'[1]Financial Projections'!$AW$5</f>
        <v>385704.45108491846</v>
      </c>
      <c r="F62" s="4" t="str">
        <f t="shared" si="4"/>
        <v>Forecast</v>
      </c>
    </row>
    <row r="63" spans="1:6" x14ac:dyDescent="0.3">
      <c r="A63" s="3" t="s">
        <v>0</v>
      </c>
      <c r="B63" s="6" t="s">
        <v>5</v>
      </c>
      <c r="C63" s="4" t="s">
        <v>15</v>
      </c>
      <c r="D63" s="8" t="s">
        <v>22</v>
      </c>
      <c r="E63" s="5">
        <f>'[1]Financial Projections'!$AX$5</f>
        <v>455933.09598467493</v>
      </c>
      <c r="F63" s="4" t="str">
        <f t="shared" si="4"/>
        <v>Forecast</v>
      </c>
    </row>
    <row r="64" spans="1:6" x14ac:dyDescent="0.3">
      <c r="A64" s="3" t="s">
        <v>0</v>
      </c>
      <c r="B64" s="6" t="s">
        <v>5</v>
      </c>
      <c r="C64" s="4" t="s">
        <v>15</v>
      </c>
      <c r="D64" s="8" t="s">
        <v>23</v>
      </c>
      <c r="E64" s="5">
        <f>'[1]Financial Projections'!$AY$5</f>
        <v>538948.89579172654</v>
      </c>
      <c r="F64" s="4" t="str">
        <f t="shared" si="4"/>
        <v>Forecast</v>
      </c>
    </row>
    <row r="65" spans="1:6" x14ac:dyDescent="0.3">
      <c r="A65" s="3" t="s">
        <v>0</v>
      </c>
      <c r="B65" s="6" t="s">
        <v>5</v>
      </c>
      <c r="C65" s="4" t="s">
        <v>15</v>
      </c>
      <c r="D65" s="8" t="s">
        <v>24</v>
      </c>
      <c r="E65" s="5">
        <f>'[1]Financial Projections'!$AZ$5</f>
        <v>637080.12169593538</v>
      </c>
      <c r="F65" s="4" t="str">
        <f t="shared" si="4"/>
        <v>Forecast</v>
      </c>
    </row>
    <row r="66" spans="1:6" x14ac:dyDescent="0.3">
      <c r="A66" s="3" t="s">
        <v>0</v>
      </c>
      <c r="B66" s="6" t="s">
        <v>5</v>
      </c>
      <c r="C66" s="4" t="s">
        <v>15</v>
      </c>
      <c r="D66" s="8" t="s">
        <v>25</v>
      </c>
      <c r="E66" s="5">
        <f>'[1]Financial Projections'!$BA$5</f>
        <v>753078.97396074119</v>
      </c>
      <c r="F66" s="4" t="str">
        <f t="shared" si="4"/>
        <v>Forecast</v>
      </c>
    </row>
    <row r="67" spans="1:6" x14ac:dyDescent="0.3">
      <c r="A67" s="3" t="s">
        <v>0</v>
      </c>
      <c r="B67" s="6" t="s">
        <v>5</v>
      </c>
      <c r="C67" s="4" t="s">
        <v>15</v>
      </c>
      <c r="D67" s="8" t="s">
        <v>26</v>
      </c>
      <c r="E67" s="5">
        <f>'[1]Financial Projections'!$BB$5</f>
        <v>890198.77046554699</v>
      </c>
      <c r="F67" s="4" t="str">
        <f t="shared" si="4"/>
        <v>Forecast</v>
      </c>
    </row>
    <row r="68" spans="1:6" x14ac:dyDescent="0.3">
      <c r="A68" s="3" t="s">
        <v>0</v>
      </c>
      <c r="B68" s="6" t="s">
        <v>7</v>
      </c>
      <c r="C68" s="4" t="s">
        <v>15</v>
      </c>
      <c r="D68" s="8" t="s">
        <v>16</v>
      </c>
      <c r="E68" s="5">
        <f>'[1]Balance Sheet-NBFCs'!$L$27</f>
        <v>470677.41</v>
      </c>
      <c r="F68" s="4" t="str">
        <f>IF(VALUE(D68)&gt;2024,"Forecast","Actual")</f>
        <v>Actual</v>
      </c>
    </row>
    <row r="69" spans="1:6" x14ac:dyDescent="0.3">
      <c r="A69" s="3" t="s">
        <v>0</v>
      </c>
      <c r="B69" s="6" t="s">
        <v>7</v>
      </c>
      <c r="C69" s="4" t="s">
        <v>15</v>
      </c>
      <c r="D69" s="8" t="s">
        <v>17</v>
      </c>
      <c r="E69" s="5">
        <f>'[1]Balance Sheet-NBFCs'!$M$27</f>
        <v>588085.17000000004</v>
      </c>
      <c r="F69" s="4" t="str">
        <f>IF(VALUE(D69)&gt;2024,"Forecast","Actual")</f>
        <v>Actual</v>
      </c>
    </row>
    <row r="70" spans="1:6" x14ac:dyDescent="0.3">
      <c r="A70" s="3" t="s">
        <v>0</v>
      </c>
      <c r="B70" s="6" t="s">
        <v>7</v>
      </c>
      <c r="C70" s="4" t="s">
        <v>15</v>
      </c>
      <c r="D70" s="8" t="s">
        <v>18</v>
      </c>
      <c r="E70" s="5">
        <f>'[1]Balance Sheet-NBFCs'!$N$27</f>
        <v>645276.41</v>
      </c>
      <c r="F70" s="4" t="str">
        <f t="shared" ref="F70:F78" si="5">IF(VALUE(D70)&gt;2024,"Forecast","Actual")</f>
        <v>Actual</v>
      </c>
    </row>
    <row r="71" spans="1:6" x14ac:dyDescent="0.3">
      <c r="A71" s="3" t="s">
        <v>0</v>
      </c>
      <c r="B71" s="6" t="s">
        <v>7</v>
      </c>
      <c r="C71" s="4" t="s">
        <v>15</v>
      </c>
      <c r="D71" s="8" t="s">
        <v>19</v>
      </c>
      <c r="E71" s="5">
        <f>'[1]Balance Sheet-NBFCs'!$O$27</f>
        <v>705543.84</v>
      </c>
      <c r="F71" s="4" t="str">
        <f t="shared" si="5"/>
        <v>Actual</v>
      </c>
    </row>
    <row r="72" spans="1:6" x14ac:dyDescent="0.3">
      <c r="A72" s="3" t="s">
        <v>0</v>
      </c>
      <c r="B72" s="6" t="s">
        <v>7</v>
      </c>
      <c r="C72" s="4" t="s">
        <v>15</v>
      </c>
      <c r="D72" s="8" t="s">
        <v>20</v>
      </c>
      <c r="E72" s="5">
        <f>'[1]Balance Sheet-NBFCs'!$P$27</f>
        <v>881871.71</v>
      </c>
      <c r="F72" s="4" t="str">
        <f t="shared" si="5"/>
        <v>Actual</v>
      </c>
    </row>
    <row r="73" spans="1:6" x14ac:dyDescent="0.3">
      <c r="A73" s="3" t="s">
        <v>0</v>
      </c>
      <c r="B73" s="6" t="s">
        <v>7</v>
      </c>
      <c r="C73" s="4" t="s">
        <v>15</v>
      </c>
      <c r="D73" s="8" t="s">
        <v>21</v>
      </c>
      <c r="E73" s="5">
        <f>'[1]Financial Projections'!$BF$5</f>
        <v>999866.04930453282</v>
      </c>
      <c r="F73" s="4" t="str">
        <f t="shared" si="5"/>
        <v>Forecast</v>
      </c>
    </row>
    <row r="74" spans="1:6" x14ac:dyDescent="0.3">
      <c r="A74" s="3" t="s">
        <v>0</v>
      </c>
      <c r="B74" s="6" t="s">
        <v>7</v>
      </c>
      <c r="C74" s="4" t="s">
        <v>15</v>
      </c>
      <c r="D74" s="8" t="s">
        <v>22</v>
      </c>
      <c r="E74" s="5">
        <f>'[1]Financial Projections'!$BG$5</f>
        <v>1133648.0184309967</v>
      </c>
      <c r="F74" s="4" t="str">
        <f t="shared" si="5"/>
        <v>Forecast</v>
      </c>
    </row>
    <row r="75" spans="1:6" x14ac:dyDescent="0.3">
      <c r="A75" s="3" t="s">
        <v>0</v>
      </c>
      <c r="B75" s="6" t="s">
        <v>7</v>
      </c>
      <c r="C75" s="4" t="s">
        <v>15</v>
      </c>
      <c r="D75" s="8" t="s">
        <v>23</v>
      </c>
      <c r="E75" s="5">
        <f>'[1]Financial Projections'!$BH$5</f>
        <v>1285330.0005400025</v>
      </c>
      <c r="F75" s="4" t="str">
        <f t="shared" si="5"/>
        <v>Forecast</v>
      </c>
    </row>
    <row r="76" spans="1:6" x14ac:dyDescent="0.3">
      <c r="A76" s="3" t="s">
        <v>0</v>
      </c>
      <c r="B76" s="6" t="s">
        <v>7</v>
      </c>
      <c r="C76" s="4" t="s">
        <v>15</v>
      </c>
      <c r="D76" s="8" t="s">
        <v>24</v>
      </c>
      <c r="E76" s="5">
        <f>'[1]Financial Projections'!$BI$5</f>
        <v>1457307.0154303117</v>
      </c>
      <c r="F76" s="4" t="str">
        <f t="shared" si="5"/>
        <v>Forecast</v>
      </c>
    </row>
    <row r="77" spans="1:6" x14ac:dyDescent="0.3">
      <c r="A77" s="3" t="s">
        <v>0</v>
      </c>
      <c r="B77" s="6" t="s">
        <v>7</v>
      </c>
      <c r="C77" s="4" t="s">
        <v>15</v>
      </c>
      <c r="D77" s="8" t="s">
        <v>25</v>
      </c>
      <c r="E77" s="5">
        <f>'[1]Financial Projections'!$BJ$5</f>
        <v>1652294.5362904153</v>
      </c>
      <c r="F77" s="4" t="str">
        <f t="shared" si="5"/>
        <v>Forecast</v>
      </c>
    </row>
    <row r="78" spans="1:6" x14ac:dyDescent="0.3">
      <c r="A78" s="3" t="s">
        <v>0</v>
      </c>
      <c r="B78" s="6" t="s">
        <v>7</v>
      </c>
      <c r="C78" s="4" t="s">
        <v>15</v>
      </c>
      <c r="D78" s="8" t="s">
        <v>26</v>
      </c>
      <c r="E78" s="5">
        <f>'[1]Financial Projections'!$BK$5</f>
        <v>1873371.3663273796</v>
      </c>
      <c r="F78" s="4" t="str">
        <f t="shared" si="5"/>
        <v>Forecast</v>
      </c>
    </row>
    <row r="79" spans="1:6" x14ac:dyDescent="0.3">
      <c r="A79" s="3" t="s">
        <v>0</v>
      </c>
      <c r="B79" s="6" t="s">
        <v>3</v>
      </c>
      <c r="C79" s="4" t="s">
        <v>14</v>
      </c>
      <c r="D79" s="8" t="s">
        <v>16</v>
      </c>
      <c r="E79" s="5">
        <f>'[1]Income Statement-Banks'!$B$7-'[1]Income Statement-Banks'!$B$9</f>
        <v>42061.729999999996</v>
      </c>
      <c r="F79" s="4" t="str">
        <f>IF(VALUE(D79)&gt;2024,"Forecast","Actual")</f>
        <v>Actual</v>
      </c>
    </row>
    <row r="80" spans="1:6" x14ac:dyDescent="0.3">
      <c r="A80" s="3" t="s">
        <v>0</v>
      </c>
      <c r="B80" s="6" t="s">
        <v>3</v>
      </c>
      <c r="C80" s="4" t="s">
        <v>14</v>
      </c>
      <c r="D80" s="8" t="s">
        <v>17</v>
      </c>
      <c r="E80" s="5">
        <f>'[1]Income Statement-Banks'!$C$7-'[1]Income Statement-Banks'!$C$9</f>
        <v>43346.9</v>
      </c>
      <c r="F80" s="4" t="str">
        <f>IF(VALUE(D80)&gt;2024,"Forecast","Actual")</f>
        <v>Actual</v>
      </c>
    </row>
    <row r="81" spans="1:6" x14ac:dyDescent="0.3">
      <c r="A81" s="3" t="s">
        <v>0</v>
      </c>
      <c r="B81" s="6" t="s">
        <v>3</v>
      </c>
      <c r="C81" s="4" t="s">
        <v>14</v>
      </c>
      <c r="D81" s="8" t="s">
        <v>18</v>
      </c>
      <c r="E81" s="5">
        <f>'[1]Income Statement-Banks'!$D$7-'[1]Income Statement-Banks'!$D$9</f>
        <v>51191.53</v>
      </c>
      <c r="F81" s="4" t="str">
        <f t="shared" ref="F81:F89" si="6">IF(VALUE(D81)&gt;2024,"Forecast","Actual")</f>
        <v>Actual</v>
      </c>
    </row>
    <row r="82" spans="1:6" x14ac:dyDescent="0.3">
      <c r="A82" s="3" t="s">
        <v>0</v>
      </c>
      <c r="B82" s="6" t="s">
        <v>3</v>
      </c>
      <c r="C82" s="4" t="s">
        <v>14</v>
      </c>
      <c r="D82" s="8" t="s">
        <v>19</v>
      </c>
      <c r="E82" s="5">
        <f>'[1]Income Statement-Banks'!$E$7-'[1]Income Statement-Banks'!$E$9</f>
        <v>62408.149999999987</v>
      </c>
      <c r="F82" s="4" t="str">
        <f t="shared" si="6"/>
        <v>Actual</v>
      </c>
    </row>
    <row r="83" spans="1:6" x14ac:dyDescent="0.3">
      <c r="A83" s="3" t="s">
        <v>0</v>
      </c>
      <c r="B83" s="6" t="s">
        <v>3</v>
      </c>
      <c r="C83" s="4" t="s">
        <v>14</v>
      </c>
      <c r="D83" s="8" t="s">
        <v>20</v>
      </c>
      <c r="E83" s="5">
        <f>'[1]Income Statement-Banks'!$F$7-'[1]Income Statement-Banks'!$F$9</f>
        <v>76598.620000000024</v>
      </c>
      <c r="F83" s="4" t="str">
        <f t="shared" si="6"/>
        <v>Actual</v>
      </c>
    </row>
    <row r="84" spans="1:6" x14ac:dyDescent="0.3">
      <c r="A84" s="3" t="s">
        <v>0</v>
      </c>
      <c r="B84" s="6" t="s">
        <v>3</v>
      </c>
      <c r="C84" s="4" t="s">
        <v>14</v>
      </c>
      <c r="D84" s="8" t="s">
        <v>21</v>
      </c>
      <c r="E84" s="5">
        <f>'[1]Financial Projections'!$D$8</f>
        <v>86510.209591432169</v>
      </c>
      <c r="F84" s="4" t="str">
        <f t="shared" si="6"/>
        <v>Forecast</v>
      </c>
    </row>
    <row r="85" spans="1:6" x14ac:dyDescent="0.3">
      <c r="A85" s="3" t="s">
        <v>0</v>
      </c>
      <c r="B85" s="6" t="s">
        <v>3</v>
      </c>
      <c r="C85" s="4" t="s">
        <v>14</v>
      </c>
      <c r="D85" s="8" t="s">
        <v>22</v>
      </c>
      <c r="E85" s="5">
        <f>'[1]Financial Projections'!$E$8</f>
        <v>97760.527157166594</v>
      </c>
      <c r="F85" s="4" t="str">
        <f t="shared" si="6"/>
        <v>Forecast</v>
      </c>
    </row>
    <row r="86" spans="1:6" x14ac:dyDescent="0.3">
      <c r="A86" s="3" t="s">
        <v>0</v>
      </c>
      <c r="B86" s="6" t="s">
        <v>3</v>
      </c>
      <c r="C86" s="4" t="s">
        <v>14</v>
      </c>
      <c r="D86" s="8" t="s">
        <v>23</v>
      </c>
      <c r="E86" s="5">
        <f>'[1]Financial Projections'!$F$8</f>
        <v>110536.23905754853</v>
      </c>
      <c r="F86" s="4" t="str">
        <f t="shared" si="6"/>
        <v>Forecast</v>
      </c>
    </row>
    <row r="87" spans="1:6" x14ac:dyDescent="0.3">
      <c r="A87" s="3" t="s">
        <v>0</v>
      </c>
      <c r="B87" s="6" t="s">
        <v>3</v>
      </c>
      <c r="C87" s="4" t="s">
        <v>14</v>
      </c>
      <c r="D87" s="8" t="s">
        <v>24</v>
      </c>
      <c r="E87" s="5">
        <f>'[1]Financial Projections'!$G$8</f>
        <v>125050.62262987698</v>
      </c>
      <c r="F87" s="4" t="str">
        <f t="shared" si="6"/>
        <v>Forecast</v>
      </c>
    </row>
    <row r="88" spans="1:6" x14ac:dyDescent="0.3">
      <c r="A88" s="3" t="s">
        <v>0</v>
      </c>
      <c r="B88" s="6" t="s">
        <v>3</v>
      </c>
      <c r="C88" s="4" t="s">
        <v>14</v>
      </c>
      <c r="D88" s="8" t="s">
        <v>25</v>
      </c>
      <c r="E88" s="5">
        <f>'[1]Financial Projections'!$H$8</f>
        <v>141547.41612594799</v>
      </c>
      <c r="F88" s="4" t="str">
        <f t="shared" si="6"/>
        <v>Forecast</v>
      </c>
    </row>
    <row r="89" spans="1:6" x14ac:dyDescent="0.3">
      <c r="A89" s="3" t="s">
        <v>0</v>
      </c>
      <c r="B89" s="6" t="s">
        <v>3</v>
      </c>
      <c r="C89" s="4" t="s">
        <v>14</v>
      </c>
      <c r="D89" s="8" t="s">
        <v>26</v>
      </c>
      <c r="E89" s="5">
        <f>'[1]Financial Projections'!$I$8</f>
        <v>160305.23095632804</v>
      </c>
      <c r="F89" s="4" t="str">
        <f t="shared" si="6"/>
        <v>Forecast</v>
      </c>
    </row>
    <row r="90" spans="1:6" x14ac:dyDescent="0.3">
      <c r="A90" s="3" t="s">
        <v>0</v>
      </c>
      <c r="B90" s="6" t="s">
        <v>1</v>
      </c>
      <c r="C90" s="4" t="s">
        <v>14</v>
      </c>
      <c r="D90" s="8" t="s">
        <v>16</v>
      </c>
      <c r="E90" s="5">
        <f>'[1]Income Statement-Banks'!$G$7-'[1]Income Statement-Banks'!$G$9</f>
        <v>84930.844700000016</v>
      </c>
      <c r="F90" s="4" t="str">
        <f>IF(VALUE(D90)&gt;2024,"Forecast","Actual")</f>
        <v>Actual</v>
      </c>
    </row>
    <row r="91" spans="1:6" x14ac:dyDescent="0.3">
      <c r="A91" s="3" t="s">
        <v>0</v>
      </c>
      <c r="B91" s="6" t="s">
        <v>1</v>
      </c>
      <c r="C91" s="4" t="s">
        <v>14</v>
      </c>
      <c r="D91" s="8" t="s">
        <v>17</v>
      </c>
      <c r="E91" s="5">
        <f>'[1]Income Statement-Banks'!$H$7-'[1]Income Statement-Banks'!$H$9</f>
        <v>96637.693699999989</v>
      </c>
      <c r="F91" s="4" t="str">
        <f>IF(VALUE(D91)&gt;2024,"Forecast","Actual")</f>
        <v>Actual</v>
      </c>
    </row>
    <row r="92" spans="1:6" x14ac:dyDescent="0.3">
      <c r="A92" s="3" t="s">
        <v>0</v>
      </c>
      <c r="B92" s="6" t="s">
        <v>1</v>
      </c>
      <c r="C92" s="4" t="s">
        <v>14</v>
      </c>
      <c r="D92" s="8" t="s">
        <v>18</v>
      </c>
      <c r="E92" s="5">
        <f>'[1]Income Statement-Banks'!$I$7-'[1]Income Statement-Banks'!$I$9</f>
        <v>109111.06999999999</v>
      </c>
      <c r="F92" s="4" t="str">
        <f t="shared" ref="F92:F100" si="7">IF(VALUE(D92)&gt;2024,"Forecast","Actual")</f>
        <v>Actual</v>
      </c>
    </row>
    <row r="93" spans="1:6" x14ac:dyDescent="0.3">
      <c r="A93" s="3" t="s">
        <v>0</v>
      </c>
      <c r="B93" s="6" t="s">
        <v>1</v>
      </c>
      <c r="C93" s="4" t="s">
        <v>14</v>
      </c>
      <c r="D93" s="8" t="s">
        <v>19</v>
      </c>
      <c r="E93" s="5">
        <f>'[1]Income Statement-Banks'!$J$7-'[1]Income Statement-Banks'!$J$9</f>
        <v>126886.15999999997</v>
      </c>
      <c r="F93" s="4" t="str">
        <f t="shared" si="7"/>
        <v>Actual</v>
      </c>
    </row>
    <row r="94" spans="1:6" x14ac:dyDescent="0.3">
      <c r="A94" s="3" t="s">
        <v>0</v>
      </c>
      <c r="B94" s="6" t="s">
        <v>1</v>
      </c>
      <c r="C94" s="4" t="s">
        <v>14</v>
      </c>
      <c r="D94" s="8" t="s">
        <v>20</v>
      </c>
      <c r="E94" s="5">
        <f>'[1]Income Statement-Banks'!$K$7-'[1]Income Statement-Banks'!$K$9</f>
        <v>253856.22000000003</v>
      </c>
      <c r="F94" s="4" t="str">
        <f t="shared" si="7"/>
        <v>Actual</v>
      </c>
    </row>
    <row r="95" spans="1:6" x14ac:dyDescent="0.3">
      <c r="A95" s="3" t="s">
        <v>0</v>
      </c>
      <c r="B95" s="6" t="s">
        <v>1</v>
      </c>
      <c r="C95" s="4" t="s">
        <v>14</v>
      </c>
      <c r="D95" s="8" t="s">
        <v>21</v>
      </c>
      <c r="E95" s="5">
        <f>'[1]Financial Projections'!$M$8</f>
        <v>322579.03726990544</v>
      </c>
      <c r="F95" s="4" t="str">
        <f t="shared" si="7"/>
        <v>Forecast</v>
      </c>
    </row>
    <row r="96" spans="1:6" x14ac:dyDescent="0.3">
      <c r="A96" s="3" t="s">
        <v>0</v>
      </c>
      <c r="B96" s="6" t="s">
        <v>1</v>
      </c>
      <c r="C96" s="4" t="s">
        <v>14</v>
      </c>
      <c r="D96" s="8" t="s">
        <v>22</v>
      </c>
      <c r="E96" s="5">
        <f>'[1]Financial Projections'!$N$8</f>
        <v>412796.9389600954</v>
      </c>
      <c r="F96" s="4" t="str">
        <f t="shared" si="7"/>
        <v>Forecast</v>
      </c>
    </row>
    <row r="97" spans="1:6" x14ac:dyDescent="0.3">
      <c r="A97" s="3" t="s">
        <v>0</v>
      </c>
      <c r="B97" s="6" t="s">
        <v>1</v>
      </c>
      <c r="C97" s="4" t="s">
        <v>14</v>
      </c>
      <c r="D97" s="8" t="s">
        <v>23</v>
      </c>
      <c r="E97" s="5">
        <f>'[1]Financial Projections'!$O$8</f>
        <v>531906.6750605742</v>
      </c>
      <c r="F97" s="4" t="str">
        <f t="shared" si="7"/>
        <v>Forecast</v>
      </c>
    </row>
    <row r="98" spans="1:6" x14ac:dyDescent="0.3">
      <c r="A98" s="3" t="s">
        <v>0</v>
      </c>
      <c r="B98" s="6" t="s">
        <v>1</v>
      </c>
      <c r="C98" s="4" t="s">
        <v>14</v>
      </c>
      <c r="D98" s="8" t="s">
        <v>24</v>
      </c>
      <c r="E98" s="5">
        <f>'[1]Financial Projections'!$P$8</f>
        <v>689986.14179837157</v>
      </c>
      <c r="F98" s="4" t="str">
        <f t="shared" si="7"/>
        <v>Forecast</v>
      </c>
    </row>
    <row r="99" spans="1:6" x14ac:dyDescent="0.3">
      <c r="A99" s="3" t="s">
        <v>0</v>
      </c>
      <c r="B99" s="6" t="s">
        <v>1</v>
      </c>
      <c r="C99" s="4" t="s">
        <v>14</v>
      </c>
      <c r="D99" s="8" t="s">
        <v>25</v>
      </c>
      <c r="E99" s="5">
        <f>'[1]Financial Projections'!$Q$8</f>
        <v>900791.12977349851</v>
      </c>
      <c r="F99" s="4" t="str">
        <f t="shared" si="7"/>
        <v>Forecast</v>
      </c>
    </row>
    <row r="100" spans="1:6" x14ac:dyDescent="0.3">
      <c r="A100" s="3" t="s">
        <v>0</v>
      </c>
      <c r="B100" s="6" t="s">
        <v>1</v>
      </c>
      <c r="C100" s="4" t="s">
        <v>14</v>
      </c>
      <c r="D100" s="8" t="s">
        <v>26</v>
      </c>
      <c r="E100" s="5">
        <f>'[1]Financial Projections'!$R$8</f>
        <v>1183126.957374325</v>
      </c>
      <c r="F100" s="4" t="str">
        <f t="shared" si="7"/>
        <v>Forecast</v>
      </c>
    </row>
    <row r="101" spans="1:6" x14ac:dyDescent="0.3">
      <c r="A101" s="3" t="s">
        <v>0</v>
      </c>
      <c r="B101" s="6" t="s">
        <v>2</v>
      </c>
      <c r="C101" s="4" t="s">
        <v>14</v>
      </c>
      <c r="D101" s="8" t="s">
        <v>16</v>
      </c>
      <c r="E101" s="5">
        <f>'[1]Income Statement-Banks'!$L$7-'[1]Income Statement-Banks'!$L$9</f>
        <v>105120.5809</v>
      </c>
      <c r="F101" s="4" t="str">
        <f>IF(VALUE(D101)&gt;2024,"Forecast","Actual")</f>
        <v>Actual</v>
      </c>
    </row>
    <row r="102" spans="1:6" x14ac:dyDescent="0.3">
      <c r="A102" s="3" t="s">
        <v>0</v>
      </c>
      <c r="B102" s="6" t="s">
        <v>2</v>
      </c>
      <c r="C102" s="4" t="s">
        <v>14</v>
      </c>
      <c r="D102" s="8" t="s">
        <v>17</v>
      </c>
      <c r="E102" s="5">
        <f>'[1]Income Statement-Banks'!$M$7-'[1]Income Statement-Banks'!$M$9</f>
        <v>57957.961000000003</v>
      </c>
      <c r="F102" s="4" t="str">
        <f>IF(VALUE(D102)&gt;2024,"Forecast","Actual")</f>
        <v>Actual</v>
      </c>
    </row>
    <row r="103" spans="1:6" x14ac:dyDescent="0.3">
      <c r="A103" s="3" t="s">
        <v>0</v>
      </c>
      <c r="B103" s="6" t="s">
        <v>2</v>
      </c>
      <c r="C103" s="4" t="s">
        <v>14</v>
      </c>
      <c r="D103" s="8" t="s">
        <v>18</v>
      </c>
      <c r="E103" s="5">
        <f>'[1]Income Statement-Banks'!$N$7-'[1]Income Statement-Banks'!$N$9</f>
        <v>65983.624399999986</v>
      </c>
      <c r="F103" s="4" t="str">
        <f t="shared" ref="F103:F111" si="8">IF(VALUE(D103)&gt;2024,"Forecast","Actual")</f>
        <v>Actual</v>
      </c>
    </row>
    <row r="104" spans="1:6" x14ac:dyDescent="0.3">
      <c r="A104" s="3" t="s">
        <v>0</v>
      </c>
      <c r="B104" s="6" t="s">
        <v>2</v>
      </c>
      <c r="C104" s="4" t="s">
        <v>14</v>
      </c>
      <c r="D104" s="8" t="s">
        <v>19</v>
      </c>
      <c r="E104" s="5">
        <f>'[1]Income Statement-Banks'!$O$7-'[1]Income Statement-Banks'!$O$9</f>
        <v>135635.41310000001</v>
      </c>
      <c r="F104" s="4" t="str">
        <f t="shared" si="8"/>
        <v>Actual</v>
      </c>
    </row>
    <row r="105" spans="1:6" x14ac:dyDescent="0.3">
      <c r="A105" s="3" t="s">
        <v>0</v>
      </c>
      <c r="B105" s="6" t="s">
        <v>2</v>
      </c>
      <c r="C105" s="4" t="s">
        <v>14</v>
      </c>
      <c r="D105" s="8" t="s">
        <v>20</v>
      </c>
      <c r="E105" s="5">
        <f>'[1]Income Statement-Banks'!$P$7-'[1]Income Statement-Banks'!$P$9</f>
        <v>161929.56449999998</v>
      </c>
      <c r="F105" s="4" t="str">
        <f t="shared" si="8"/>
        <v>Actual</v>
      </c>
    </row>
    <row r="106" spans="1:6" x14ac:dyDescent="0.3">
      <c r="A106" s="3" t="s">
        <v>0</v>
      </c>
      <c r="B106" s="6" t="s">
        <v>2</v>
      </c>
      <c r="C106" s="4" t="s">
        <v>14</v>
      </c>
      <c r="D106" s="8" t="s">
        <v>21</v>
      </c>
      <c r="E106" s="5">
        <f>'[1]Financial Projections'!$V$8</f>
        <v>178387.82998757449</v>
      </c>
      <c r="F106" s="4" t="str">
        <f t="shared" si="8"/>
        <v>Forecast</v>
      </c>
    </row>
    <row r="107" spans="1:6" x14ac:dyDescent="0.3">
      <c r="A107" s="3" t="s">
        <v>0</v>
      </c>
      <c r="B107" s="6" t="s">
        <v>2</v>
      </c>
      <c r="C107" s="4" t="s">
        <v>14</v>
      </c>
      <c r="D107" s="8" t="s">
        <v>22</v>
      </c>
      <c r="E107" s="5">
        <f>'[1]Financial Projections'!$W$8</f>
        <v>197195.76538546989</v>
      </c>
      <c r="F107" s="4" t="str">
        <f t="shared" si="8"/>
        <v>Forecast</v>
      </c>
    </row>
    <row r="108" spans="1:6" x14ac:dyDescent="0.3">
      <c r="A108" s="3" t="s">
        <v>0</v>
      </c>
      <c r="B108" s="6" t="s">
        <v>2</v>
      </c>
      <c r="C108" s="4" t="s">
        <v>14</v>
      </c>
      <c r="D108" s="8" t="s">
        <v>23</v>
      </c>
      <c r="E108" s="5">
        <f>'[1]Financial Projections'!$X$8</f>
        <v>218724.97078884928</v>
      </c>
      <c r="F108" s="4" t="str">
        <f t="shared" si="8"/>
        <v>Forecast</v>
      </c>
    </row>
    <row r="109" spans="1:6" x14ac:dyDescent="0.3">
      <c r="A109" s="3" t="s">
        <v>0</v>
      </c>
      <c r="B109" s="6" t="s">
        <v>2</v>
      </c>
      <c r="C109" s="4" t="s">
        <v>14</v>
      </c>
      <c r="D109" s="8" t="s">
        <v>24</v>
      </c>
      <c r="E109" s="5">
        <f>'[1]Financial Projections'!$Y$8</f>
        <v>243407.1892042929</v>
      </c>
      <c r="F109" s="4" t="str">
        <f t="shared" si="8"/>
        <v>Forecast</v>
      </c>
    </row>
    <row r="110" spans="1:6" x14ac:dyDescent="0.3">
      <c r="A110" s="3" t="s">
        <v>0</v>
      </c>
      <c r="B110" s="6" t="s">
        <v>2</v>
      </c>
      <c r="C110" s="4" t="s">
        <v>14</v>
      </c>
      <c r="D110" s="8" t="s">
        <v>25</v>
      </c>
      <c r="E110" s="5">
        <f>'[1]Financial Projections'!$Z$8</f>
        <v>271744.08776030689</v>
      </c>
      <c r="F110" s="4" t="str">
        <f t="shared" si="8"/>
        <v>Forecast</v>
      </c>
    </row>
    <row r="111" spans="1:6" x14ac:dyDescent="0.3">
      <c r="A111" s="3" t="s">
        <v>0</v>
      </c>
      <c r="B111" s="6" t="s">
        <v>2</v>
      </c>
      <c r="C111" s="4" t="s">
        <v>14</v>
      </c>
      <c r="D111" s="8" t="s">
        <v>26</v>
      </c>
      <c r="E111" s="5">
        <f>'[1]Financial Projections'!$AA$8</f>
        <v>304318.63124557206</v>
      </c>
      <c r="F111" s="4" t="str">
        <f t="shared" si="8"/>
        <v>Forecast</v>
      </c>
    </row>
    <row r="112" spans="1:6" x14ac:dyDescent="0.3">
      <c r="A112" s="3" t="s">
        <v>0</v>
      </c>
      <c r="B112" s="6" t="s">
        <v>4</v>
      </c>
      <c r="C112" s="4" t="s">
        <v>14</v>
      </c>
      <c r="D112" s="8" t="s">
        <v>16</v>
      </c>
      <c r="E112" s="5">
        <f>'[1]Income Statement-Banks'!$Q$7-'[1]Income Statement-Banks'!$Q$9</f>
        <v>206886.8414</v>
      </c>
      <c r="F112" s="4" t="str">
        <f>IF(VALUE(D112)&gt;2024,"Forecast","Actual")</f>
        <v>Actual</v>
      </c>
    </row>
    <row r="113" spans="1:6" x14ac:dyDescent="0.3">
      <c r="A113" s="3" t="s">
        <v>0</v>
      </c>
      <c r="B113" s="6" t="s">
        <v>4</v>
      </c>
      <c r="C113" s="4" t="s">
        <v>14</v>
      </c>
      <c r="D113" s="8" t="s">
        <v>17</v>
      </c>
      <c r="E113" s="5">
        <f>'[1]Income Statement-Banks'!$R$7-'[1]Income Statement-Banks'!$R$9</f>
        <v>229327.72339999999</v>
      </c>
      <c r="F113" s="4" t="str">
        <f>IF(VALUE(D113)&gt;2024,"Forecast","Actual")</f>
        <v>Actual</v>
      </c>
    </row>
    <row r="114" spans="1:6" x14ac:dyDescent="0.3">
      <c r="A114" s="3" t="s">
        <v>0</v>
      </c>
      <c r="B114" s="6" t="s">
        <v>4</v>
      </c>
      <c r="C114" s="4" t="s">
        <v>14</v>
      </c>
      <c r="D114" s="8" t="s">
        <v>18</v>
      </c>
      <c r="E114" s="5">
        <f>'[1]Income Statement-Banks'!$S$7-'[1]Income Statement-Banks'!$S$9</f>
        <v>250778.74560000002</v>
      </c>
      <c r="F114" s="4" t="str">
        <f t="shared" ref="F114:F122" si="9">IF(VALUE(D114)&gt;2024,"Forecast","Actual")</f>
        <v>Actual</v>
      </c>
    </row>
    <row r="115" spans="1:6" x14ac:dyDescent="0.3">
      <c r="A115" s="3" t="s">
        <v>0</v>
      </c>
      <c r="B115" s="6" t="s">
        <v>4</v>
      </c>
      <c r="C115" s="4" t="s">
        <v>14</v>
      </c>
      <c r="D115" s="8" t="s">
        <v>19</v>
      </c>
      <c r="E115" s="5">
        <f>'[1]Income Statement-Banks'!$T$7-'[1]Income Statement-Banks'!$T$9</f>
        <v>283397.32449999999</v>
      </c>
      <c r="F115" s="4" t="str">
        <f t="shared" si="9"/>
        <v>Actual</v>
      </c>
    </row>
    <row r="116" spans="1:6" x14ac:dyDescent="0.3">
      <c r="A116" s="3" t="s">
        <v>0</v>
      </c>
      <c r="B116" s="6" t="s">
        <v>4</v>
      </c>
      <c r="C116" s="4" t="s">
        <v>14</v>
      </c>
      <c r="D116" s="8" t="s">
        <v>20</v>
      </c>
      <c r="E116" s="5">
        <f>'[1]Income Statement-Banks'!$U$7-'[1]Income Statement-Banks'!$U$9</f>
        <v>334838.85639999993</v>
      </c>
      <c r="F116" s="4" t="str">
        <f t="shared" si="9"/>
        <v>Actual</v>
      </c>
    </row>
    <row r="117" spans="1:6" x14ac:dyDescent="0.3">
      <c r="A117" s="3" t="s">
        <v>0</v>
      </c>
      <c r="B117" s="6" t="s">
        <v>4</v>
      </c>
      <c r="C117" s="4" t="s">
        <v>14</v>
      </c>
      <c r="D117" s="8" t="s">
        <v>21</v>
      </c>
      <c r="E117" s="5">
        <f>'[1]Financial Projections'!$AE$8</f>
        <v>368705.0113425405</v>
      </c>
      <c r="F117" s="4" t="str">
        <f t="shared" si="9"/>
        <v>Forecast</v>
      </c>
    </row>
    <row r="118" spans="1:6" x14ac:dyDescent="0.3">
      <c r="A118" s="3" t="s">
        <v>0</v>
      </c>
      <c r="B118" s="6" t="s">
        <v>4</v>
      </c>
      <c r="C118" s="4" t="s">
        <v>14</v>
      </c>
      <c r="D118" s="8" t="s">
        <v>22</v>
      </c>
      <c r="E118" s="5">
        <f>'[1]Financial Projections'!$AF$8</f>
        <v>406003.47632396268</v>
      </c>
      <c r="F118" s="4" t="str">
        <f t="shared" si="9"/>
        <v>Forecast</v>
      </c>
    </row>
    <row r="119" spans="1:6" x14ac:dyDescent="0.3">
      <c r="A119" s="3" t="s">
        <v>0</v>
      </c>
      <c r="B119" s="6" t="s">
        <v>4</v>
      </c>
      <c r="C119" s="4" t="s">
        <v>14</v>
      </c>
      <c r="D119" s="8" t="s">
        <v>23</v>
      </c>
      <c r="E119" s="5">
        <f>'[1]Financial Projections'!$AG$8</f>
        <v>447082.81850027276</v>
      </c>
      <c r="F119" s="4" t="str">
        <f t="shared" si="9"/>
        <v>Forecast</v>
      </c>
    </row>
    <row r="120" spans="1:6" x14ac:dyDescent="0.3">
      <c r="A120" s="3" t="s">
        <v>0</v>
      </c>
      <c r="B120" s="6" t="s">
        <v>4</v>
      </c>
      <c r="C120" s="4" t="s">
        <v>14</v>
      </c>
      <c r="D120" s="8" t="s">
        <v>24</v>
      </c>
      <c r="E120" s="5">
        <f>'[1]Financial Projections'!$AH$8</f>
        <v>492327.07420673873</v>
      </c>
      <c r="F120" s="4" t="str">
        <f t="shared" si="9"/>
        <v>Forecast</v>
      </c>
    </row>
    <row r="121" spans="1:6" x14ac:dyDescent="0.3">
      <c r="A121" s="3" t="s">
        <v>0</v>
      </c>
      <c r="B121" s="6" t="s">
        <v>4</v>
      </c>
      <c r="C121" s="4" t="s">
        <v>14</v>
      </c>
      <c r="D121" s="8" t="s">
        <v>25</v>
      </c>
      <c r="E121" s="5">
        <f>'[1]Financial Projections'!$AI$8</f>
        <v>542159.36524411011</v>
      </c>
      <c r="F121" s="4" t="str">
        <f t="shared" si="9"/>
        <v>Forecast</v>
      </c>
    </row>
    <row r="122" spans="1:6" x14ac:dyDescent="0.3">
      <c r="A122" s="3" t="s">
        <v>0</v>
      </c>
      <c r="B122" s="6" t="s">
        <v>4</v>
      </c>
      <c r="C122" s="4" t="s">
        <v>14</v>
      </c>
      <c r="D122" s="8" t="s">
        <v>26</v>
      </c>
      <c r="E122" s="5">
        <f>'[1]Financial Projections'!$AJ$8</f>
        <v>597045.88456818729</v>
      </c>
      <c r="F122" s="4" t="str">
        <f t="shared" si="9"/>
        <v>Forecast</v>
      </c>
    </row>
    <row r="123" spans="1:6" x14ac:dyDescent="0.3">
      <c r="A123" s="3" t="s">
        <v>0</v>
      </c>
      <c r="B123" s="6" t="s">
        <v>6</v>
      </c>
      <c r="C123" s="4" t="s">
        <v>14</v>
      </c>
      <c r="D123" s="8" t="s">
        <v>16</v>
      </c>
      <c r="E123" s="5">
        <f>'[1]Income Statement-NBFCs'!$B$14-'[1]Income Statement-NBFCs'!$B$17</f>
        <v>16912.420000000006</v>
      </c>
      <c r="F123" s="4" t="str">
        <f>IF(VALUE(D123)&gt;2024,"Forecast","Actual")</f>
        <v>Actual</v>
      </c>
    </row>
    <row r="124" spans="1:6" x14ac:dyDescent="0.3">
      <c r="A124" s="3" t="s">
        <v>0</v>
      </c>
      <c r="B124" s="6" t="s">
        <v>6</v>
      </c>
      <c r="C124" s="4" t="s">
        <v>14</v>
      </c>
      <c r="D124" s="8" t="s">
        <v>17</v>
      </c>
      <c r="E124" s="5">
        <f>'[1]Income Statement-NBFCs'!$C$14-'[1]Income Statement-NBFCs'!$C$17</f>
        <v>17269.050000000003</v>
      </c>
      <c r="F124" s="4" t="str">
        <f>IF(VALUE(D124)&gt;2024,"Forecast","Actual")</f>
        <v>Actual</v>
      </c>
    </row>
    <row r="125" spans="1:6" x14ac:dyDescent="0.3">
      <c r="A125" s="3" t="s">
        <v>0</v>
      </c>
      <c r="B125" s="6" t="s">
        <v>6</v>
      </c>
      <c r="C125" s="4" t="s">
        <v>14</v>
      </c>
      <c r="D125" s="8" t="s">
        <v>18</v>
      </c>
      <c r="E125" s="5">
        <f>'[1]Income Statement-NBFCs'!$D$14-'[1]Income Statement-NBFCs'!$D$17</f>
        <v>21892.17</v>
      </c>
      <c r="F125" s="4" t="str">
        <f t="shared" ref="F125:F133" si="10">IF(VALUE(D125)&gt;2024,"Forecast","Actual")</f>
        <v>Actual</v>
      </c>
    </row>
    <row r="126" spans="1:6" x14ac:dyDescent="0.3">
      <c r="A126" s="3" t="s">
        <v>0</v>
      </c>
      <c r="B126" s="6" t="s">
        <v>6</v>
      </c>
      <c r="C126" s="4" t="s">
        <v>14</v>
      </c>
      <c r="D126" s="8" t="s">
        <v>19</v>
      </c>
      <c r="E126" s="5">
        <f>'[1]Income Statement-NBFCs'!$E$14-'[1]Income Statement-NBFCs'!$E$17</f>
        <v>28858.369999999995</v>
      </c>
      <c r="F126" s="4" t="str">
        <f t="shared" si="10"/>
        <v>Actual</v>
      </c>
    </row>
    <row r="127" spans="1:6" x14ac:dyDescent="0.3">
      <c r="A127" s="3" t="s">
        <v>0</v>
      </c>
      <c r="B127" s="6" t="s">
        <v>6</v>
      </c>
      <c r="C127" s="4" t="s">
        <v>14</v>
      </c>
      <c r="D127" s="8" t="s">
        <v>20</v>
      </c>
      <c r="E127" s="5">
        <f>'[1]Income Statement-NBFCs'!$F$14-'[1]Income Statement-NBFCs'!$F$17</f>
        <v>36257.819999999992</v>
      </c>
      <c r="F127" s="4" t="str">
        <f t="shared" si="10"/>
        <v>Actual</v>
      </c>
    </row>
    <row r="128" spans="1:6" x14ac:dyDescent="0.3">
      <c r="A128" s="3" t="s">
        <v>0</v>
      </c>
      <c r="B128" s="6" t="s">
        <v>6</v>
      </c>
      <c r="C128" s="4" t="s">
        <v>14</v>
      </c>
      <c r="D128" s="8" t="s">
        <v>21</v>
      </c>
      <c r="E128" s="5">
        <f>'[1]Financial Projections'!$AN$8</f>
        <v>44967.682347205482</v>
      </c>
      <c r="F128" s="4" t="str">
        <f t="shared" si="10"/>
        <v>Forecast</v>
      </c>
    </row>
    <row r="129" spans="1:6" x14ac:dyDescent="0.3">
      <c r="A129" s="3" t="s">
        <v>0</v>
      </c>
      <c r="B129" s="6" t="s">
        <v>6</v>
      </c>
      <c r="C129" s="4" t="s">
        <v>14</v>
      </c>
      <c r="D129" s="8" t="s">
        <v>22</v>
      </c>
      <c r="E129" s="5">
        <f>'[1]Financial Projections'!$AO$8</f>
        <v>54712.538750317522</v>
      </c>
      <c r="F129" s="4" t="str">
        <f t="shared" si="10"/>
        <v>Forecast</v>
      </c>
    </row>
    <row r="130" spans="1:6" x14ac:dyDescent="0.3">
      <c r="A130" s="3" t="s">
        <v>0</v>
      </c>
      <c r="B130" s="6" t="s">
        <v>6</v>
      </c>
      <c r="C130" s="4" t="s">
        <v>14</v>
      </c>
      <c r="D130" s="8" t="s">
        <v>23</v>
      </c>
      <c r="E130" s="5">
        <f>'[1]Financial Projections'!$AP$8</f>
        <v>66618.524966372002</v>
      </c>
      <c r="F130" s="4" t="str">
        <f t="shared" si="10"/>
        <v>Forecast</v>
      </c>
    </row>
    <row r="131" spans="1:6" x14ac:dyDescent="0.3">
      <c r="A131" s="3" t="s">
        <v>0</v>
      </c>
      <c r="B131" s="6" t="s">
        <v>6</v>
      </c>
      <c r="C131" s="4" t="s">
        <v>14</v>
      </c>
      <c r="D131" s="8" t="s">
        <v>24</v>
      </c>
      <c r="E131" s="5">
        <f>'[1]Financial Projections'!$AQ$8</f>
        <v>81172.484990273675</v>
      </c>
      <c r="F131" s="4" t="str">
        <f t="shared" si="10"/>
        <v>Forecast</v>
      </c>
    </row>
    <row r="132" spans="1:6" x14ac:dyDescent="0.3">
      <c r="A132" s="3" t="s">
        <v>0</v>
      </c>
      <c r="B132" s="6" t="s">
        <v>6</v>
      </c>
      <c r="C132" s="4" t="s">
        <v>14</v>
      </c>
      <c r="D132" s="8" t="s">
        <v>25</v>
      </c>
      <c r="E132" s="5">
        <f>'[1]Financial Projections'!$AR$8</f>
        <v>98972.069662324531</v>
      </c>
      <c r="F132" s="4" t="str">
        <f t="shared" si="10"/>
        <v>Forecast</v>
      </c>
    </row>
    <row r="133" spans="1:6" x14ac:dyDescent="0.3">
      <c r="A133" s="3" t="s">
        <v>0</v>
      </c>
      <c r="B133" s="6" t="s">
        <v>6</v>
      </c>
      <c r="C133" s="4" t="s">
        <v>14</v>
      </c>
      <c r="D133" s="8" t="s">
        <v>26</v>
      </c>
      <c r="E133" s="5">
        <f>'[1]Financial Projections'!$AS$8</f>
        <v>120751.12388645286</v>
      </c>
      <c r="F133" s="4" t="str">
        <f t="shared" si="10"/>
        <v>Forecast</v>
      </c>
    </row>
    <row r="134" spans="1:6" x14ac:dyDescent="0.3">
      <c r="A134" s="3" t="s">
        <v>0</v>
      </c>
      <c r="B134" s="6" t="s">
        <v>5</v>
      </c>
      <c r="C134" s="4" t="s">
        <v>14</v>
      </c>
      <c r="D134" s="8" t="s">
        <v>16</v>
      </c>
      <c r="E134" s="5">
        <f>'[1]Income Statement-NBFCs'!$G$14-'[1]Income Statement-NBFCs'!$G$17</f>
        <v>1030.2</v>
      </c>
      <c r="F134" s="4" t="str">
        <f>IF(VALUE(D134)&gt;2024,"Forecast","Actual")</f>
        <v>Actual</v>
      </c>
    </row>
    <row r="135" spans="1:6" x14ac:dyDescent="0.3">
      <c r="A135" s="3" t="s">
        <v>0</v>
      </c>
      <c r="B135" s="6" t="s">
        <v>5</v>
      </c>
      <c r="C135" s="4" t="s">
        <v>14</v>
      </c>
      <c r="D135" s="8" t="s">
        <v>17</v>
      </c>
      <c r="E135" s="5">
        <f>'[1]Income Statement-NBFCs'!$H$14-'[1]Income Statement-NBFCs'!$H$17</f>
        <v>1189.4099999999999</v>
      </c>
      <c r="F135" s="4" t="str">
        <f>IF(VALUE(D135)&gt;2024,"Forecast","Actual")</f>
        <v>Actual</v>
      </c>
    </row>
    <row r="136" spans="1:6" x14ac:dyDescent="0.3">
      <c r="A136" s="3" t="s">
        <v>0</v>
      </c>
      <c r="B136" s="6" t="s">
        <v>5</v>
      </c>
      <c r="C136" s="4" t="s">
        <v>14</v>
      </c>
      <c r="D136" s="8" t="s">
        <v>18</v>
      </c>
      <c r="E136" s="5">
        <f>'[1]Income Statement-NBFCs'!$I$14-'[1]Income Statement-NBFCs'!$I$17</f>
        <v>1611.8199999999997</v>
      </c>
      <c r="F136" s="4" t="str">
        <f t="shared" ref="F136:F144" si="11">IF(VALUE(D136)&gt;2024,"Forecast","Actual")</f>
        <v>Actual</v>
      </c>
    </row>
    <row r="137" spans="1:6" x14ac:dyDescent="0.3">
      <c r="A137" s="3" t="s">
        <v>0</v>
      </c>
      <c r="B137" s="6" t="s">
        <v>5</v>
      </c>
      <c r="C137" s="4" t="s">
        <v>14</v>
      </c>
      <c r="D137" s="8" t="s">
        <v>19</v>
      </c>
      <c r="E137" s="5">
        <f>'[1]Income Statement-NBFCs'!$J$14-'[1]Income Statement-NBFCs'!$J$17</f>
        <v>2454.1200000000003</v>
      </c>
      <c r="F137" s="4" t="str">
        <f t="shared" si="11"/>
        <v>Actual</v>
      </c>
    </row>
    <row r="138" spans="1:6" x14ac:dyDescent="0.3">
      <c r="A138" s="3" t="s">
        <v>0</v>
      </c>
      <c r="B138" s="6" t="s">
        <v>5</v>
      </c>
      <c r="C138" s="4" t="s">
        <v>14</v>
      </c>
      <c r="D138" s="8" t="s">
        <v>20</v>
      </c>
      <c r="E138" s="5">
        <f>'[1]Income Statement-NBFCs'!$K$14-'[1]Income Statement-NBFCs'!$K$17</f>
        <v>2925.0999999999985</v>
      </c>
      <c r="F138" s="4" t="str">
        <f t="shared" si="11"/>
        <v>Actual</v>
      </c>
    </row>
    <row r="139" spans="1:6" x14ac:dyDescent="0.3">
      <c r="A139" s="3" t="s">
        <v>0</v>
      </c>
      <c r="B139" s="6" t="s">
        <v>5</v>
      </c>
      <c r="C139" s="4" t="s">
        <v>14</v>
      </c>
      <c r="D139" s="8" t="s">
        <v>21</v>
      </c>
      <c r="E139" s="5">
        <v>2403.36</v>
      </c>
      <c r="F139" s="4" t="str">
        <f t="shared" si="11"/>
        <v>Forecast</v>
      </c>
    </row>
    <row r="140" spans="1:6" x14ac:dyDescent="0.3">
      <c r="A140" s="3" t="s">
        <v>0</v>
      </c>
      <c r="B140" s="6" t="s">
        <v>5</v>
      </c>
      <c r="C140" s="4" t="s">
        <v>14</v>
      </c>
      <c r="D140" s="8" t="s">
        <v>22</v>
      </c>
      <c r="E140" s="5">
        <v>2840.94</v>
      </c>
      <c r="F140" s="4" t="str">
        <f t="shared" si="11"/>
        <v>Forecast</v>
      </c>
    </row>
    <row r="141" spans="1:6" x14ac:dyDescent="0.3">
      <c r="A141" s="3" t="s">
        <v>0</v>
      </c>
      <c r="B141" s="6" t="s">
        <v>5</v>
      </c>
      <c r="C141" s="4" t="s">
        <v>14</v>
      </c>
      <c r="D141" s="8" t="s">
        <v>23</v>
      </c>
      <c r="E141" s="5">
        <v>3358.2</v>
      </c>
      <c r="F141" s="4" t="str">
        <f t="shared" si="11"/>
        <v>Forecast</v>
      </c>
    </row>
    <row r="142" spans="1:6" x14ac:dyDescent="0.3">
      <c r="A142" s="3" t="s">
        <v>0</v>
      </c>
      <c r="B142" s="6" t="s">
        <v>5</v>
      </c>
      <c r="C142" s="4" t="s">
        <v>14</v>
      </c>
      <c r="D142" s="8" t="s">
        <v>24</v>
      </c>
      <c r="E142" s="5">
        <v>3969.63</v>
      </c>
      <c r="F142" s="4" t="str">
        <f t="shared" si="11"/>
        <v>Forecast</v>
      </c>
    </row>
    <row r="143" spans="1:6" x14ac:dyDescent="0.3">
      <c r="A143" s="3" t="s">
        <v>0</v>
      </c>
      <c r="B143" s="6" t="s">
        <v>5</v>
      </c>
      <c r="C143" s="4" t="s">
        <v>14</v>
      </c>
      <c r="D143" s="8" t="s">
        <v>25</v>
      </c>
      <c r="E143" s="5">
        <v>4692.38</v>
      </c>
      <c r="F143" s="4" t="str">
        <f t="shared" si="11"/>
        <v>Forecast</v>
      </c>
    </row>
    <row r="144" spans="1:6" x14ac:dyDescent="0.3">
      <c r="A144" s="3" t="s">
        <v>0</v>
      </c>
      <c r="B144" s="6" t="s">
        <v>5</v>
      </c>
      <c r="C144" s="4" t="s">
        <v>14</v>
      </c>
      <c r="D144" s="8" t="s">
        <v>26</v>
      </c>
      <c r="E144" s="5">
        <v>5546.73</v>
      </c>
      <c r="F144" s="4" t="str">
        <f t="shared" si="11"/>
        <v>Forecast</v>
      </c>
    </row>
    <row r="145" spans="1:6" x14ac:dyDescent="0.3">
      <c r="A145" s="3" t="s">
        <v>0</v>
      </c>
      <c r="B145" s="6" t="s">
        <v>7</v>
      </c>
      <c r="C145" s="4" t="s">
        <v>14</v>
      </c>
      <c r="D145" s="8" t="s">
        <v>16</v>
      </c>
      <c r="E145" s="5">
        <f>'[1]Income Statement-NBFCs'!$L$14-'[1]Income Statement-NBFCs'!$L$17</f>
        <v>65344.27</v>
      </c>
      <c r="F145" s="4" t="str">
        <f>IF(VALUE(D145)&gt;2024,"Forecast","Actual")</f>
        <v>Actual</v>
      </c>
    </row>
    <row r="146" spans="1:6" x14ac:dyDescent="0.3">
      <c r="A146" s="3" t="s">
        <v>0</v>
      </c>
      <c r="B146" s="6" t="s">
        <v>7</v>
      </c>
      <c r="C146" s="4" t="s">
        <v>14</v>
      </c>
      <c r="D146" s="8" t="s">
        <v>17</v>
      </c>
      <c r="E146" s="5">
        <f>'[1]Income Statement-NBFCs'!$M$14-'[1]Income Statement-NBFCs'!$M$17</f>
        <v>74702.669999999984</v>
      </c>
      <c r="F146" s="4" t="str">
        <f>IF(VALUE(D146)&gt;2024,"Forecast","Actual")</f>
        <v>Actual</v>
      </c>
    </row>
    <row r="147" spans="1:6" x14ac:dyDescent="0.3">
      <c r="A147" s="3" t="s">
        <v>0</v>
      </c>
      <c r="B147" s="6" t="s">
        <v>7</v>
      </c>
      <c r="C147" s="4" t="s">
        <v>14</v>
      </c>
      <c r="D147" s="8" t="s">
        <v>18</v>
      </c>
      <c r="E147" s="5">
        <f>'[1]Income Statement-NBFCs'!$N$14-'[1]Income Statement-NBFCs'!$N$17</f>
        <v>79816.110000000015</v>
      </c>
      <c r="F147" s="4" t="str">
        <f t="shared" ref="F147:F155" si="12">IF(VALUE(D147)&gt;2024,"Forecast","Actual")</f>
        <v>Actual</v>
      </c>
    </row>
    <row r="148" spans="1:6" x14ac:dyDescent="0.3">
      <c r="A148" s="3" t="s">
        <v>0</v>
      </c>
      <c r="B148" s="6" t="s">
        <v>7</v>
      </c>
      <c r="C148" s="4" t="s">
        <v>14</v>
      </c>
      <c r="D148" s="8" t="s">
        <v>19</v>
      </c>
      <c r="E148" s="5">
        <f>'[1]Income Statement-NBFCs'!$O$14-'[1]Income Statement-NBFCs'!$O$17</f>
        <v>77658.27</v>
      </c>
      <c r="F148" s="4" t="str">
        <f t="shared" si="12"/>
        <v>Actual</v>
      </c>
    </row>
    <row r="149" spans="1:6" x14ac:dyDescent="0.3">
      <c r="A149" s="3" t="s">
        <v>0</v>
      </c>
      <c r="B149" s="6" t="s">
        <v>7</v>
      </c>
      <c r="C149" s="4" t="s">
        <v>14</v>
      </c>
      <c r="D149" s="8" t="s">
        <v>20</v>
      </c>
      <c r="E149" s="5">
        <f>'[1]Income Statement-NBFCs'!$P$14-'[1]Income Statement-NBFCs'!$P$17</f>
        <v>97326.640000000014</v>
      </c>
      <c r="F149" s="4" t="str">
        <f t="shared" si="12"/>
        <v>Actual</v>
      </c>
    </row>
    <row r="150" spans="1:6" x14ac:dyDescent="0.3">
      <c r="A150" s="3" t="s">
        <v>0</v>
      </c>
      <c r="B150" s="6" t="s">
        <v>7</v>
      </c>
      <c r="C150" s="4" t="s">
        <v>14</v>
      </c>
      <c r="D150" s="8" t="s">
        <v>21</v>
      </c>
      <c r="E150" s="5">
        <f>'[1]Financial Projections'!$BF$8</f>
        <v>121936.10218944657</v>
      </c>
      <c r="F150" s="4" t="str">
        <f t="shared" si="12"/>
        <v>Forecast</v>
      </c>
    </row>
    <row r="151" spans="1:6" x14ac:dyDescent="0.3">
      <c r="A151" s="3" t="s">
        <v>0</v>
      </c>
      <c r="B151" s="6" t="s">
        <v>7</v>
      </c>
      <c r="C151" s="4" t="s">
        <v>14</v>
      </c>
      <c r="D151" s="8" t="s">
        <v>22</v>
      </c>
      <c r="E151" s="5">
        <f>'[1]Financial Projections'!$BG$8</f>
        <v>138463.52452090735</v>
      </c>
      <c r="F151" s="4" t="str">
        <f t="shared" si="12"/>
        <v>Forecast</v>
      </c>
    </row>
    <row r="152" spans="1:6" x14ac:dyDescent="0.3">
      <c r="A152" s="3" t="s">
        <v>0</v>
      </c>
      <c r="B152" s="6" t="s">
        <v>7</v>
      </c>
      <c r="C152" s="4" t="s">
        <v>14</v>
      </c>
      <c r="D152" s="8" t="s">
        <v>23</v>
      </c>
      <c r="E152" s="5">
        <f>'[1]Financial Projections'!$BH$8</f>
        <v>157237.01489204139</v>
      </c>
      <c r="F152" s="4" t="str">
        <f t="shared" si="12"/>
        <v>Forecast</v>
      </c>
    </row>
    <row r="153" spans="1:6" x14ac:dyDescent="0.3">
      <c r="A153" s="3" t="s">
        <v>0</v>
      </c>
      <c r="B153" s="6" t="s">
        <v>7</v>
      </c>
      <c r="C153" s="4" t="s">
        <v>14</v>
      </c>
      <c r="D153" s="8" t="s">
        <v>24</v>
      </c>
      <c r="E153" s="5">
        <f>'[1]Financial Projections'!$BI$8</f>
        <v>178562.76657142013</v>
      </c>
      <c r="F153" s="4" t="str">
        <f t="shared" si="12"/>
        <v>Forecast</v>
      </c>
    </row>
    <row r="154" spans="1:6" x14ac:dyDescent="0.3">
      <c r="A154" s="3" t="s">
        <v>0</v>
      </c>
      <c r="B154" s="6" t="s">
        <v>7</v>
      </c>
      <c r="C154" s="4" t="s">
        <v>14</v>
      </c>
      <c r="D154" s="8" t="s">
        <v>25</v>
      </c>
      <c r="E154" s="5">
        <f>'[1]Financial Projections'!$BJ$8</f>
        <v>202788.86778772809</v>
      </c>
      <c r="F154" s="4" t="str">
        <f t="shared" si="12"/>
        <v>Forecast</v>
      </c>
    </row>
    <row r="155" spans="1:6" x14ac:dyDescent="0.3">
      <c r="A155" s="3" t="s">
        <v>0</v>
      </c>
      <c r="B155" s="6" t="s">
        <v>7</v>
      </c>
      <c r="C155" s="4" t="s">
        <v>14</v>
      </c>
      <c r="D155" s="8" t="s">
        <v>26</v>
      </c>
      <c r="E155" s="5">
        <f>'[1]Financial Projections'!$BK$8</f>
        <v>230311.05862077858</v>
      </c>
      <c r="F155" s="4" t="str">
        <f t="shared" si="12"/>
        <v>Forecast</v>
      </c>
    </row>
    <row r="156" spans="1:6" x14ac:dyDescent="0.3">
      <c r="A156" s="3" t="s">
        <v>0</v>
      </c>
      <c r="B156" s="6" t="s">
        <v>3</v>
      </c>
      <c r="C156" s="4" t="s">
        <v>56</v>
      </c>
      <c r="D156" s="8" t="s">
        <v>16</v>
      </c>
      <c r="E156" s="5">
        <f>'[1]Income Statement-Banks'!$B$13</f>
        <v>1878.7513999999937</v>
      </c>
      <c r="F156" s="4" t="str">
        <f>IF(VALUE(D156)&gt;2024,"Forecast","Actual")</f>
        <v>Actual</v>
      </c>
    </row>
    <row r="157" spans="1:6" x14ac:dyDescent="0.3">
      <c r="A157" s="3" t="s">
        <v>0</v>
      </c>
      <c r="B157" s="6" t="s">
        <v>3</v>
      </c>
      <c r="C157" s="4" t="s">
        <v>56</v>
      </c>
      <c r="D157" s="8" t="s">
        <v>17</v>
      </c>
      <c r="E157" s="5">
        <f>'[1]Income Statement-Banks'!$C$13</f>
        <v>7252.3899999999994</v>
      </c>
      <c r="F157" s="4" t="str">
        <f>IF(VALUE(D157)&gt;2024,"Forecast","Actual")</f>
        <v>Actual</v>
      </c>
    </row>
    <row r="158" spans="1:6" x14ac:dyDescent="0.3">
      <c r="A158" s="3" t="s">
        <v>0</v>
      </c>
      <c r="B158" s="6" t="s">
        <v>3</v>
      </c>
      <c r="C158" s="4" t="s">
        <v>56</v>
      </c>
      <c r="D158" s="8" t="s">
        <v>18</v>
      </c>
      <c r="E158" s="5">
        <f>'[1]Income Statement-Banks'!$D$13</f>
        <v>14164.350000000006</v>
      </c>
      <c r="F158" s="4" t="str">
        <f t="shared" ref="F158:F166" si="13">IF(VALUE(D158)&gt;2024,"Forecast","Actual")</f>
        <v>Actual</v>
      </c>
    </row>
    <row r="159" spans="1:6" x14ac:dyDescent="0.3">
      <c r="A159" s="3" t="s">
        <v>0</v>
      </c>
      <c r="B159" s="6" t="s">
        <v>3</v>
      </c>
      <c r="C159" s="4" t="s">
        <v>56</v>
      </c>
      <c r="D159" s="8" t="s">
        <v>19</v>
      </c>
      <c r="E159" s="5">
        <f>'[1]Income Statement-Banks'!$E$13</f>
        <v>10852.659999999989</v>
      </c>
      <c r="F159" s="4" t="str">
        <f t="shared" si="13"/>
        <v>Actual</v>
      </c>
    </row>
    <row r="160" spans="1:6" x14ac:dyDescent="0.3">
      <c r="A160" s="3" t="s">
        <v>0</v>
      </c>
      <c r="B160" s="6" t="s">
        <v>3</v>
      </c>
      <c r="C160" s="4" t="s">
        <v>56</v>
      </c>
      <c r="D160" s="8" t="s">
        <v>20</v>
      </c>
      <c r="E160" s="5">
        <f>'[1]Income Statement-Banks'!$F$13</f>
        <v>26423.540000000008</v>
      </c>
      <c r="F160" s="4" t="str">
        <f t="shared" si="13"/>
        <v>Actual</v>
      </c>
    </row>
    <row r="161" spans="1:6" x14ac:dyDescent="0.3">
      <c r="A161" s="3" t="s">
        <v>0</v>
      </c>
      <c r="B161" s="6" t="s">
        <v>3</v>
      </c>
      <c r="C161" s="4" t="s">
        <v>56</v>
      </c>
      <c r="D161" s="8" t="s">
        <v>21</v>
      </c>
      <c r="E161" s="5">
        <v>26450.45</v>
      </c>
      <c r="F161" s="4" t="str">
        <f t="shared" si="13"/>
        <v>Forecast</v>
      </c>
    </row>
    <row r="162" spans="1:6" x14ac:dyDescent="0.3">
      <c r="A162" s="3" t="s">
        <v>0</v>
      </c>
      <c r="B162" s="6" t="s">
        <v>3</v>
      </c>
      <c r="C162" s="4" t="s">
        <v>56</v>
      </c>
      <c r="D162" s="8" t="s">
        <v>22</v>
      </c>
      <c r="E162" s="5">
        <f>'[1]Financial Projections'!$E$14</f>
        <v>34713.369050721674</v>
      </c>
      <c r="F162" s="4" t="str">
        <f t="shared" si="13"/>
        <v>Forecast</v>
      </c>
    </row>
    <row r="163" spans="1:6" x14ac:dyDescent="0.3">
      <c r="A163" s="3" t="s">
        <v>0</v>
      </c>
      <c r="B163" s="6" t="s">
        <v>3</v>
      </c>
      <c r="C163" s="4" t="s">
        <v>56</v>
      </c>
      <c r="D163" s="8" t="s">
        <v>23</v>
      </c>
      <c r="E163" s="5">
        <f>'[1]Financial Projections'!$F$14</f>
        <v>38340.122318173781</v>
      </c>
      <c r="F163" s="4" t="str">
        <f t="shared" si="13"/>
        <v>Forecast</v>
      </c>
    </row>
    <row r="164" spans="1:6" x14ac:dyDescent="0.3">
      <c r="A164" s="3" t="s">
        <v>0</v>
      </c>
      <c r="B164" s="6" t="s">
        <v>3</v>
      </c>
      <c r="C164" s="4" t="s">
        <v>56</v>
      </c>
      <c r="D164" s="8" t="s">
        <v>24</v>
      </c>
      <c r="E164" s="5">
        <f>'[1]Financial Projections'!$G$14</f>
        <v>42350.052180478684</v>
      </c>
      <c r="F164" s="4" t="str">
        <f t="shared" si="13"/>
        <v>Forecast</v>
      </c>
    </row>
    <row r="165" spans="1:6" x14ac:dyDescent="0.3">
      <c r="A165" s="3" t="s">
        <v>0</v>
      </c>
      <c r="B165" s="6" t="s">
        <v>3</v>
      </c>
      <c r="C165" s="4" t="s">
        <v>56</v>
      </c>
      <c r="D165" s="8" t="s">
        <v>25</v>
      </c>
      <c r="E165" s="5">
        <f>'[1]Financial Projections'!$H$14</f>
        <v>46783.317540727912</v>
      </c>
      <c r="F165" s="4" t="str">
        <f t="shared" si="13"/>
        <v>Forecast</v>
      </c>
    </row>
    <row r="166" spans="1:6" x14ac:dyDescent="0.3">
      <c r="A166" s="3" t="s">
        <v>0</v>
      </c>
      <c r="B166" s="6" t="s">
        <v>3</v>
      </c>
      <c r="C166" s="4" t="s">
        <v>56</v>
      </c>
      <c r="D166" s="8" t="s">
        <v>26</v>
      </c>
      <c r="E166" s="5">
        <f>'[1]Financial Projections'!$I$14</f>
        <v>51684.106101196587</v>
      </c>
      <c r="F166" s="4" t="str">
        <f t="shared" si="13"/>
        <v>Forecast</v>
      </c>
    </row>
    <row r="167" spans="1:6" x14ac:dyDescent="0.3">
      <c r="A167" s="3" t="s">
        <v>0</v>
      </c>
      <c r="B167" s="6" t="s">
        <v>1</v>
      </c>
      <c r="C167" s="4" t="s">
        <v>56</v>
      </c>
      <c r="D167" s="8" t="s">
        <v>16</v>
      </c>
      <c r="E167" s="5">
        <f>'[1]Income Statement-Banks'!$G$13</f>
        <v>27296.265300000014</v>
      </c>
      <c r="F167" s="4" t="str">
        <f>IF(VALUE(D167)&gt;2024,"Forecast","Actual")</f>
        <v>Actual</v>
      </c>
    </row>
    <row r="168" spans="1:6" x14ac:dyDescent="0.3">
      <c r="A168" s="3" t="s">
        <v>0</v>
      </c>
      <c r="B168" s="6" t="s">
        <v>1</v>
      </c>
      <c r="C168" s="4" t="s">
        <v>56</v>
      </c>
      <c r="D168" s="8" t="s">
        <v>17</v>
      </c>
      <c r="E168" s="5">
        <f>'[1]Income Statement-Banks'!$H$13</f>
        <v>31856.768099999987</v>
      </c>
      <c r="F168" s="4" t="str">
        <f>IF(VALUE(D168)&gt;2024,"Forecast","Actual")</f>
        <v>Actual</v>
      </c>
    </row>
    <row r="169" spans="1:6" x14ac:dyDescent="0.3">
      <c r="A169" s="3" t="s">
        <v>0</v>
      </c>
      <c r="B169" s="6" t="s">
        <v>1</v>
      </c>
      <c r="C169" s="4" t="s">
        <v>56</v>
      </c>
      <c r="D169" s="8" t="s">
        <v>18</v>
      </c>
      <c r="E169" s="5">
        <f>'[1]Income Statement-Banks'!$I$13</f>
        <v>38150.89999999998</v>
      </c>
      <c r="F169" s="4" t="str">
        <f t="shared" ref="F169:F177" si="14">IF(VALUE(D169)&gt;2024,"Forecast","Actual")</f>
        <v>Actual</v>
      </c>
    </row>
    <row r="170" spans="1:6" x14ac:dyDescent="0.3">
      <c r="A170" s="3" t="s">
        <v>0</v>
      </c>
      <c r="B170" s="6" t="s">
        <v>1</v>
      </c>
      <c r="C170" s="4" t="s">
        <v>56</v>
      </c>
      <c r="D170" s="8" t="s">
        <v>19</v>
      </c>
      <c r="E170" s="5">
        <f>'[1]Income Statement-Banks'!$J$13</f>
        <v>46148.699999999983</v>
      </c>
      <c r="F170" s="4" t="str">
        <f t="shared" si="14"/>
        <v>Actual</v>
      </c>
    </row>
    <row r="171" spans="1:6" x14ac:dyDescent="0.3">
      <c r="A171" s="3" t="s">
        <v>0</v>
      </c>
      <c r="B171" s="6" t="s">
        <v>1</v>
      </c>
      <c r="C171" s="4" t="s">
        <v>56</v>
      </c>
      <c r="D171" s="8" t="s">
        <v>20</v>
      </c>
      <c r="E171" s="5">
        <f>'[1]Income Statement-Banks'!$K$13</f>
        <v>65446.5</v>
      </c>
      <c r="F171" s="4" t="str">
        <f t="shared" si="14"/>
        <v>Actual</v>
      </c>
    </row>
    <row r="172" spans="1:6" x14ac:dyDescent="0.3">
      <c r="A172" s="3" t="s">
        <v>0</v>
      </c>
      <c r="B172" s="6" t="s">
        <v>1</v>
      </c>
      <c r="C172" s="4" t="s">
        <v>56</v>
      </c>
      <c r="D172" s="8" t="s">
        <v>21</v>
      </c>
      <c r="E172" s="5">
        <f>'[1]Financial Projections'!$M$14</f>
        <v>82628.654285693992</v>
      </c>
      <c r="F172" s="4" t="str">
        <f t="shared" si="14"/>
        <v>Forecast</v>
      </c>
    </row>
    <row r="173" spans="1:6" x14ac:dyDescent="0.3">
      <c r="A173" s="3" t="s">
        <v>0</v>
      </c>
      <c r="B173" s="6" t="s">
        <v>1</v>
      </c>
      <c r="C173" s="4" t="s">
        <v>56</v>
      </c>
      <c r="D173" s="8" t="s">
        <v>22</v>
      </c>
      <c r="E173" s="5">
        <f>'[1]Financial Projections'!$N$14</f>
        <v>94913.598853867443</v>
      </c>
      <c r="F173" s="4" t="str">
        <f t="shared" si="14"/>
        <v>Forecast</v>
      </c>
    </row>
    <row r="174" spans="1:6" x14ac:dyDescent="0.3">
      <c r="A174" s="3" t="s">
        <v>0</v>
      </c>
      <c r="B174" s="6" t="s">
        <v>1</v>
      </c>
      <c r="C174" s="4" t="s">
        <v>56</v>
      </c>
      <c r="D174" s="8" t="s">
        <v>23</v>
      </c>
      <c r="E174" s="5">
        <f>'[1]Financial Projections'!$O$14</f>
        <v>108199.58645988026</v>
      </c>
      <c r="F174" s="4" t="str">
        <f t="shared" si="14"/>
        <v>Forecast</v>
      </c>
    </row>
    <row r="175" spans="1:6" x14ac:dyDescent="0.3">
      <c r="A175" s="3" t="s">
        <v>0</v>
      </c>
      <c r="B175" s="6" t="s">
        <v>1</v>
      </c>
      <c r="C175" s="4" t="s">
        <v>56</v>
      </c>
      <c r="D175" s="8" t="s">
        <v>24</v>
      </c>
      <c r="E175" s="5">
        <f>'[1]Financial Projections'!$P$14</f>
        <v>123663.11313525234</v>
      </c>
      <c r="F175" s="4" t="str">
        <f t="shared" si="14"/>
        <v>Forecast</v>
      </c>
    </row>
    <row r="176" spans="1:6" x14ac:dyDescent="0.3">
      <c r="A176" s="3" t="s">
        <v>0</v>
      </c>
      <c r="B176" s="6" t="s">
        <v>1</v>
      </c>
      <c r="C176" s="4" t="s">
        <v>56</v>
      </c>
      <c r="D176" s="8" t="s">
        <v>25</v>
      </c>
      <c r="E176" s="5">
        <f>'[1]Financial Projections'!$Q$14</f>
        <v>141977.34992507857</v>
      </c>
      <c r="F176" s="4" t="str">
        <f t="shared" si="14"/>
        <v>Forecast</v>
      </c>
    </row>
    <row r="177" spans="1:6" x14ac:dyDescent="0.3">
      <c r="A177" s="3" t="s">
        <v>0</v>
      </c>
      <c r="B177" s="6" t="s">
        <v>1</v>
      </c>
      <c r="C177" s="4" t="s">
        <v>56</v>
      </c>
      <c r="D177" s="8" t="s">
        <v>26</v>
      </c>
      <c r="E177" s="5">
        <f>'[1]Financial Projections'!$R$14</f>
        <v>164160.1659233559</v>
      </c>
      <c r="F177" s="4" t="str">
        <f t="shared" si="14"/>
        <v>Forecast</v>
      </c>
    </row>
    <row r="178" spans="1:6" x14ac:dyDescent="0.3">
      <c r="A178" s="3" t="s">
        <v>0</v>
      </c>
      <c r="B178" s="6" t="s">
        <v>2</v>
      </c>
      <c r="C178" s="4" t="s">
        <v>56</v>
      </c>
      <c r="D178" s="8" t="s">
        <v>16</v>
      </c>
      <c r="E178" s="5">
        <f>'[1]Income Statement-Banks'!$L$13</f>
        <v>11225.467999999993</v>
      </c>
      <c r="F178" s="4" t="str">
        <f>IF(VALUE(D178)&gt;2024,"Forecast","Actual")</f>
        <v>Actual</v>
      </c>
    </row>
    <row r="179" spans="1:6" x14ac:dyDescent="0.3">
      <c r="A179" s="3" t="s">
        <v>0</v>
      </c>
      <c r="B179" s="6" t="s">
        <v>2</v>
      </c>
      <c r="C179" s="4" t="s">
        <v>56</v>
      </c>
      <c r="D179" s="8" t="s">
        <v>17</v>
      </c>
      <c r="E179" s="5">
        <f>'[1]Income Statement-Banks'!$M$13</f>
        <v>16192.684100000013</v>
      </c>
      <c r="F179" s="4" t="str">
        <f>IF(VALUE(D179)&gt;2024,"Forecast","Actual")</f>
        <v>Actual</v>
      </c>
    </row>
    <row r="180" spans="1:6" x14ac:dyDescent="0.3">
      <c r="A180" s="3" t="s">
        <v>0</v>
      </c>
      <c r="B180" s="6" t="s">
        <v>2</v>
      </c>
      <c r="C180" s="4" t="s">
        <v>56</v>
      </c>
      <c r="D180" s="8" t="s">
        <v>18</v>
      </c>
      <c r="E180" s="5">
        <f>'[1]Income Statement-Banks'!$N$13</f>
        <v>23339.49069999998</v>
      </c>
      <c r="F180" s="4" t="str">
        <f t="shared" ref="F180:F189" si="15">IF(VALUE(D180)&gt;2024,"Forecast","Actual")</f>
        <v>Actual</v>
      </c>
    </row>
    <row r="181" spans="1:6" x14ac:dyDescent="0.3">
      <c r="A181" s="3" t="s">
        <v>0</v>
      </c>
      <c r="B181" s="6" t="s">
        <v>2</v>
      </c>
      <c r="C181" s="4" t="s">
        <v>56</v>
      </c>
      <c r="D181" s="8" t="s">
        <v>19</v>
      </c>
      <c r="E181" s="5">
        <f>'[1]Income Statement-Banks'!$O$13</f>
        <v>34463.027000000002</v>
      </c>
      <c r="F181" s="4" t="str">
        <f t="shared" si="15"/>
        <v>Actual</v>
      </c>
    </row>
    <row r="182" spans="1:6" x14ac:dyDescent="0.3">
      <c r="A182" s="3" t="s">
        <v>0</v>
      </c>
      <c r="B182" s="6" t="s">
        <v>2</v>
      </c>
      <c r="C182" s="4" t="s">
        <v>56</v>
      </c>
      <c r="D182" s="8" t="s">
        <v>20</v>
      </c>
      <c r="E182" s="5">
        <f>'[1]Income Statement-Banks'!$P$13</f>
        <v>45006.744699999981</v>
      </c>
      <c r="F182" s="4" t="str">
        <f t="shared" si="15"/>
        <v>Actual</v>
      </c>
    </row>
    <row r="183" spans="1:6" x14ac:dyDescent="0.3">
      <c r="A183" s="3" t="s">
        <v>0</v>
      </c>
      <c r="B183" s="6" t="s">
        <v>2</v>
      </c>
      <c r="C183" s="4" t="s">
        <v>56</v>
      </c>
      <c r="D183" s="8" t="s">
        <v>21</v>
      </c>
      <c r="E183" s="5">
        <f>'[1]Financial Projections'!$V$14</f>
        <v>52473.032651342655</v>
      </c>
      <c r="F183" s="4" t="str">
        <f t="shared" si="15"/>
        <v>Forecast</v>
      </c>
    </row>
    <row r="184" spans="1:6" x14ac:dyDescent="0.3">
      <c r="A184" s="3" t="s">
        <v>0</v>
      </c>
      <c r="B184" s="6" t="s">
        <v>2</v>
      </c>
      <c r="C184" s="4" t="s">
        <v>56</v>
      </c>
      <c r="D184" s="8" t="s">
        <v>22</v>
      </c>
      <c r="E184" s="5">
        <f>'[1]Financial Projections'!$W$14</f>
        <v>63887.541905793521</v>
      </c>
      <c r="F184" s="4" t="str">
        <f t="shared" si="15"/>
        <v>Forecast</v>
      </c>
    </row>
    <row r="185" spans="1:6" x14ac:dyDescent="0.3">
      <c r="A185" s="3" t="s">
        <v>0</v>
      </c>
      <c r="B185" s="6" t="s">
        <v>2</v>
      </c>
      <c r="C185" s="4" t="s">
        <v>56</v>
      </c>
      <c r="D185" s="8" t="s">
        <v>23</v>
      </c>
      <c r="E185" s="5">
        <f>'[1]Financial Projections'!$X$14</f>
        <v>74552.19086281216</v>
      </c>
      <c r="F185" s="4" t="str">
        <f t="shared" si="15"/>
        <v>Forecast</v>
      </c>
    </row>
    <row r="186" spans="1:6" x14ac:dyDescent="0.3">
      <c r="A186" s="3" t="s">
        <v>0</v>
      </c>
      <c r="B186" s="6" t="s">
        <v>2</v>
      </c>
      <c r="C186" s="4" t="s">
        <v>56</v>
      </c>
      <c r="D186" s="8" t="s">
        <v>24</v>
      </c>
      <c r="E186" s="5">
        <f>'[1]Financial Projections'!$Y$14</f>
        <v>87219.295613881462</v>
      </c>
      <c r="F186" s="4" t="str">
        <f t="shared" si="15"/>
        <v>Forecast</v>
      </c>
    </row>
    <row r="187" spans="1:6" x14ac:dyDescent="0.3">
      <c r="A187" s="3" t="s">
        <v>0</v>
      </c>
      <c r="B187" s="6" t="s">
        <v>2</v>
      </c>
      <c r="C187" s="4" t="s">
        <v>56</v>
      </c>
      <c r="D187" s="8" t="s">
        <v>25</v>
      </c>
      <c r="E187" s="5">
        <f>'[1]Financial Projections'!$Z$14</f>
        <v>102240.5487189046</v>
      </c>
      <c r="F187" s="4" t="str">
        <f t="shared" si="15"/>
        <v>Forecast</v>
      </c>
    </row>
    <row r="188" spans="1:6" x14ac:dyDescent="0.3">
      <c r="A188" s="3" t="s">
        <v>0</v>
      </c>
      <c r="B188" s="6" t="s">
        <v>2</v>
      </c>
      <c r="C188" s="4" t="s">
        <v>56</v>
      </c>
      <c r="D188" s="8" t="s">
        <v>26</v>
      </c>
      <c r="E188" s="5">
        <f>'[1]Financial Projections'!$AA$14</f>
        <v>120026.86616837833</v>
      </c>
      <c r="F188" s="4" t="str">
        <f t="shared" si="15"/>
        <v>Forecast</v>
      </c>
    </row>
    <row r="189" spans="1:6" x14ac:dyDescent="0.3">
      <c r="A189" s="3" t="s">
        <v>0</v>
      </c>
      <c r="B189" s="6" t="s">
        <v>4</v>
      </c>
      <c r="C189" s="4" t="s">
        <v>56</v>
      </c>
      <c r="D189" s="8" t="s">
        <v>16</v>
      </c>
      <c r="E189" s="5">
        <f>'[1]Income Statement-Banks'!$Q$13*(1-0.25)</f>
        <v>13632.616725</v>
      </c>
      <c r="F189" s="4" t="str">
        <f t="shared" si="15"/>
        <v>Actual</v>
      </c>
    </row>
    <row r="190" spans="1:6" x14ac:dyDescent="0.3">
      <c r="A190" s="3" t="s">
        <v>0</v>
      </c>
      <c r="B190" s="6" t="s">
        <v>4</v>
      </c>
      <c r="C190" s="4" t="s">
        <v>56</v>
      </c>
      <c r="D190" s="8" t="s">
        <v>17</v>
      </c>
      <c r="E190" s="5">
        <f>'[1]Income Statement-Banks'!$R$13*(1-0.25)</f>
        <v>18209.789549999958</v>
      </c>
      <c r="F190" s="4" t="str">
        <f>IF(VALUE(D190)&gt;2024,"Forecast","Actual")</f>
        <v>Actual</v>
      </c>
    </row>
    <row r="191" spans="1:6" x14ac:dyDescent="0.3">
      <c r="A191" s="3" t="s">
        <v>0</v>
      </c>
      <c r="B191" s="6" t="s">
        <v>4</v>
      </c>
      <c r="C191" s="4" t="s">
        <v>56</v>
      </c>
      <c r="D191" s="8" t="s">
        <v>18</v>
      </c>
      <c r="E191" s="5">
        <f>'[1]Income Statement-Banks'!$S$13*(1-0.25)</f>
        <v>27267.128550000038</v>
      </c>
      <c r="F191" s="4" t="str">
        <f t="shared" ref="F191:F199" si="16">IF(VALUE(D191)&gt;2024,"Forecast","Actual")</f>
        <v>Actual</v>
      </c>
    </row>
    <row r="192" spans="1:6" x14ac:dyDescent="0.3">
      <c r="A192" s="3" t="s">
        <v>0</v>
      </c>
      <c r="B192" s="6" t="s">
        <v>4</v>
      </c>
      <c r="C192" s="4" t="s">
        <v>56</v>
      </c>
      <c r="D192" s="8" t="s">
        <v>19</v>
      </c>
      <c r="E192" s="5">
        <f>'[1]Income Statement-Banks'!$T$13*0.75</f>
        <v>42418.822425000035</v>
      </c>
      <c r="F192" s="4" t="str">
        <f t="shared" si="16"/>
        <v>Actual</v>
      </c>
    </row>
    <row r="193" spans="1:6" x14ac:dyDescent="0.3">
      <c r="A193" s="3" t="s">
        <v>0</v>
      </c>
      <c r="B193" s="6" t="s">
        <v>4</v>
      </c>
      <c r="C193" s="4" t="s">
        <v>56</v>
      </c>
      <c r="D193" s="8" t="s">
        <v>20</v>
      </c>
      <c r="E193" s="5">
        <f>'[1]Income Statement-Banks'!$U$13*0.75</f>
        <v>51103.695674999908</v>
      </c>
      <c r="F193" s="4" t="str">
        <f t="shared" si="16"/>
        <v>Actual</v>
      </c>
    </row>
    <row r="194" spans="1:6" x14ac:dyDescent="0.3">
      <c r="A194" s="3" t="s">
        <v>0</v>
      </c>
      <c r="B194" s="6" t="s">
        <v>4</v>
      </c>
      <c r="C194" s="4" t="s">
        <v>56</v>
      </c>
      <c r="D194" s="8" t="s">
        <v>21</v>
      </c>
      <c r="E194" s="5">
        <f>'[1]Financial Projections'!$AE$14</f>
        <v>65752.222358490893</v>
      </c>
      <c r="F194" s="4" t="str">
        <f t="shared" si="16"/>
        <v>Forecast</v>
      </c>
    </row>
    <row r="195" spans="1:6" x14ac:dyDescent="0.3">
      <c r="A195" s="3" t="s">
        <v>0</v>
      </c>
      <c r="B195" s="6" t="s">
        <v>4</v>
      </c>
      <c r="C195" s="4" t="s">
        <v>56</v>
      </c>
      <c r="D195" s="8" t="s">
        <v>22</v>
      </c>
      <c r="E195" s="5">
        <f>'[1]Financial Projections'!$AF$14</f>
        <v>78715.148775338923</v>
      </c>
      <c r="F195" s="4" t="str">
        <f t="shared" si="16"/>
        <v>Forecast</v>
      </c>
    </row>
    <row r="196" spans="1:6" x14ac:dyDescent="0.3">
      <c r="A196" s="3" t="s">
        <v>0</v>
      </c>
      <c r="B196" s="6" t="s">
        <v>4</v>
      </c>
      <c r="C196" s="4" t="s">
        <v>56</v>
      </c>
      <c r="D196" s="8" t="s">
        <v>23</v>
      </c>
      <c r="E196" s="5">
        <f>'[1]Financial Projections'!$AG$14</f>
        <v>81703.994020219237</v>
      </c>
      <c r="F196" s="4" t="str">
        <f t="shared" si="16"/>
        <v>Forecast</v>
      </c>
    </row>
    <row r="197" spans="1:6" x14ac:dyDescent="0.3">
      <c r="A197" s="3" t="s">
        <v>0</v>
      </c>
      <c r="B197" s="6" t="s">
        <v>4</v>
      </c>
      <c r="C197" s="4" t="s">
        <v>56</v>
      </c>
      <c r="D197" s="8" t="s">
        <v>24</v>
      </c>
      <c r="E197" s="5">
        <f>'[1]Financial Projections'!$AH$14</f>
        <v>84386.945375224182</v>
      </c>
      <c r="F197" s="4" t="str">
        <f t="shared" si="16"/>
        <v>Forecast</v>
      </c>
    </row>
    <row r="198" spans="1:6" x14ac:dyDescent="0.3">
      <c r="A198" s="3" t="s">
        <v>0</v>
      </c>
      <c r="B198" s="6" t="s">
        <v>4</v>
      </c>
      <c r="C198" s="4" t="s">
        <v>56</v>
      </c>
      <c r="D198" s="8" t="s">
        <v>25</v>
      </c>
      <c r="E198" s="5">
        <f>'[1]Financial Projections'!$AI$14</f>
        <v>86658.405363091806</v>
      </c>
      <c r="F198" s="4" t="str">
        <f t="shared" si="16"/>
        <v>Forecast</v>
      </c>
    </row>
    <row r="199" spans="1:6" x14ac:dyDescent="0.3">
      <c r="A199" s="3" t="s">
        <v>0</v>
      </c>
      <c r="B199" s="6" t="s">
        <v>4</v>
      </c>
      <c r="C199" s="4" t="s">
        <v>56</v>
      </c>
      <c r="D199" s="8" t="s">
        <v>26</v>
      </c>
      <c r="E199" s="5">
        <f>'[1]Financial Projections'!$AJ$14</f>
        <v>88392.907097402698</v>
      </c>
      <c r="F199" s="4" t="str">
        <f t="shared" si="16"/>
        <v>Forecast</v>
      </c>
    </row>
    <row r="200" spans="1:6" x14ac:dyDescent="0.3">
      <c r="A200" s="3" t="s">
        <v>0</v>
      </c>
      <c r="B200" s="6" t="s">
        <v>6</v>
      </c>
      <c r="C200" s="4" t="s">
        <v>56</v>
      </c>
      <c r="D200" s="8" t="s">
        <v>16</v>
      </c>
      <c r="E200" s="5">
        <f>'[1]Income Statement-NBFCs'!$B$33</f>
        <v>5263.7500000000027</v>
      </c>
      <c r="F200" s="4" t="str">
        <f>IF(VALUE(D200)&gt;2024,"Forecast","Actual")</f>
        <v>Actual</v>
      </c>
    </row>
    <row r="201" spans="1:6" x14ac:dyDescent="0.3">
      <c r="A201" s="3" t="s">
        <v>0</v>
      </c>
      <c r="B201" s="6" t="s">
        <v>6</v>
      </c>
      <c r="C201" s="4" t="s">
        <v>56</v>
      </c>
      <c r="D201" s="8" t="s">
        <v>17</v>
      </c>
      <c r="E201" s="5">
        <f>'[1]Income Statement-NBFCs'!$C$33</f>
        <v>4419.8200000000052</v>
      </c>
      <c r="F201" s="4" t="str">
        <f>IF(VALUE(D201)&gt;2024,"Forecast","Actual")</f>
        <v>Actual</v>
      </c>
    </row>
    <row r="202" spans="1:6" x14ac:dyDescent="0.3">
      <c r="A202" s="3" t="s">
        <v>0</v>
      </c>
      <c r="B202" s="6" t="s">
        <v>6</v>
      </c>
      <c r="C202" s="4" t="s">
        <v>56</v>
      </c>
      <c r="D202" s="8" t="s">
        <v>18</v>
      </c>
      <c r="E202" s="5">
        <f>'[1]Income Statement-NBFCs'!$D$33</f>
        <v>7028.2300000000032</v>
      </c>
      <c r="F202" s="4" t="str">
        <f t="shared" ref="F202:F210" si="17">IF(VALUE(D202)&gt;2024,"Forecast","Actual")</f>
        <v>Actual</v>
      </c>
    </row>
    <row r="203" spans="1:6" x14ac:dyDescent="0.3">
      <c r="A203" s="3" t="s">
        <v>0</v>
      </c>
      <c r="B203" s="6" t="s">
        <v>6</v>
      </c>
      <c r="C203" s="4" t="s">
        <v>56</v>
      </c>
      <c r="D203" s="8" t="s">
        <v>19</v>
      </c>
      <c r="E203" s="5">
        <f>'[1]Income Statement-NBFCs'!$E$33</f>
        <v>11507.689999999995</v>
      </c>
      <c r="F203" s="4" t="str">
        <f t="shared" si="17"/>
        <v>Actual</v>
      </c>
    </row>
    <row r="204" spans="1:6" x14ac:dyDescent="0.3">
      <c r="A204" s="3" t="s">
        <v>0</v>
      </c>
      <c r="B204" s="6" t="s">
        <v>6</v>
      </c>
      <c r="C204" s="4" t="s">
        <v>56</v>
      </c>
      <c r="D204" s="8" t="s">
        <v>20</v>
      </c>
      <c r="E204" s="5">
        <f>'[1]Income Statement-NBFCs'!$F$33</f>
        <v>14451.169999999991</v>
      </c>
      <c r="F204" s="4" t="str">
        <f t="shared" si="17"/>
        <v>Actual</v>
      </c>
    </row>
    <row r="205" spans="1:6" x14ac:dyDescent="0.3">
      <c r="A205" s="3" t="s">
        <v>0</v>
      </c>
      <c r="B205" s="6" t="s">
        <v>6</v>
      </c>
      <c r="C205" s="4" t="s">
        <v>56</v>
      </c>
      <c r="D205" s="8" t="s">
        <v>21</v>
      </c>
      <c r="E205" s="5">
        <f>'[1]Financial Projections'!$AN$14</f>
        <v>21802.869904639745</v>
      </c>
      <c r="F205" s="4" t="str">
        <f t="shared" si="17"/>
        <v>Forecast</v>
      </c>
    </row>
    <row r="206" spans="1:6" x14ac:dyDescent="0.3">
      <c r="A206" s="3" t="s">
        <v>0</v>
      </c>
      <c r="B206" s="6" t="s">
        <v>6</v>
      </c>
      <c r="C206" s="4" t="s">
        <v>56</v>
      </c>
      <c r="D206" s="8" t="s">
        <v>22</v>
      </c>
      <c r="E206" s="5">
        <f>'[1]Financial Projections'!$AO$14</f>
        <v>26527.121515651663</v>
      </c>
      <c r="F206" s="4" t="str">
        <f t="shared" si="17"/>
        <v>Forecast</v>
      </c>
    </row>
    <row r="207" spans="1:6" x14ac:dyDescent="0.3">
      <c r="A207" s="3" t="s">
        <v>0</v>
      </c>
      <c r="B207" s="6" t="s">
        <v>6</v>
      </c>
      <c r="C207" s="4" t="s">
        <v>56</v>
      </c>
      <c r="D207" s="8" t="s">
        <v>23</v>
      </c>
      <c r="E207" s="5">
        <f>'[1]Financial Projections'!$AP$14</f>
        <v>32298.983976438569</v>
      </c>
      <c r="F207" s="4" t="str">
        <f t="shared" si="17"/>
        <v>Forecast</v>
      </c>
    </row>
    <row r="208" spans="1:6" x14ac:dyDescent="0.3">
      <c r="A208" s="3" t="s">
        <v>0</v>
      </c>
      <c r="B208" s="6" t="s">
        <v>6</v>
      </c>
      <c r="C208" s="4" t="s">
        <v>56</v>
      </c>
      <c r="D208" s="8" t="s">
        <v>24</v>
      </c>
      <c r="E208" s="5">
        <f>'[1]Financial Projections'!$AQ$14</f>
        <v>39354.441730338978</v>
      </c>
      <c r="F208" s="4" t="str">
        <f t="shared" si="17"/>
        <v>Forecast</v>
      </c>
    </row>
    <row r="209" spans="1:6" x14ac:dyDescent="0.3">
      <c r="A209" s="3" t="s">
        <v>0</v>
      </c>
      <c r="B209" s="6" t="s">
        <v>6</v>
      </c>
      <c r="C209" s="4" t="s">
        <v>56</v>
      </c>
      <c r="D209" s="8" t="s">
        <v>25</v>
      </c>
      <c r="E209" s="5">
        <f>'[1]Financial Projections'!$AR$14</f>
        <v>47983.187788023002</v>
      </c>
      <c r="F209" s="4" t="str">
        <f t="shared" si="17"/>
        <v>Forecast</v>
      </c>
    </row>
    <row r="210" spans="1:6" x14ac:dyDescent="0.3">
      <c r="A210" s="3" t="s">
        <v>0</v>
      </c>
      <c r="B210" s="6" t="s">
        <v>6</v>
      </c>
      <c r="C210" s="4" t="s">
        <v>56</v>
      </c>
      <c r="D210" s="8" t="s">
        <v>26</v>
      </c>
      <c r="E210" s="5">
        <f>'[1]Financial Projections'!$AS$14</f>
        <v>58540.928724869525</v>
      </c>
      <c r="F210" s="4" t="str">
        <f t="shared" si="17"/>
        <v>Forecast</v>
      </c>
    </row>
    <row r="211" spans="1:6" x14ac:dyDescent="0.3">
      <c r="A211" s="3" t="s">
        <v>0</v>
      </c>
      <c r="B211" s="6" t="s">
        <v>5</v>
      </c>
      <c r="C211" s="4" t="s">
        <v>56</v>
      </c>
      <c r="D211" s="8" t="s">
        <v>16</v>
      </c>
      <c r="E211" s="5">
        <f>'[1]Income Statement-NBFCs'!$G$33</f>
        <v>421.33000000000027</v>
      </c>
      <c r="F211" s="4" t="str">
        <f>IF(VALUE(D211)&gt;2024,"Forecast","Actual")</f>
        <v>Actual</v>
      </c>
    </row>
    <row r="212" spans="1:6" x14ac:dyDescent="0.3">
      <c r="A212" s="3" t="s">
        <v>0</v>
      </c>
      <c r="B212" s="6" t="s">
        <v>5</v>
      </c>
      <c r="C212" s="4" t="s">
        <v>56</v>
      </c>
      <c r="D212" s="8" t="s">
        <v>17</v>
      </c>
      <c r="E212" s="5">
        <f>'[1]Income Statement-NBFCs'!$H$33</f>
        <v>453.18999999999983</v>
      </c>
      <c r="F212" s="4" t="str">
        <f>IF(VALUE(D212)&gt;2024,"Forecast","Actual")</f>
        <v>Actual</v>
      </c>
    </row>
    <row r="213" spans="1:6" x14ac:dyDescent="0.3">
      <c r="A213" s="3" t="s">
        <v>0</v>
      </c>
      <c r="B213" s="6" t="s">
        <v>5</v>
      </c>
      <c r="C213" s="4" t="s">
        <v>56</v>
      </c>
      <c r="D213" s="8" t="s">
        <v>18</v>
      </c>
      <c r="E213" s="5">
        <f>'[1]Income Statement-NBFCs'!$I$33</f>
        <v>709.61999999999921</v>
      </c>
      <c r="F213" s="4" t="str">
        <f t="shared" ref="F213:F221" si="18">IF(VALUE(D213)&gt;2024,"Forecast","Actual")</f>
        <v>Actual</v>
      </c>
    </row>
    <row r="214" spans="1:6" x14ac:dyDescent="0.3">
      <c r="A214" s="3" t="s">
        <v>0</v>
      </c>
      <c r="B214" s="6" t="s">
        <v>5</v>
      </c>
      <c r="C214" s="4" t="s">
        <v>56</v>
      </c>
      <c r="D214" s="8" t="s">
        <v>19</v>
      </c>
      <c r="E214" s="5">
        <f>'[1]Income Statement-NBFCs'!$J$33</f>
        <v>1257.8000000000004</v>
      </c>
      <c r="F214" s="4" t="str">
        <f t="shared" si="18"/>
        <v>Actual</v>
      </c>
    </row>
    <row r="215" spans="1:6" x14ac:dyDescent="0.3">
      <c r="A215" s="3" t="s">
        <v>0</v>
      </c>
      <c r="B215" s="6" t="s">
        <v>5</v>
      </c>
      <c r="C215" s="4" t="s">
        <v>56</v>
      </c>
      <c r="D215" s="8" t="s">
        <v>20</v>
      </c>
      <c r="E215" s="5">
        <f>'[1]Income Statement-NBFCs'!$K$33</f>
        <v>1731.219999999998</v>
      </c>
      <c r="F215" s="4" t="str">
        <f t="shared" si="18"/>
        <v>Actual</v>
      </c>
    </row>
    <row r="216" spans="1:6" x14ac:dyDescent="0.3">
      <c r="A216" s="3" t="s">
        <v>0</v>
      </c>
      <c r="B216" s="6" t="s">
        <v>5</v>
      </c>
      <c r="C216" s="4" t="s">
        <v>56</v>
      </c>
      <c r="D216" s="8" t="s">
        <v>21</v>
      </c>
      <c r="E216" s="5">
        <f>'[1]Financial Projections'!$AW$14</f>
        <v>1360.936590646174</v>
      </c>
      <c r="F216" s="4" t="str">
        <f t="shared" si="18"/>
        <v>Forecast</v>
      </c>
    </row>
    <row r="217" spans="1:6" x14ac:dyDescent="0.3">
      <c r="A217" s="3" t="s">
        <v>0</v>
      </c>
      <c r="B217" s="6" t="s">
        <v>5</v>
      </c>
      <c r="C217" s="4" t="s">
        <v>56</v>
      </c>
      <c r="D217" s="8" t="s">
        <v>22</v>
      </c>
      <c r="E217" s="5">
        <f>'[1]Financial Projections'!$AX$14</f>
        <v>1589.6654294142577</v>
      </c>
      <c r="F217" s="4" t="str">
        <f t="shared" si="18"/>
        <v>Forecast</v>
      </c>
    </row>
    <row r="218" spans="1:6" x14ac:dyDescent="0.3">
      <c r="A218" s="3" t="s">
        <v>0</v>
      </c>
      <c r="B218" s="6" t="s">
        <v>5</v>
      </c>
      <c r="C218" s="4" t="s">
        <v>56</v>
      </c>
      <c r="D218" s="8" t="s">
        <v>23</v>
      </c>
      <c r="E218" s="5">
        <f>'[1]Financial Projections'!$AY$14</f>
        <v>1862.0544961614919</v>
      </c>
      <c r="F218" s="4" t="str">
        <f t="shared" si="18"/>
        <v>Forecast</v>
      </c>
    </row>
    <row r="219" spans="1:6" x14ac:dyDescent="0.3">
      <c r="A219" s="3" t="s">
        <v>0</v>
      </c>
      <c r="B219" s="6" t="s">
        <v>5</v>
      </c>
      <c r="C219" s="4" t="s">
        <v>56</v>
      </c>
      <c r="D219" s="8" t="s">
        <v>24</v>
      </c>
      <c r="E219" s="5">
        <f>'[1]Financial Projections'!$AZ$14</f>
        <v>2186.518754974175</v>
      </c>
      <c r="F219" s="4" t="str">
        <f t="shared" si="18"/>
        <v>Forecast</v>
      </c>
    </row>
    <row r="220" spans="1:6" x14ac:dyDescent="0.3">
      <c r="A220" s="3" t="s">
        <v>0</v>
      </c>
      <c r="B220" s="6" t="s">
        <v>5</v>
      </c>
      <c r="C220" s="4" t="s">
        <v>56</v>
      </c>
      <c r="D220" s="8" t="s">
        <v>25</v>
      </c>
      <c r="E220" s="5">
        <f>'[1]Financial Projections'!$BA$14</f>
        <v>2573.0778109353901</v>
      </c>
      <c r="F220" s="4" t="str">
        <f t="shared" si="18"/>
        <v>Forecast</v>
      </c>
    </row>
    <row r="221" spans="1:6" x14ac:dyDescent="0.3">
      <c r="A221" s="3" t="s">
        <v>0</v>
      </c>
      <c r="B221" s="6" t="s">
        <v>5</v>
      </c>
      <c r="C221" s="4" t="s">
        <v>56</v>
      </c>
      <c r="D221" s="8" t="s">
        <v>26</v>
      </c>
      <c r="E221" s="5">
        <f>'[1]Financial Projections'!$BB$14</f>
        <v>3033.6585318780922</v>
      </c>
      <c r="F221" s="4" t="str">
        <f t="shared" si="18"/>
        <v>Forecast</v>
      </c>
    </row>
    <row r="222" spans="1:6" x14ac:dyDescent="0.3">
      <c r="A222" s="3" t="s">
        <v>0</v>
      </c>
      <c r="B222" s="6" t="s">
        <v>7</v>
      </c>
      <c r="C222" s="4" t="s">
        <v>56</v>
      </c>
      <c r="D222" s="8" t="s">
        <v>16</v>
      </c>
      <c r="E222" s="5">
        <f>'[1]Income Statement-NBFCs'!$L$33</f>
        <v>31686.809999999998</v>
      </c>
      <c r="F222" s="4" t="str">
        <f>IF(VALUE(D222)&gt;2024,"Forecast","Actual")</f>
        <v>Actual</v>
      </c>
    </row>
    <row r="223" spans="1:6" x14ac:dyDescent="0.3">
      <c r="A223" s="3" t="s">
        <v>0</v>
      </c>
      <c r="B223" s="6" t="s">
        <v>7</v>
      </c>
      <c r="C223" s="4" t="s">
        <v>56</v>
      </c>
      <c r="D223" s="8" t="s">
        <v>17</v>
      </c>
      <c r="E223" s="5">
        <f>'[1]Income Statement-NBFCs'!$M$33</f>
        <v>38188.69999999999</v>
      </c>
      <c r="F223" s="4" t="str">
        <f>IF(VALUE(D223)&gt;2024,"Forecast","Actual")</f>
        <v>Actual</v>
      </c>
    </row>
    <row r="224" spans="1:6" x14ac:dyDescent="0.3">
      <c r="A224" s="3" t="s">
        <v>0</v>
      </c>
      <c r="B224" s="6" t="s">
        <v>7</v>
      </c>
      <c r="C224" s="4" t="s">
        <v>56</v>
      </c>
      <c r="D224" s="8" t="s">
        <v>18</v>
      </c>
      <c r="E224" s="5">
        <f>'[1]Income Statement-NBFCs'!$N$33</f>
        <v>40313.240000000005</v>
      </c>
      <c r="F224" s="4" t="str">
        <f t="shared" ref="F224:F232" si="19">IF(VALUE(D224)&gt;2024,"Forecast","Actual")</f>
        <v>Actual</v>
      </c>
    </row>
    <row r="225" spans="1:6" x14ac:dyDescent="0.3">
      <c r="A225" s="3" t="s">
        <v>0</v>
      </c>
      <c r="B225" s="6" t="s">
        <v>7</v>
      </c>
      <c r="C225" s="4" t="s">
        <v>56</v>
      </c>
      <c r="D225" s="8" t="s">
        <v>19</v>
      </c>
      <c r="E225" s="5">
        <f>'[1]Income Statement-NBFCs'!$O$33</f>
        <v>36697.660000000003</v>
      </c>
      <c r="F225" s="4" t="str">
        <f t="shared" si="19"/>
        <v>Actual</v>
      </c>
    </row>
    <row r="226" spans="1:6" x14ac:dyDescent="0.3">
      <c r="A226" s="3" t="s">
        <v>0</v>
      </c>
      <c r="B226" s="6" t="s">
        <v>7</v>
      </c>
      <c r="C226" s="4" t="s">
        <v>56</v>
      </c>
      <c r="D226" s="8" t="s">
        <v>20</v>
      </c>
      <c r="E226" s="5">
        <f>'[1]Income Statement-NBFCs'!$P$33</f>
        <v>44675.94000000001</v>
      </c>
      <c r="F226" s="4" t="str">
        <f t="shared" si="19"/>
        <v>Actual</v>
      </c>
    </row>
    <row r="227" spans="1:6" x14ac:dyDescent="0.3">
      <c r="A227" s="3" t="s">
        <v>0</v>
      </c>
      <c r="B227" s="6" t="s">
        <v>7</v>
      </c>
      <c r="C227" s="4" t="s">
        <v>56</v>
      </c>
      <c r="D227" s="8" t="s">
        <v>21</v>
      </c>
      <c r="E227" s="5">
        <f>'[1]Financial Projections'!$BF$14</f>
        <v>70110.224540334835</v>
      </c>
      <c r="F227" s="4" t="str">
        <f t="shared" si="19"/>
        <v>Forecast</v>
      </c>
    </row>
    <row r="228" spans="1:6" x14ac:dyDescent="0.3">
      <c r="A228" s="3" t="s">
        <v>0</v>
      </c>
      <c r="B228" s="6" t="s">
        <v>7</v>
      </c>
      <c r="C228" s="4" t="s">
        <v>56</v>
      </c>
      <c r="D228" s="8" t="s">
        <v>22</v>
      </c>
      <c r="E228" s="5">
        <f>'[1]Financial Projections'!$BG$14</f>
        <v>79613.82846189657</v>
      </c>
      <c r="F228" s="4" t="str">
        <f t="shared" si="19"/>
        <v>Forecast</v>
      </c>
    </row>
    <row r="229" spans="1:6" x14ac:dyDescent="0.3">
      <c r="A229" s="3" t="s">
        <v>0</v>
      </c>
      <c r="B229" s="6" t="s">
        <v>7</v>
      </c>
      <c r="C229" s="4" t="s">
        <v>56</v>
      </c>
      <c r="D229" s="8" t="s">
        <v>23</v>
      </c>
      <c r="E229" s="5">
        <f>'[1]Financial Projections'!$BH$14</f>
        <v>90409.087715849499</v>
      </c>
      <c r="F229" s="4" t="str">
        <f t="shared" si="19"/>
        <v>Forecast</v>
      </c>
    </row>
    <row r="230" spans="1:6" x14ac:dyDescent="0.3">
      <c r="A230" s="3" t="s">
        <v>0</v>
      </c>
      <c r="B230" s="6" t="s">
        <v>7</v>
      </c>
      <c r="C230" s="4" t="s">
        <v>56</v>
      </c>
      <c r="D230" s="8" t="s">
        <v>24</v>
      </c>
      <c r="E230" s="5">
        <f>'[1]Financial Projections'!$BI$14</f>
        <v>102672.10547967436</v>
      </c>
      <c r="F230" s="4" t="str">
        <f t="shared" si="19"/>
        <v>Forecast</v>
      </c>
    </row>
    <row r="231" spans="1:6" x14ac:dyDescent="0.3">
      <c r="A231" s="3" t="s">
        <v>0</v>
      </c>
      <c r="B231" s="6" t="s">
        <v>7</v>
      </c>
      <c r="C231" s="4" t="s">
        <v>56</v>
      </c>
      <c r="D231" s="8" t="s">
        <v>25</v>
      </c>
      <c r="E231" s="5">
        <f>'[1]Financial Projections'!$BJ$14</f>
        <v>116603.08339549002</v>
      </c>
      <c r="F231" s="4" t="str">
        <f t="shared" si="19"/>
        <v>Forecast</v>
      </c>
    </row>
    <row r="232" spans="1:6" x14ac:dyDescent="0.3">
      <c r="A232" s="3" t="s">
        <v>0</v>
      </c>
      <c r="B232" s="6" t="s">
        <v>7</v>
      </c>
      <c r="C232" s="4" t="s">
        <v>56</v>
      </c>
      <c r="D232" s="8" t="s">
        <v>26</v>
      </c>
      <c r="E232" s="5">
        <f>'[1]Financial Projections'!$BK$14</f>
        <v>132429.63349700524</v>
      </c>
      <c r="F232" s="4" t="str">
        <f t="shared" si="19"/>
        <v>Forecast</v>
      </c>
    </row>
    <row r="233" spans="1:6" x14ac:dyDescent="0.3">
      <c r="A233" s="3" t="s">
        <v>27</v>
      </c>
      <c r="B233" s="6" t="s">
        <v>28</v>
      </c>
      <c r="C233" s="4" t="s">
        <v>14</v>
      </c>
      <c r="D233" s="8" t="s">
        <v>16</v>
      </c>
      <c r="E233" s="5">
        <f>'[2]Income Statement'!$B$5</f>
        <v>161541</v>
      </c>
      <c r="F233" s="4" t="str">
        <f>IF(VALUE(D233)&gt;2024,"Forecast","Actual")</f>
        <v>Actual</v>
      </c>
    </row>
    <row r="234" spans="1:6" x14ac:dyDescent="0.3">
      <c r="A234" s="3" t="s">
        <v>27</v>
      </c>
      <c r="B234" s="6" t="s">
        <v>28</v>
      </c>
      <c r="C234" s="4" t="s">
        <v>14</v>
      </c>
      <c r="D234" s="8" t="s">
        <v>17</v>
      </c>
      <c r="E234" s="5">
        <f>'[2]Income Statement'!$C$5</f>
        <v>167311</v>
      </c>
      <c r="F234" s="4" t="str">
        <f>IF(VALUE(D234)&gt;2024,"Forecast","Actual")</f>
        <v>Actual</v>
      </c>
    </row>
    <row r="235" spans="1:6" x14ac:dyDescent="0.3">
      <c r="A235" s="3" t="s">
        <v>27</v>
      </c>
      <c r="B235" s="6" t="s">
        <v>28</v>
      </c>
      <c r="C235" s="4" t="s">
        <v>14</v>
      </c>
      <c r="D235" s="8" t="s">
        <v>18</v>
      </c>
      <c r="E235" s="5">
        <f>'[2]Income Statement'!$D$5</f>
        <v>195772</v>
      </c>
      <c r="F235" s="4" t="str">
        <f t="shared" ref="F235:F243" si="20">IF(VALUE(D235)&gt;2024,"Forecast","Actual")</f>
        <v>Actual</v>
      </c>
    </row>
    <row r="236" spans="1:6" x14ac:dyDescent="0.3">
      <c r="A236" s="3" t="s">
        <v>27</v>
      </c>
      <c r="B236" s="6" t="s">
        <v>28</v>
      </c>
      <c r="C236" s="4" t="s">
        <v>14</v>
      </c>
      <c r="D236" s="8" t="s">
        <v>19</v>
      </c>
      <c r="E236" s="5">
        <f>'[2]Income Statement'!$E$5</f>
        <v>228907</v>
      </c>
      <c r="F236" s="4" t="str">
        <f t="shared" si="20"/>
        <v>Actual</v>
      </c>
    </row>
    <row r="237" spans="1:6" x14ac:dyDescent="0.3">
      <c r="A237" s="3" t="s">
        <v>27</v>
      </c>
      <c r="B237" s="6" t="s">
        <v>28</v>
      </c>
      <c r="C237" s="4" t="s">
        <v>14</v>
      </c>
      <c r="D237" s="8" t="s">
        <v>20</v>
      </c>
      <c r="E237" s="5">
        <f>'[2]Income Statement'!$F$5</f>
        <v>245315</v>
      </c>
      <c r="F237" s="4" t="str">
        <f t="shared" si="20"/>
        <v>Actual</v>
      </c>
    </row>
    <row r="238" spans="1:6" x14ac:dyDescent="0.3">
      <c r="A238" s="3" t="s">
        <v>27</v>
      </c>
      <c r="B238" s="6" t="s">
        <v>28</v>
      </c>
      <c r="C238" s="4" t="s">
        <v>14</v>
      </c>
      <c r="D238" s="8" t="s">
        <v>21</v>
      </c>
      <c r="E238" s="5">
        <f>[2]Valuation!$D$3</f>
        <v>266693.46367347147</v>
      </c>
      <c r="F238" s="4" t="str">
        <f t="shared" si="20"/>
        <v>Forecast</v>
      </c>
    </row>
    <row r="239" spans="1:6" x14ac:dyDescent="0.3">
      <c r="A239" s="3" t="s">
        <v>27</v>
      </c>
      <c r="B239" s="6" t="s">
        <v>28</v>
      </c>
      <c r="C239" s="4" t="s">
        <v>14</v>
      </c>
      <c r="D239" s="8" t="s">
        <v>22</v>
      </c>
      <c r="E239" s="5">
        <f>[2]Valuation!$E$3</f>
        <v>289934.99609136517</v>
      </c>
      <c r="F239" s="4" t="str">
        <f t="shared" si="20"/>
        <v>Forecast</v>
      </c>
    </row>
    <row r="240" spans="1:6" x14ac:dyDescent="0.3">
      <c r="A240" s="3" t="s">
        <v>27</v>
      </c>
      <c r="B240" s="6" t="s">
        <v>28</v>
      </c>
      <c r="C240" s="4" t="s">
        <v>14</v>
      </c>
      <c r="D240" s="8" t="s">
        <v>23</v>
      </c>
      <c r="E240" s="5">
        <f>[2]Valuation!$F$3</f>
        <v>315201.95808556589</v>
      </c>
      <c r="F240" s="4" t="str">
        <f t="shared" si="20"/>
        <v>Forecast</v>
      </c>
    </row>
    <row r="241" spans="1:6" x14ac:dyDescent="0.3">
      <c r="A241" s="3" t="s">
        <v>27</v>
      </c>
      <c r="B241" s="6" t="s">
        <v>28</v>
      </c>
      <c r="C241" s="4" t="s">
        <v>14</v>
      </c>
      <c r="D241" s="8" t="s">
        <v>24</v>
      </c>
      <c r="E241" s="5">
        <f>[2]Valuation!$G$3</f>
        <v>342670.85974563297</v>
      </c>
      <c r="F241" s="4" t="str">
        <f t="shared" si="20"/>
        <v>Forecast</v>
      </c>
    </row>
    <row r="242" spans="1:6" x14ac:dyDescent="0.3">
      <c r="A242" s="3" t="s">
        <v>27</v>
      </c>
      <c r="B242" s="6" t="s">
        <v>28</v>
      </c>
      <c r="C242" s="4" t="s">
        <v>14</v>
      </c>
      <c r="D242" s="8" t="s">
        <v>25</v>
      </c>
      <c r="E242" s="5">
        <f>[2]Valuation!$H$3</f>
        <v>372533.59348400717</v>
      </c>
      <c r="F242" s="4" t="str">
        <f t="shared" si="20"/>
        <v>Forecast</v>
      </c>
    </row>
    <row r="243" spans="1:6" x14ac:dyDescent="0.3">
      <c r="A243" s="3" t="s">
        <v>27</v>
      </c>
      <c r="B243" s="6" t="s">
        <v>28</v>
      </c>
      <c r="C243" s="4" t="s">
        <v>14</v>
      </c>
      <c r="D243" s="8" t="s">
        <v>26</v>
      </c>
      <c r="E243" s="5">
        <f>[2]Valuation!$I$3</f>
        <v>404998.7745591377</v>
      </c>
      <c r="F243" s="4" t="str">
        <f t="shared" si="20"/>
        <v>Forecast</v>
      </c>
    </row>
    <row r="244" spans="1:6" x14ac:dyDescent="0.3">
      <c r="A244" s="3" t="s">
        <v>27</v>
      </c>
      <c r="B244" s="6" t="s">
        <v>29</v>
      </c>
      <c r="C244" s="4" t="s">
        <v>14</v>
      </c>
      <c r="D244" s="8" t="s">
        <v>16</v>
      </c>
      <c r="E244" s="5">
        <f>'[2]Income Statement'!$I$5</f>
        <v>93594</v>
      </c>
      <c r="F244" s="4" t="str">
        <f>IF(VALUE(D244)&gt;2024,"Forecast","Actual")</f>
        <v>Actual</v>
      </c>
    </row>
    <row r="245" spans="1:6" x14ac:dyDescent="0.3">
      <c r="A245" s="3" t="s">
        <v>27</v>
      </c>
      <c r="B245" s="6" t="s">
        <v>29</v>
      </c>
      <c r="C245" s="4" t="s">
        <v>14</v>
      </c>
      <c r="D245" s="8" t="s">
        <v>17</v>
      </c>
      <c r="E245" s="5">
        <f>'[2]Income Statement'!$J$5</f>
        <v>102673</v>
      </c>
      <c r="F245" s="4" t="str">
        <f>IF(VALUE(D245)&gt;2024,"Forecast","Actual")</f>
        <v>Actual</v>
      </c>
    </row>
    <row r="246" spans="1:6" x14ac:dyDescent="0.3">
      <c r="A246" s="3" t="s">
        <v>27</v>
      </c>
      <c r="B246" s="6" t="s">
        <v>29</v>
      </c>
      <c r="C246" s="4" t="s">
        <v>14</v>
      </c>
      <c r="D246" s="8" t="s">
        <v>18</v>
      </c>
      <c r="E246" s="5">
        <f>'[2]Income Statement'!$K$5</f>
        <v>123936</v>
      </c>
      <c r="F246" s="4" t="str">
        <f t="shared" ref="F246:F254" si="21">IF(VALUE(D246)&gt;2024,"Forecast","Actual")</f>
        <v>Actual</v>
      </c>
    </row>
    <row r="247" spans="1:6" x14ac:dyDescent="0.3">
      <c r="A247" s="3" t="s">
        <v>27</v>
      </c>
      <c r="B247" s="6" t="s">
        <v>29</v>
      </c>
      <c r="C247" s="4" t="s">
        <v>14</v>
      </c>
      <c r="D247" s="8" t="s">
        <v>19</v>
      </c>
      <c r="E247" s="5">
        <f>'[2]Income Statement'!$L$5</f>
        <v>149468</v>
      </c>
      <c r="F247" s="4" t="str">
        <f t="shared" si="21"/>
        <v>Actual</v>
      </c>
    </row>
    <row r="248" spans="1:6" x14ac:dyDescent="0.3">
      <c r="A248" s="3" t="s">
        <v>27</v>
      </c>
      <c r="B248" s="6" t="s">
        <v>29</v>
      </c>
      <c r="C248" s="4" t="s">
        <v>14</v>
      </c>
      <c r="D248" s="8" t="s">
        <v>20</v>
      </c>
      <c r="E248" s="5">
        <f>'[2]Income Statement'!$M$5</f>
        <v>166590</v>
      </c>
      <c r="F248" s="4" t="str">
        <f t="shared" si="21"/>
        <v>Actual</v>
      </c>
    </row>
    <row r="249" spans="1:6" x14ac:dyDescent="0.3">
      <c r="A249" s="3" t="s">
        <v>27</v>
      </c>
      <c r="B249" s="6" t="s">
        <v>29</v>
      </c>
      <c r="C249" s="4" t="s">
        <v>14</v>
      </c>
      <c r="D249" s="8" t="s">
        <v>21</v>
      </c>
      <c r="E249" s="5">
        <f>[2]Valuation!$N$3</f>
        <v>186951.56805154632</v>
      </c>
      <c r="F249" s="4" t="str">
        <f t="shared" si="21"/>
        <v>Forecast</v>
      </c>
    </row>
    <row r="250" spans="1:6" x14ac:dyDescent="0.3">
      <c r="A250" s="3" t="s">
        <v>27</v>
      </c>
      <c r="B250" s="6" t="s">
        <v>29</v>
      </c>
      <c r="C250" s="4" t="s">
        <v>14</v>
      </c>
      <c r="D250" s="8" t="s">
        <v>22</v>
      </c>
      <c r="E250" s="5">
        <f>[2]Valuation!$O$3</f>
        <v>209801.84162874095</v>
      </c>
      <c r="F250" s="4" t="str">
        <f t="shared" si="21"/>
        <v>Forecast</v>
      </c>
    </row>
    <row r="251" spans="1:6" x14ac:dyDescent="0.3">
      <c r="A251" s="3" t="s">
        <v>27</v>
      </c>
      <c r="B251" s="6" t="s">
        <v>29</v>
      </c>
      <c r="C251" s="4" t="s">
        <v>14</v>
      </c>
      <c r="D251" s="8" t="s">
        <v>23</v>
      </c>
      <c r="E251" s="5">
        <f>[2]Valuation!$P$3</f>
        <v>235445.00433756711</v>
      </c>
      <c r="F251" s="4" t="str">
        <f t="shared" si="21"/>
        <v>Forecast</v>
      </c>
    </row>
    <row r="252" spans="1:6" x14ac:dyDescent="0.3">
      <c r="A252" s="3" t="s">
        <v>27</v>
      </c>
      <c r="B252" s="6" t="s">
        <v>29</v>
      </c>
      <c r="C252" s="4" t="s">
        <v>14</v>
      </c>
      <c r="D252" s="8" t="s">
        <v>24</v>
      </c>
      <c r="E252" s="5">
        <f>[2]Valuation!$Q$3</f>
        <v>264222.41881752381</v>
      </c>
      <c r="F252" s="4" t="str">
        <f t="shared" si="21"/>
        <v>Forecast</v>
      </c>
    </row>
    <row r="253" spans="1:6" x14ac:dyDescent="0.3">
      <c r="A253" s="3" t="s">
        <v>27</v>
      </c>
      <c r="B253" s="6" t="s">
        <v>29</v>
      </c>
      <c r="C253" s="4" t="s">
        <v>14</v>
      </c>
      <c r="D253" s="8" t="s">
        <v>25</v>
      </c>
      <c r="E253" s="5">
        <f>[2]Valuation!$R$3</f>
        <v>296517.17097249819</v>
      </c>
      <c r="F253" s="4" t="str">
        <f t="shared" si="21"/>
        <v>Forecast</v>
      </c>
    </row>
    <row r="254" spans="1:6" x14ac:dyDescent="0.3">
      <c r="A254" s="3" t="s">
        <v>27</v>
      </c>
      <c r="B254" s="6" t="s">
        <v>29</v>
      </c>
      <c r="C254" s="4" t="s">
        <v>14</v>
      </c>
      <c r="D254" s="8" t="s">
        <v>26</v>
      </c>
      <c r="E254" s="5">
        <f>[2]Valuation!$S$3</f>
        <v>332759.16962312855</v>
      </c>
      <c r="F254" s="4" t="str">
        <f t="shared" si="21"/>
        <v>Forecast</v>
      </c>
    </row>
    <row r="255" spans="1:6" x14ac:dyDescent="0.3">
      <c r="A255" s="3" t="s">
        <v>27</v>
      </c>
      <c r="B255" s="6" t="s">
        <v>30</v>
      </c>
      <c r="C255" s="4" t="s">
        <v>14</v>
      </c>
      <c r="D255" s="8" t="s">
        <v>16</v>
      </c>
      <c r="E255" s="5">
        <f>'[2]Income Statement'!$P$5</f>
        <v>71265</v>
      </c>
      <c r="F255" s="4" t="str">
        <f>IF(VALUE(D255)&gt;2024,"Forecast","Actual")</f>
        <v>Actual</v>
      </c>
    </row>
    <row r="256" spans="1:6" x14ac:dyDescent="0.3">
      <c r="A256" s="3" t="s">
        <v>27</v>
      </c>
      <c r="B256" s="6" t="s">
        <v>30</v>
      </c>
      <c r="C256" s="4" t="s">
        <v>14</v>
      </c>
      <c r="D256" s="8" t="s">
        <v>17</v>
      </c>
      <c r="E256" s="5">
        <f>'[2]Income Statement'!$Q$5</f>
        <v>76306</v>
      </c>
      <c r="F256" s="4" t="str">
        <f>IF(VALUE(D256)&gt;2024,"Forecast","Actual")</f>
        <v>Actual</v>
      </c>
    </row>
    <row r="257" spans="1:6" x14ac:dyDescent="0.3">
      <c r="A257" s="3" t="s">
        <v>27</v>
      </c>
      <c r="B257" s="6" t="s">
        <v>30</v>
      </c>
      <c r="C257" s="4" t="s">
        <v>14</v>
      </c>
      <c r="D257" s="8" t="s">
        <v>18</v>
      </c>
      <c r="E257" s="5">
        <f>'[2]Income Statement'!$R$5</f>
        <v>86718</v>
      </c>
      <c r="F257" s="4" t="str">
        <f t="shared" ref="F257:F265" si="22">IF(VALUE(D257)&gt;2024,"Forecast","Actual")</f>
        <v>Actual</v>
      </c>
    </row>
    <row r="258" spans="1:6" x14ac:dyDescent="0.3">
      <c r="A258" s="3" t="s">
        <v>27</v>
      </c>
      <c r="B258" s="6" t="s">
        <v>30</v>
      </c>
      <c r="C258" s="4" t="s">
        <v>14</v>
      </c>
      <c r="D258" s="8" t="s">
        <v>19</v>
      </c>
      <c r="E258" s="5">
        <f>'[2]Income Statement'!$S$5</f>
        <v>102814</v>
      </c>
      <c r="F258" s="4" t="str">
        <f t="shared" si="22"/>
        <v>Actual</v>
      </c>
    </row>
    <row r="259" spans="1:6" x14ac:dyDescent="0.3">
      <c r="A259" s="3" t="s">
        <v>27</v>
      </c>
      <c r="B259" s="6" t="s">
        <v>30</v>
      </c>
      <c r="C259" s="4" t="s">
        <v>14</v>
      </c>
      <c r="D259" s="8" t="s">
        <v>20</v>
      </c>
      <c r="E259" s="5">
        <f>'[2]Income Statement'!$T$5</f>
        <v>111408</v>
      </c>
      <c r="F259" s="4" t="str">
        <f t="shared" si="22"/>
        <v>Actual</v>
      </c>
    </row>
    <row r="260" spans="1:6" x14ac:dyDescent="0.3">
      <c r="A260" s="3" t="s">
        <v>27</v>
      </c>
      <c r="B260" s="6" t="s">
        <v>30</v>
      </c>
      <c r="C260" s="4" t="s">
        <v>14</v>
      </c>
      <c r="D260" s="8" t="s">
        <v>21</v>
      </c>
      <c r="E260" s="5">
        <f>[2]Valuation!$X$3</f>
        <v>121821.62701082628</v>
      </c>
      <c r="F260" s="4" t="str">
        <f t="shared" si="22"/>
        <v>Forecast</v>
      </c>
    </row>
    <row r="261" spans="1:6" x14ac:dyDescent="0.3">
      <c r="A261" s="3" t="s">
        <v>27</v>
      </c>
      <c r="B261" s="6" t="s">
        <v>30</v>
      </c>
      <c r="C261" s="4" t="s">
        <v>14</v>
      </c>
      <c r="D261" s="8" t="s">
        <v>22</v>
      </c>
      <c r="E261" s="5">
        <f>[2]Valuation!$Y$3</f>
        <v>133208.64576659558</v>
      </c>
      <c r="F261" s="4" t="str">
        <f t="shared" si="22"/>
        <v>Forecast</v>
      </c>
    </row>
    <row r="262" spans="1:6" x14ac:dyDescent="0.3">
      <c r="A262" s="3" t="s">
        <v>27</v>
      </c>
      <c r="B262" s="6" t="s">
        <v>30</v>
      </c>
      <c r="C262" s="4" t="s">
        <v>14</v>
      </c>
      <c r="D262" s="8" t="s">
        <v>23</v>
      </c>
      <c r="E262" s="5">
        <f>[2]Valuation!$Z$3</f>
        <v>145660.04200053398</v>
      </c>
      <c r="F262" s="4" t="str">
        <f t="shared" si="22"/>
        <v>Forecast</v>
      </c>
    </row>
    <row r="263" spans="1:6" x14ac:dyDescent="0.3">
      <c r="A263" s="3" t="s">
        <v>27</v>
      </c>
      <c r="B263" s="6" t="s">
        <v>30</v>
      </c>
      <c r="C263" s="4" t="s">
        <v>14</v>
      </c>
      <c r="D263" s="8" t="s">
        <v>24</v>
      </c>
      <c r="E263" s="5">
        <f>[2]Valuation!$AA$3</f>
        <v>159275.30614471438</v>
      </c>
      <c r="F263" s="4" t="str">
        <f t="shared" si="22"/>
        <v>Forecast</v>
      </c>
    </row>
    <row r="264" spans="1:6" x14ac:dyDescent="0.3">
      <c r="A264" s="3" t="s">
        <v>27</v>
      </c>
      <c r="B264" s="6" t="s">
        <v>30</v>
      </c>
      <c r="C264" s="4" t="s">
        <v>14</v>
      </c>
      <c r="D264" s="8" t="s">
        <v>25</v>
      </c>
      <c r="E264" s="5">
        <f>[2]Valuation!$AB$3</f>
        <v>174163.22828878145</v>
      </c>
      <c r="F264" s="4" t="str">
        <f t="shared" si="22"/>
        <v>Forecast</v>
      </c>
    </row>
    <row r="265" spans="1:6" x14ac:dyDescent="0.3">
      <c r="A265" s="3" t="s">
        <v>27</v>
      </c>
      <c r="B265" s="6" t="s">
        <v>30</v>
      </c>
      <c r="C265" s="4" t="s">
        <v>14</v>
      </c>
      <c r="D265" s="8" t="s">
        <v>26</v>
      </c>
      <c r="E265" s="5">
        <f>[2]Valuation!$AC$3</f>
        <v>190442.76744576081</v>
      </c>
      <c r="F265" s="4" t="str">
        <f t="shared" si="22"/>
        <v>Forecast</v>
      </c>
    </row>
    <row r="266" spans="1:6" x14ac:dyDescent="0.3">
      <c r="A266" s="3" t="s">
        <v>27</v>
      </c>
      <c r="B266" s="6" t="s">
        <v>31</v>
      </c>
      <c r="C266" s="4" t="s">
        <v>14</v>
      </c>
      <c r="D266" s="8" t="s">
        <v>16</v>
      </c>
      <c r="E266" s="5">
        <f>'[2]Income Statement'!$W$6</f>
        <v>63862.6</v>
      </c>
      <c r="F266" s="4" t="str">
        <f>IF(VALUE(D266)&gt;2024,"Forecast","Actual")</f>
        <v>Actual</v>
      </c>
    </row>
    <row r="267" spans="1:6" x14ac:dyDescent="0.3">
      <c r="A267" s="3" t="s">
        <v>27</v>
      </c>
      <c r="B267" s="6" t="s">
        <v>31</v>
      </c>
      <c r="C267" s="4" t="s">
        <v>14</v>
      </c>
      <c r="D267" s="8" t="s">
        <v>17</v>
      </c>
      <c r="E267" s="5">
        <f>'[2]Income Statement'!$X$6</f>
        <v>64325.599999999999</v>
      </c>
      <c r="F267" s="4" t="str">
        <f>IF(VALUE(D267)&gt;2024,"Forecast","Actual")</f>
        <v>Actual</v>
      </c>
    </row>
    <row r="268" spans="1:6" x14ac:dyDescent="0.3">
      <c r="A268" s="3" t="s">
        <v>27</v>
      </c>
      <c r="B268" s="6" t="s">
        <v>31</v>
      </c>
      <c r="C268" s="4" t="s">
        <v>14</v>
      </c>
      <c r="D268" s="8" t="s">
        <v>18</v>
      </c>
      <c r="E268" s="5">
        <f>'[2]Income Statement'!$Y$6</f>
        <v>81373.2</v>
      </c>
      <c r="F268" s="4" t="str">
        <f t="shared" ref="F268:F276" si="23">IF(VALUE(D268)&gt;2024,"Forecast","Actual")</f>
        <v>Actual</v>
      </c>
    </row>
    <row r="269" spans="1:6" x14ac:dyDescent="0.3">
      <c r="A269" s="3" t="s">
        <v>27</v>
      </c>
      <c r="B269" s="6" t="s">
        <v>31</v>
      </c>
      <c r="C269" s="4" t="s">
        <v>14</v>
      </c>
      <c r="D269" s="8" t="s">
        <v>19</v>
      </c>
      <c r="E269" s="5">
        <f>'[2]Income Statement'!$Z$6</f>
        <v>92762.200000000012</v>
      </c>
      <c r="F269" s="4" t="str">
        <f t="shared" si="23"/>
        <v>Actual</v>
      </c>
    </row>
    <row r="270" spans="1:6" x14ac:dyDescent="0.3">
      <c r="A270" s="3" t="s">
        <v>27</v>
      </c>
      <c r="B270" s="6" t="s">
        <v>31</v>
      </c>
      <c r="C270" s="4" t="s">
        <v>14</v>
      </c>
      <c r="D270" s="8" t="s">
        <v>20</v>
      </c>
      <c r="E270" s="5">
        <f>'[2]Income Statement'!$AA$6</f>
        <v>92391.1</v>
      </c>
      <c r="F270" s="4" t="str">
        <f t="shared" si="23"/>
        <v>Actual</v>
      </c>
    </row>
    <row r="271" spans="1:6" x14ac:dyDescent="0.3">
      <c r="A271" s="3" t="s">
        <v>27</v>
      </c>
      <c r="B271" s="6" t="s">
        <v>31</v>
      </c>
      <c r="C271" s="4" t="s">
        <v>14</v>
      </c>
      <c r="D271" s="8" t="s">
        <v>21</v>
      </c>
      <c r="E271" s="5">
        <f>[2]Valuation!$AH$3</f>
        <v>99473.373395880495</v>
      </c>
      <c r="F271" s="4" t="str">
        <f t="shared" si="23"/>
        <v>Forecast</v>
      </c>
    </row>
    <row r="272" spans="1:6" x14ac:dyDescent="0.3">
      <c r="A272" s="3" t="s">
        <v>27</v>
      </c>
      <c r="B272" s="6" t="s">
        <v>31</v>
      </c>
      <c r="C272" s="4" t="s">
        <v>14</v>
      </c>
      <c r="D272" s="8" t="s">
        <v>22</v>
      </c>
      <c r="E272" s="5">
        <f>[2]Valuation!$AI$3</f>
        <v>107098.54103648798</v>
      </c>
      <c r="F272" s="4" t="str">
        <f t="shared" si="23"/>
        <v>Forecast</v>
      </c>
    </row>
    <row r="273" spans="1:6" x14ac:dyDescent="0.3">
      <c r="A273" s="3" t="s">
        <v>27</v>
      </c>
      <c r="B273" s="6" t="s">
        <v>31</v>
      </c>
      <c r="C273" s="4" t="s">
        <v>14</v>
      </c>
      <c r="D273" s="8" t="s">
        <v>23</v>
      </c>
      <c r="E273" s="5">
        <f>[2]Valuation!$AJ$3</f>
        <v>115308.21867773625</v>
      </c>
      <c r="F273" s="4" t="str">
        <f t="shared" si="23"/>
        <v>Forecast</v>
      </c>
    </row>
    <row r="274" spans="1:6" x14ac:dyDescent="0.3">
      <c r="A274" s="3" t="s">
        <v>27</v>
      </c>
      <c r="B274" s="6" t="s">
        <v>31</v>
      </c>
      <c r="C274" s="4" t="s">
        <v>14</v>
      </c>
      <c r="D274" s="8" t="s">
        <v>24</v>
      </c>
      <c r="E274" s="5">
        <f>[2]Valuation!$AK$3</f>
        <v>124147.21214645456</v>
      </c>
      <c r="F274" s="4" t="str">
        <f t="shared" si="23"/>
        <v>Forecast</v>
      </c>
    </row>
    <row r="275" spans="1:6" x14ac:dyDescent="0.3">
      <c r="A275" s="3" t="s">
        <v>27</v>
      </c>
      <c r="B275" s="6" t="s">
        <v>31</v>
      </c>
      <c r="C275" s="4" t="s">
        <v>14</v>
      </c>
      <c r="D275" s="8" t="s">
        <v>25</v>
      </c>
      <c r="E275" s="5">
        <f>[2]Valuation!$AL$3</f>
        <v>133663.76187643467</v>
      </c>
      <c r="F275" s="4" t="str">
        <f t="shared" si="23"/>
        <v>Forecast</v>
      </c>
    </row>
    <row r="276" spans="1:6" x14ac:dyDescent="0.3">
      <c r="A276" s="3" t="s">
        <v>27</v>
      </c>
      <c r="B276" s="6" t="s">
        <v>31</v>
      </c>
      <c r="C276" s="4" t="s">
        <v>14</v>
      </c>
      <c r="D276" s="8" t="s">
        <v>26</v>
      </c>
      <c r="E276" s="5">
        <f>[2]Valuation!$AM$3</f>
        <v>143909.80618947756</v>
      </c>
      <c r="F276" s="4" t="str">
        <f t="shared" si="23"/>
        <v>Forecast</v>
      </c>
    </row>
    <row r="277" spans="1:6" x14ac:dyDescent="0.3">
      <c r="A277" s="3" t="s">
        <v>27</v>
      </c>
      <c r="B277" s="6" t="s">
        <v>32</v>
      </c>
      <c r="C277" s="4" t="s">
        <v>14</v>
      </c>
      <c r="D277" s="8" t="s">
        <v>16</v>
      </c>
      <c r="E277" s="5">
        <f>'[2]Income Statement'!$AD$5</f>
        <v>11207.800000000001</v>
      </c>
      <c r="F277" s="4" t="str">
        <f>IF(VALUE(D277)&gt;2024,"Forecast","Actual")</f>
        <v>Actual</v>
      </c>
    </row>
    <row r="278" spans="1:6" x14ac:dyDescent="0.3">
      <c r="A278" s="3" t="s">
        <v>27</v>
      </c>
      <c r="B278" s="6" t="s">
        <v>32</v>
      </c>
      <c r="C278" s="4" t="s">
        <v>14</v>
      </c>
      <c r="D278" s="8" t="s">
        <v>17</v>
      </c>
      <c r="E278" s="5">
        <f>'[2]Income Statement'!$AE$5</f>
        <v>12644.199999999999</v>
      </c>
      <c r="F278" s="4" t="str">
        <f>IF(VALUE(D278)&gt;2024,"Forecast","Actual")</f>
        <v>Actual</v>
      </c>
    </row>
    <row r="279" spans="1:6" x14ac:dyDescent="0.3">
      <c r="A279" s="3" t="s">
        <v>27</v>
      </c>
      <c r="B279" s="6" t="s">
        <v>32</v>
      </c>
      <c r="C279" s="4" t="s">
        <v>14</v>
      </c>
      <c r="D279" s="8" t="s">
        <v>18</v>
      </c>
      <c r="E279" s="5">
        <f>'[2]Income Statement'!$AF$5</f>
        <v>26874.5</v>
      </c>
      <c r="F279" s="4" t="str">
        <f t="shared" ref="F279:F287" si="24">IF(VALUE(D279)&gt;2024,"Forecast","Actual")</f>
        <v>Actual</v>
      </c>
    </row>
    <row r="280" spans="1:6" x14ac:dyDescent="0.3">
      <c r="A280" s="3" t="s">
        <v>27</v>
      </c>
      <c r="B280" s="6" t="s">
        <v>32</v>
      </c>
      <c r="C280" s="4" t="s">
        <v>14</v>
      </c>
      <c r="D280" s="8" t="s">
        <v>19</v>
      </c>
      <c r="E280" s="5">
        <f>'[2]Income Statement'!$AG$5</f>
        <v>33739.9</v>
      </c>
      <c r="F280" s="4" t="str">
        <f t="shared" si="24"/>
        <v>Actual</v>
      </c>
    </row>
    <row r="281" spans="1:6" x14ac:dyDescent="0.3">
      <c r="A281" s="3" t="s">
        <v>27</v>
      </c>
      <c r="B281" s="6" t="s">
        <v>32</v>
      </c>
      <c r="C281" s="4" t="s">
        <v>14</v>
      </c>
      <c r="D281" s="8" t="s">
        <v>20</v>
      </c>
      <c r="E281" s="5">
        <f>'[2]Income Statement'!$AH$5</f>
        <v>36218.9</v>
      </c>
      <c r="F281" s="4" t="str">
        <f t="shared" si="24"/>
        <v>Actual</v>
      </c>
    </row>
    <row r="282" spans="1:6" x14ac:dyDescent="0.3">
      <c r="A282" s="3" t="s">
        <v>27</v>
      </c>
      <c r="B282" s="6" t="s">
        <v>32</v>
      </c>
      <c r="C282" s="4" t="s">
        <v>14</v>
      </c>
      <c r="D282" s="8" t="s">
        <v>21</v>
      </c>
      <c r="E282" s="5">
        <f>[2]Valuation!$AR$3</f>
        <v>45795.017891588599</v>
      </c>
      <c r="F282" s="4" t="str">
        <f t="shared" si="24"/>
        <v>Forecast</v>
      </c>
    </row>
    <row r="283" spans="1:6" x14ac:dyDescent="0.3">
      <c r="A283" s="3" t="s">
        <v>27</v>
      </c>
      <c r="B283" s="6" t="s">
        <v>32</v>
      </c>
      <c r="C283" s="4" t="s">
        <v>14</v>
      </c>
      <c r="D283" s="8" t="s">
        <v>22</v>
      </c>
      <c r="E283" s="5">
        <f>[2]Valuation!$AS$3</f>
        <v>57903.019243845614</v>
      </c>
      <c r="F283" s="4" t="str">
        <f t="shared" si="24"/>
        <v>Forecast</v>
      </c>
    </row>
    <row r="284" spans="1:6" x14ac:dyDescent="0.3">
      <c r="A284" s="3" t="s">
        <v>27</v>
      </c>
      <c r="B284" s="6" t="s">
        <v>32</v>
      </c>
      <c r="C284" s="4" t="s">
        <v>14</v>
      </c>
      <c r="D284" s="8" t="s">
        <v>23</v>
      </c>
      <c r="E284" s="5">
        <f>[2]Valuation!$AT$3</f>
        <v>73212.322910107949</v>
      </c>
      <c r="F284" s="4" t="str">
        <f t="shared" si="24"/>
        <v>Forecast</v>
      </c>
    </row>
    <row r="285" spans="1:6" x14ac:dyDescent="0.3">
      <c r="A285" s="3" t="s">
        <v>27</v>
      </c>
      <c r="B285" s="6" t="s">
        <v>32</v>
      </c>
      <c r="C285" s="4" t="s">
        <v>14</v>
      </c>
      <c r="D285" s="8" t="s">
        <v>24</v>
      </c>
      <c r="E285" s="5">
        <f>[2]Valuation!$AU$3</f>
        <v>92569.339144843034</v>
      </c>
      <c r="F285" s="4" t="str">
        <f t="shared" si="24"/>
        <v>Forecast</v>
      </c>
    </row>
    <row r="286" spans="1:6" x14ac:dyDescent="0.3">
      <c r="A286" s="3" t="s">
        <v>27</v>
      </c>
      <c r="B286" s="6" t="s">
        <v>32</v>
      </c>
      <c r="C286" s="4" t="s">
        <v>14</v>
      </c>
      <c r="D286" s="8" t="s">
        <v>25</v>
      </c>
      <c r="E286" s="5">
        <f>[2]Valuation!$AV$3</f>
        <v>117044.26535180857</v>
      </c>
      <c r="F286" s="4" t="str">
        <f t="shared" si="24"/>
        <v>Forecast</v>
      </c>
    </row>
    <row r="287" spans="1:6" x14ac:dyDescent="0.3">
      <c r="A287" s="3" t="s">
        <v>27</v>
      </c>
      <c r="B287" s="6" t="s">
        <v>32</v>
      </c>
      <c r="C287" s="4" t="s">
        <v>14</v>
      </c>
      <c r="D287" s="8" t="s">
        <v>26</v>
      </c>
      <c r="E287" s="5">
        <f>[2]Valuation!$AW$3</f>
        <v>147990.25442224686</v>
      </c>
      <c r="F287" s="4" t="str">
        <f t="shared" si="24"/>
        <v>Forecast</v>
      </c>
    </row>
    <row r="288" spans="1:6" x14ac:dyDescent="0.3">
      <c r="A288" s="3" t="s">
        <v>27</v>
      </c>
      <c r="B288" s="6" t="s">
        <v>28</v>
      </c>
      <c r="C288" s="4" t="s">
        <v>56</v>
      </c>
      <c r="D288" s="8" t="s">
        <v>16</v>
      </c>
      <c r="E288" s="5">
        <f>'[2]Income Statement'!$B$21</f>
        <v>32447</v>
      </c>
      <c r="F288" s="4" t="str">
        <f t="shared" ref="F288:F298" si="25">IF(VALUE(D288)&gt;2024,"Forecast","Actual")</f>
        <v>Actual</v>
      </c>
    </row>
    <row r="289" spans="1:6" x14ac:dyDescent="0.3">
      <c r="A289" s="3" t="s">
        <v>27</v>
      </c>
      <c r="B289" s="6" t="s">
        <v>28</v>
      </c>
      <c r="C289" s="4" t="s">
        <v>56</v>
      </c>
      <c r="D289" s="8" t="s">
        <v>17</v>
      </c>
      <c r="E289" s="5">
        <f>'[2]Income Statement'!$C$21</f>
        <v>32562</v>
      </c>
      <c r="F289" s="4" t="str">
        <f t="shared" si="25"/>
        <v>Actual</v>
      </c>
    </row>
    <row r="290" spans="1:6" x14ac:dyDescent="0.3">
      <c r="A290" s="3" t="s">
        <v>27</v>
      </c>
      <c r="B290" s="6" t="s">
        <v>28</v>
      </c>
      <c r="C290" s="4" t="s">
        <v>56</v>
      </c>
      <c r="D290" s="8" t="s">
        <v>18</v>
      </c>
      <c r="E290" s="5">
        <f>'[2]Income Statement'!$D$21</f>
        <v>38449</v>
      </c>
      <c r="F290" s="4" t="str">
        <f t="shared" si="25"/>
        <v>Actual</v>
      </c>
    </row>
    <row r="291" spans="1:6" x14ac:dyDescent="0.3">
      <c r="A291" s="3" t="s">
        <v>27</v>
      </c>
      <c r="B291" s="6" t="s">
        <v>28</v>
      </c>
      <c r="C291" s="4" t="s">
        <v>56</v>
      </c>
      <c r="D291" s="8" t="s">
        <v>19</v>
      </c>
      <c r="E291" s="5">
        <f>'[2]Income Statement'!$E$21</f>
        <v>42303</v>
      </c>
      <c r="F291" s="4" t="str">
        <f t="shared" si="25"/>
        <v>Actual</v>
      </c>
    </row>
    <row r="292" spans="1:6" x14ac:dyDescent="0.3">
      <c r="A292" s="3" t="s">
        <v>27</v>
      </c>
      <c r="B292" s="6" t="s">
        <v>28</v>
      </c>
      <c r="C292" s="4" t="s">
        <v>56</v>
      </c>
      <c r="D292" s="8" t="s">
        <v>20</v>
      </c>
      <c r="E292" s="5">
        <f>'[2]Income Statement'!$F$21</f>
        <v>46099</v>
      </c>
      <c r="F292" s="4" t="str">
        <f t="shared" si="25"/>
        <v>Actual</v>
      </c>
    </row>
    <row r="293" spans="1:6" x14ac:dyDescent="0.3">
      <c r="A293" s="3" t="s">
        <v>27</v>
      </c>
      <c r="B293" s="6" t="s">
        <v>28</v>
      </c>
      <c r="C293" s="4" t="s">
        <v>56</v>
      </c>
      <c r="D293" s="8" t="s">
        <v>21</v>
      </c>
      <c r="E293" s="5">
        <f>[2]Valuation!$D$7</f>
        <v>50895.621668761829</v>
      </c>
      <c r="F293" s="4" t="str">
        <f t="shared" si="25"/>
        <v>Forecast</v>
      </c>
    </row>
    <row r="294" spans="1:6" x14ac:dyDescent="0.3">
      <c r="A294" s="3" t="s">
        <v>27</v>
      </c>
      <c r="B294" s="6" t="s">
        <v>28</v>
      </c>
      <c r="C294" s="4" t="s">
        <v>56</v>
      </c>
      <c r="D294" s="8" t="s">
        <v>22</v>
      </c>
      <c r="E294" s="5">
        <f>[2]Valuation!$E$7</f>
        <v>55019.02147988294</v>
      </c>
      <c r="F294" s="4" t="str">
        <f t="shared" si="25"/>
        <v>Forecast</v>
      </c>
    </row>
    <row r="295" spans="1:6" x14ac:dyDescent="0.3">
      <c r="A295" s="3" t="s">
        <v>27</v>
      </c>
      <c r="B295" s="6" t="s">
        <v>28</v>
      </c>
      <c r="C295" s="4" t="s">
        <v>56</v>
      </c>
      <c r="D295" s="8" t="s">
        <v>23</v>
      </c>
      <c r="E295" s="5">
        <f>[2]Valuation!$F$7</f>
        <v>59476.485900981876</v>
      </c>
      <c r="F295" s="4" t="str">
        <f t="shared" si="25"/>
        <v>Forecast</v>
      </c>
    </row>
    <row r="296" spans="1:6" x14ac:dyDescent="0.3">
      <c r="A296" s="3" t="s">
        <v>27</v>
      </c>
      <c r="B296" s="6" t="s">
        <v>28</v>
      </c>
      <c r="C296" s="4" t="s">
        <v>56</v>
      </c>
      <c r="D296" s="8" t="s">
        <v>24</v>
      </c>
      <c r="E296" s="5">
        <f>[2]Valuation!$G$7</f>
        <v>64295.079773876452</v>
      </c>
      <c r="F296" s="4" t="str">
        <f t="shared" si="25"/>
        <v>Forecast</v>
      </c>
    </row>
    <row r="297" spans="1:6" x14ac:dyDescent="0.3">
      <c r="A297" s="3" t="s">
        <v>27</v>
      </c>
      <c r="B297" s="6" t="s">
        <v>28</v>
      </c>
      <c r="C297" s="4" t="s">
        <v>56</v>
      </c>
      <c r="D297" s="8" t="s">
        <v>25</v>
      </c>
      <c r="E297" s="5">
        <f>[2]Valuation!$H$7</f>
        <v>69504.060646947066</v>
      </c>
      <c r="F297" s="4" t="str">
        <f t="shared" si="25"/>
        <v>Forecast</v>
      </c>
    </row>
    <row r="298" spans="1:6" x14ac:dyDescent="0.3">
      <c r="A298" s="3" t="s">
        <v>27</v>
      </c>
      <c r="B298" s="6" t="s">
        <v>28</v>
      </c>
      <c r="C298" s="4" t="s">
        <v>56</v>
      </c>
      <c r="D298" s="8" t="s">
        <v>26</v>
      </c>
      <c r="E298" s="5">
        <f>[2]Valuation!$I$7</f>
        <v>75135.056421180314</v>
      </c>
      <c r="F298" s="4" t="str">
        <f t="shared" si="25"/>
        <v>Forecast</v>
      </c>
    </row>
    <row r="299" spans="1:6" x14ac:dyDescent="0.3">
      <c r="A299" s="3" t="s">
        <v>27</v>
      </c>
      <c r="B299" s="6" t="s">
        <v>29</v>
      </c>
      <c r="C299" s="4" t="s">
        <v>56</v>
      </c>
      <c r="D299" s="8" t="s">
        <v>16</v>
      </c>
      <c r="E299" s="5">
        <f>'[2]Income Statement'!$I$22</f>
        <v>16639</v>
      </c>
      <c r="F299" s="4" t="str">
        <f t="shared" ref="F299:F309" si="26">IF(VALUE(D299)&gt;2024,"Forecast","Actual")</f>
        <v>Actual</v>
      </c>
    </row>
    <row r="300" spans="1:6" x14ac:dyDescent="0.3">
      <c r="A300" s="3" t="s">
        <v>27</v>
      </c>
      <c r="B300" s="6" t="s">
        <v>29</v>
      </c>
      <c r="C300" s="4" t="s">
        <v>56</v>
      </c>
      <c r="D300" s="8" t="s">
        <v>17</v>
      </c>
      <c r="E300" s="5">
        <f>'[2]Income Statement'!$J$22</f>
        <v>19423</v>
      </c>
      <c r="F300" s="4" t="str">
        <f t="shared" si="26"/>
        <v>Actual</v>
      </c>
    </row>
    <row r="301" spans="1:6" x14ac:dyDescent="0.3">
      <c r="A301" s="3" t="s">
        <v>27</v>
      </c>
      <c r="B301" s="6" t="s">
        <v>29</v>
      </c>
      <c r="C301" s="4" t="s">
        <v>56</v>
      </c>
      <c r="D301" s="8" t="s">
        <v>18</v>
      </c>
      <c r="E301" s="5">
        <f>'[2]Income Statement'!$K$22</f>
        <v>22146</v>
      </c>
      <c r="F301" s="4" t="str">
        <f t="shared" si="26"/>
        <v>Actual</v>
      </c>
    </row>
    <row r="302" spans="1:6" x14ac:dyDescent="0.3">
      <c r="A302" s="3" t="s">
        <v>27</v>
      </c>
      <c r="B302" s="6" t="s">
        <v>29</v>
      </c>
      <c r="C302" s="4" t="s">
        <v>56</v>
      </c>
      <c r="D302" s="8" t="s">
        <v>19</v>
      </c>
      <c r="E302" s="5">
        <f>'[2]Income Statement'!$L$22</f>
        <v>24108</v>
      </c>
      <c r="F302" s="4" t="str">
        <f t="shared" si="26"/>
        <v>Actual</v>
      </c>
    </row>
    <row r="303" spans="1:6" x14ac:dyDescent="0.3">
      <c r="A303" s="3" t="s">
        <v>27</v>
      </c>
      <c r="B303" s="6" t="s">
        <v>29</v>
      </c>
      <c r="C303" s="4" t="s">
        <v>56</v>
      </c>
      <c r="D303" s="8" t="s">
        <v>20</v>
      </c>
      <c r="E303" s="5">
        <f>'[2]Income Statement'!$M$22</f>
        <v>26750</v>
      </c>
      <c r="F303" s="4" t="str">
        <f t="shared" si="26"/>
        <v>Actual</v>
      </c>
    </row>
    <row r="304" spans="1:6" x14ac:dyDescent="0.3">
      <c r="A304" s="3" t="s">
        <v>27</v>
      </c>
      <c r="B304" s="6" t="s">
        <v>29</v>
      </c>
      <c r="C304" s="4" t="s">
        <v>56</v>
      </c>
      <c r="D304" s="8" t="s">
        <v>21</v>
      </c>
      <c r="E304" s="5">
        <f>[2]Valuation!$N$7</f>
        <v>31765.088206654531</v>
      </c>
      <c r="F304" s="4" t="str">
        <f t="shared" si="26"/>
        <v>Forecast</v>
      </c>
    </row>
    <row r="305" spans="1:6" x14ac:dyDescent="0.3">
      <c r="A305" s="3" t="s">
        <v>27</v>
      </c>
      <c r="B305" s="6" t="s">
        <v>29</v>
      </c>
      <c r="C305" s="4" t="s">
        <v>56</v>
      </c>
      <c r="D305" s="8" t="s">
        <v>22</v>
      </c>
      <c r="E305" s="5">
        <f>[2]Valuation!$O$7</f>
        <v>35381.893147364572</v>
      </c>
      <c r="F305" s="4" t="str">
        <f t="shared" si="26"/>
        <v>Forecast</v>
      </c>
    </row>
    <row r="306" spans="1:6" x14ac:dyDescent="0.3">
      <c r="A306" s="3" t="s">
        <v>27</v>
      </c>
      <c r="B306" s="6" t="s">
        <v>29</v>
      </c>
      <c r="C306" s="4" t="s">
        <v>56</v>
      </c>
      <c r="D306" s="8" t="s">
        <v>23</v>
      </c>
      <c r="E306" s="5">
        <f>[2]Valuation!$P$7</f>
        <v>39410.511141891475</v>
      </c>
      <c r="F306" s="4" t="str">
        <f t="shared" si="26"/>
        <v>Forecast</v>
      </c>
    </row>
    <row r="307" spans="1:6" x14ac:dyDescent="0.3">
      <c r="A307" s="3" t="s">
        <v>27</v>
      </c>
      <c r="B307" s="6" t="s">
        <v>29</v>
      </c>
      <c r="C307" s="4" t="s">
        <v>56</v>
      </c>
      <c r="D307" s="8" t="s">
        <v>24</v>
      </c>
      <c r="E307" s="5">
        <f>[2]Valuation!$Q$7</f>
        <v>43897.83163936896</v>
      </c>
      <c r="F307" s="4" t="str">
        <f t="shared" si="26"/>
        <v>Forecast</v>
      </c>
    </row>
    <row r="308" spans="1:6" x14ac:dyDescent="0.3">
      <c r="A308" s="3" t="s">
        <v>27</v>
      </c>
      <c r="B308" s="6" t="s">
        <v>29</v>
      </c>
      <c r="C308" s="4" t="s">
        <v>56</v>
      </c>
      <c r="D308" s="8" t="s">
        <v>25</v>
      </c>
      <c r="E308" s="5">
        <f>[2]Valuation!$R$7</f>
        <v>48896.082968841612</v>
      </c>
      <c r="F308" s="4" t="str">
        <f t="shared" si="26"/>
        <v>Forecast</v>
      </c>
    </row>
    <row r="309" spans="1:6" x14ac:dyDescent="0.3">
      <c r="A309" s="3" t="s">
        <v>27</v>
      </c>
      <c r="B309" s="6" t="s">
        <v>29</v>
      </c>
      <c r="C309" s="4" t="s">
        <v>56</v>
      </c>
      <c r="D309" s="8" t="s">
        <v>26</v>
      </c>
      <c r="E309" s="5">
        <f>[2]Valuation!$S$7</f>
        <v>54463.440229509506</v>
      </c>
      <c r="F309" s="4" t="str">
        <f t="shared" si="26"/>
        <v>Forecast</v>
      </c>
    </row>
    <row r="310" spans="1:6" x14ac:dyDescent="0.3">
      <c r="A310" s="3" t="s">
        <v>27</v>
      </c>
      <c r="B310" s="6" t="s">
        <v>30</v>
      </c>
      <c r="C310" s="4" t="s">
        <v>56</v>
      </c>
      <c r="D310" s="8" t="s">
        <v>16</v>
      </c>
      <c r="E310" s="5">
        <f>'[2]Income Statement'!$P$20</f>
        <v>11057</v>
      </c>
      <c r="F310" s="4" t="str">
        <f t="shared" ref="F310:F320" si="27">IF(VALUE(D310)&gt;2024,"Forecast","Actual")</f>
        <v>Actual</v>
      </c>
    </row>
    <row r="311" spans="1:6" x14ac:dyDescent="0.3">
      <c r="A311" s="3" t="s">
        <v>27</v>
      </c>
      <c r="B311" s="6" t="s">
        <v>30</v>
      </c>
      <c r="C311" s="4" t="s">
        <v>56</v>
      </c>
      <c r="D311" s="8" t="s">
        <v>17</v>
      </c>
      <c r="E311" s="5">
        <f>'[2]Income Statement'!$Q$20</f>
        <v>11169</v>
      </c>
      <c r="F311" s="4" t="str">
        <f t="shared" si="27"/>
        <v>Actual</v>
      </c>
    </row>
    <row r="312" spans="1:6" x14ac:dyDescent="0.3">
      <c r="A312" s="3" t="s">
        <v>27</v>
      </c>
      <c r="B312" s="6" t="s">
        <v>30</v>
      </c>
      <c r="C312" s="4" t="s">
        <v>56</v>
      </c>
      <c r="D312" s="8" t="s">
        <v>18</v>
      </c>
      <c r="E312" s="5">
        <f>'[2]Income Statement'!$R$20</f>
        <v>13523</v>
      </c>
      <c r="F312" s="4" t="str">
        <f t="shared" si="27"/>
        <v>Actual</v>
      </c>
    </row>
    <row r="313" spans="1:6" x14ac:dyDescent="0.3">
      <c r="A313" s="3" t="s">
        <v>27</v>
      </c>
      <c r="B313" s="6" t="s">
        <v>30</v>
      </c>
      <c r="C313" s="4" t="s">
        <v>56</v>
      </c>
      <c r="D313" s="8" t="s">
        <v>19</v>
      </c>
      <c r="E313" s="5">
        <f>'[2]Income Statement'!$S$20</f>
        <v>14845</v>
      </c>
      <c r="F313" s="4" t="str">
        <f t="shared" si="27"/>
        <v>Actual</v>
      </c>
    </row>
    <row r="314" spans="1:6" x14ac:dyDescent="0.3">
      <c r="A314" s="3" t="s">
        <v>27</v>
      </c>
      <c r="B314" s="6" t="s">
        <v>30</v>
      </c>
      <c r="C314" s="4" t="s">
        <v>56</v>
      </c>
      <c r="D314" s="8" t="s">
        <v>20</v>
      </c>
      <c r="E314" s="5">
        <f>'[2]Income Statement'!$T$20</f>
        <v>15710</v>
      </c>
      <c r="F314" s="4" t="str">
        <f t="shared" si="27"/>
        <v>Actual</v>
      </c>
    </row>
    <row r="315" spans="1:6" x14ac:dyDescent="0.3">
      <c r="A315" s="3" t="s">
        <v>27</v>
      </c>
      <c r="B315" s="6" t="s">
        <v>30</v>
      </c>
      <c r="C315" s="4" t="s">
        <v>56</v>
      </c>
      <c r="D315" s="8" t="s">
        <v>21</v>
      </c>
      <c r="E315" s="5">
        <f>[2]Valuation!$X$7</f>
        <v>31901.550083251055</v>
      </c>
      <c r="F315" s="4" t="str">
        <f t="shared" si="27"/>
        <v>Forecast</v>
      </c>
    </row>
    <row r="316" spans="1:6" x14ac:dyDescent="0.3">
      <c r="A316" s="3" t="s">
        <v>27</v>
      </c>
      <c r="B316" s="6" t="s">
        <v>30</v>
      </c>
      <c r="C316" s="4" t="s">
        <v>56</v>
      </c>
      <c r="D316" s="8" t="s">
        <v>22</v>
      </c>
      <c r="E316" s="5">
        <f>[2]Valuation!$Y$7</f>
        <v>38175.416991200844</v>
      </c>
      <c r="F316" s="4" t="str">
        <f t="shared" si="27"/>
        <v>Forecast</v>
      </c>
    </row>
    <row r="317" spans="1:6" x14ac:dyDescent="0.3">
      <c r="A317" s="3" t="s">
        <v>27</v>
      </c>
      <c r="B317" s="6" t="s">
        <v>30</v>
      </c>
      <c r="C317" s="4" t="s">
        <v>56</v>
      </c>
      <c r="D317" s="8" t="s">
        <v>23</v>
      </c>
      <c r="E317" s="5">
        <f>[2]Valuation!$Z$7</f>
        <v>45683.123818400607</v>
      </c>
      <c r="F317" s="4" t="str">
        <f t="shared" si="27"/>
        <v>Forecast</v>
      </c>
    </row>
    <row r="318" spans="1:6" x14ac:dyDescent="0.3">
      <c r="A318" s="3" t="s">
        <v>27</v>
      </c>
      <c r="B318" s="6" t="s">
        <v>30</v>
      </c>
      <c r="C318" s="4" t="s">
        <v>56</v>
      </c>
      <c r="D318" s="8" t="s">
        <v>24</v>
      </c>
      <c r="E318" s="5">
        <f>[2]Valuation!$AA$7</f>
        <v>54667.321703083086</v>
      </c>
      <c r="F318" s="4" t="str">
        <f t="shared" si="27"/>
        <v>Forecast</v>
      </c>
    </row>
    <row r="319" spans="1:6" x14ac:dyDescent="0.3">
      <c r="A319" s="3" t="s">
        <v>27</v>
      </c>
      <c r="B319" s="6" t="s">
        <v>30</v>
      </c>
      <c r="C319" s="4" t="s">
        <v>56</v>
      </c>
      <c r="D319" s="8" t="s">
        <v>25</v>
      </c>
      <c r="E319" s="5">
        <f>[2]Valuation!$AB$7</f>
        <v>65418.382378322407</v>
      </c>
      <c r="F319" s="4" t="str">
        <f t="shared" si="27"/>
        <v>Forecast</v>
      </c>
    </row>
    <row r="320" spans="1:6" x14ac:dyDescent="0.3">
      <c r="A320" s="3" t="s">
        <v>27</v>
      </c>
      <c r="B320" s="6" t="s">
        <v>30</v>
      </c>
      <c r="C320" s="4" t="s">
        <v>56</v>
      </c>
      <c r="D320" s="8" t="s">
        <v>26</v>
      </c>
      <c r="E320" s="5">
        <f>[2]Valuation!$AC$7</f>
        <v>78283.783065872209</v>
      </c>
      <c r="F320" s="4" t="str">
        <f t="shared" si="27"/>
        <v>Forecast</v>
      </c>
    </row>
    <row r="321" spans="1:6" x14ac:dyDescent="0.3">
      <c r="A321" s="3" t="s">
        <v>27</v>
      </c>
      <c r="B321" s="6" t="s">
        <v>31</v>
      </c>
      <c r="C321" s="4" t="s">
        <v>56</v>
      </c>
      <c r="D321" s="8" t="s">
        <v>16</v>
      </c>
      <c r="E321" s="5">
        <f>'[2]Income Statement'!$W$28</f>
        <v>9771.7999999999993</v>
      </c>
      <c r="F321" s="4" t="str">
        <f t="shared" ref="F321:F331" si="28">IF(VALUE(D321)&gt;2024,"Forecast","Actual")</f>
        <v>Actual</v>
      </c>
    </row>
    <row r="322" spans="1:6" x14ac:dyDescent="0.3">
      <c r="A322" s="3" t="s">
        <v>27</v>
      </c>
      <c r="B322" s="6" t="s">
        <v>31</v>
      </c>
      <c r="C322" s="4" t="s">
        <v>56</v>
      </c>
      <c r="D322" s="8" t="s">
        <v>17</v>
      </c>
      <c r="E322" s="5">
        <f>'[2]Income Statement'!$X$28</f>
        <v>10867.999999999995</v>
      </c>
      <c r="F322" s="4" t="str">
        <f t="shared" si="28"/>
        <v>Actual</v>
      </c>
    </row>
    <row r="323" spans="1:6" x14ac:dyDescent="0.3">
      <c r="A323" s="3" t="s">
        <v>27</v>
      </c>
      <c r="B323" s="6" t="s">
        <v>31</v>
      </c>
      <c r="C323" s="4" t="s">
        <v>56</v>
      </c>
      <c r="D323" s="8" t="s">
        <v>18</v>
      </c>
      <c r="E323" s="5">
        <f>'[2]Income Statement'!$Y$28</f>
        <v>12243.399999999992</v>
      </c>
      <c r="F323" s="4" t="str">
        <f t="shared" si="28"/>
        <v>Actual</v>
      </c>
    </row>
    <row r="324" spans="1:6" x14ac:dyDescent="0.3">
      <c r="A324" s="3" t="s">
        <v>27</v>
      </c>
      <c r="B324" s="6" t="s">
        <v>31</v>
      </c>
      <c r="C324" s="4" t="s">
        <v>56</v>
      </c>
      <c r="D324" s="8" t="s">
        <v>19</v>
      </c>
      <c r="E324" s="5">
        <f>'[2]Income Statement'!$Z$28</f>
        <v>11366.499999999993</v>
      </c>
      <c r="F324" s="4" t="str">
        <f t="shared" si="28"/>
        <v>Actual</v>
      </c>
    </row>
    <row r="325" spans="1:6" x14ac:dyDescent="0.3">
      <c r="A325" s="3" t="s">
        <v>27</v>
      </c>
      <c r="B325" s="6" t="s">
        <v>31</v>
      </c>
      <c r="C325" s="4" t="s">
        <v>56</v>
      </c>
      <c r="D325" s="8" t="s">
        <v>20</v>
      </c>
      <c r="E325" s="5">
        <f>'[2]Income Statement'!$AA$28</f>
        <v>11112.100000000019</v>
      </c>
      <c r="F325" s="4" t="str">
        <f t="shared" si="28"/>
        <v>Actual</v>
      </c>
    </row>
    <row r="326" spans="1:6" x14ac:dyDescent="0.3">
      <c r="A326" s="3" t="s">
        <v>27</v>
      </c>
      <c r="B326" s="6" t="s">
        <v>31</v>
      </c>
      <c r="C326" s="4" t="s">
        <v>56</v>
      </c>
      <c r="D326" s="8" t="s">
        <v>21</v>
      </c>
      <c r="E326" s="5">
        <f>[2]Valuation!$AH$7</f>
        <v>12489.442870163821</v>
      </c>
      <c r="F326" s="4" t="str">
        <f t="shared" si="28"/>
        <v>Forecast</v>
      </c>
    </row>
    <row r="327" spans="1:6" x14ac:dyDescent="0.3">
      <c r="A327" s="3" t="s">
        <v>27</v>
      </c>
      <c r="B327" s="6" t="s">
        <v>31</v>
      </c>
      <c r="C327" s="4" t="s">
        <v>56</v>
      </c>
      <c r="D327" s="8" t="s">
        <v>22</v>
      </c>
      <c r="E327" s="5">
        <f>[2]Valuation!$AI$7</f>
        <v>13018.213192714637</v>
      </c>
      <c r="F327" s="4" t="str">
        <f t="shared" si="28"/>
        <v>Forecast</v>
      </c>
    </row>
    <row r="328" spans="1:6" x14ac:dyDescent="0.3">
      <c r="A328" s="3" t="s">
        <v>27</v>
      </c>
      <c r="B328" s="6" t="s">
        <v>31</v>
      </c>
      <c r="C328" s="4" t="s">
        <v>56</v>
      </c>
      <c r="D328" s="8" t="s">
        <v>23</v>
      </c>
      <c r="E328" s="5">
        <f>[2]Valuation!$AJ$7</f>
        <v>13569.370266773676</v>
      </c>
      <c r="F328" s="4" t="str">
        <f t="shared" si="28"/>
        <v>Forecast</v>
      </c>
    </row>
    <row r="329" spans="1:6" x14ac:dyDescent="0.3">
      <c r="A329" s="3" t="s">
        <v>27</v>
      </c>
      <c r="B329" s="6" t="s">
        <v>31</v>
      </c>
      <c r="C329" s="4" t="s">
        <v>56</v>
      </c>
      <c r="D329" s="8" t="s">
        <v>24</v>
      </c>
      <c r="E329" s="5">
        <f>[2]Valuation!$AK$7</f>
        <v>14143.861888807038</v>
      </c>
      <c r="F329" s="4" t="str">
        <f t="shared" si="28"/>
        <v>Forecast</v>
      </c>
    </row>
    <row r="330" spans="1:6" x14ac:dyDescent="0.3">
      <c r="A330" s="3" t="s">
        <v>27</v>
      </c>
      <c r="B330" s="6" t="s">
        <v>31</v>
      </c>
      <c r="C330" s="4" t="s">
        <v>56</v>
      </c>
      <c r="D330" s="8" t="s">
        <v>25</v>
      </c>
      <c r="E330" s="5">
        <f>[2]Valuation!$AL$7</f>
        <v>14742.675982502526</v>
      </c>
      <c r="F330" s="4" t="str">
        <f t="shared" si="28"/>
        <v>Forecast</v>
      </c>
    </row>
    <row r="331" spans="1:6" x14ac:dyDescent="0.3">
      <c r="A331" s="3" t="s">
        <v>27</v>
      </c>
      <c r="B331" s="6" t="s">
        <v>31</v>
      </c>
      <c r="C331" s="4" t="s">
        <v>56</v>
      </c>
      <c r="D331" s="8" t="s">
        <v>26</v>
      </c>
      <c r="E331" s="5">
        <f>[2]Valuation!$AM$7</f>
        <v>15366.842297651201</v>
      </c>
      <c r="F331" s="4" t="str">
        <f t="shared" si="28"/>
        <v>Forecast</v>
      </c>
    </row>
    <row r="332" spans="1:6" x14ac:dyDescent="0.3">
      <c r="A332" s="3" t="s">
        <v>27</v>
      </c>
      <c r="B332" s="6" t="s">
        <v>32</v>
      </c>
      <c r="C332" s="4" t="s">
        <v>56</v>
      </c>
      <c r="D332" s="8" t="s">
        <v>16</v>
      </c>
      <c r="E332" s="5">
        <f>'[2]Income Statement'!$AD$18</f>
        <v>1520.4999999999995</v>
      </c>
      <c r="F332" s="4" t="str">
        <f t="shared" ref="F332:F342" si="29">IF(VALUE(D332)&gt;2024,"Forecast","Actual")</f>
        <v>Actual</v>
      </c>
    </row>
    <row r="333" spans="1:6" x14ac:dyDescent="0.3">
      <c r="A333" s="3" t="s">
        <v>27</v>
      </c>
      <c r="B333" s="6" t="s">
        <v>32</v>
      </c>
      <c r="C333" s="4" t="s">
        <v>56</v>
      </c>
      <c r="D333" s="8" t="s">
        <v>17</v>
      </c>
      <c r="E333" s="5">
        <f>'[2]Income Statement'!$AE$18</f>
        <v>1938.2000000000007</v>
      </c>
      <c r="F333" s="4" t="str">
        <f t="shared" si="29"/>
        <v>Actual</v>
      </c>
    </row>
    <row r="334" spans="1:6" x14ac:dyDescent="0.3">
      <c r="A334" s="3" t="s">
        <v>27</v>
      </c>
      <c r="B334" s="6" t="s">
        <v>32</v>
      </c>
      <c r="C334" s="4" t="s">
        <v>56</v>
      </c>
      <c r="D334" s="8" t="s">
        <v>18</v>
      </c>
      <c r="E334" s="5">
        <f>'[2]Income Statement'!$AF$18</f>
        <v>3950.0000000000018</v>
      </c>
      <c r="F334" s="4" t="str">
        <f t="shared" si="29"/>
        <v>Actual</v>
      </c>
    </row>
    <row r="335" spans="1:6" x14ac:dyDescent="0.3">
      <c r="A335" s="3" t="s">
        <v>27</v>
      </c>
      <c r="B335" s="6" t="s">
        <v>32</v>
      </c>
      <c r="C335" s="4" t="s">
        <v>56</v>
      </c>
      <c r="D335" s="8" t="s">
        <v>19</v>
      </c>
      <c r="E335" s="5">
        <f>'[2]Income Statement'!$AG$18</f>
        <v>4410.3</v>
      </c>
      <c r="F335" s="4" t="str">
        <f t="shared" si="29"/>
        <v>Actual</v>
      </c>
    </row>
    <row r="336" spans="1:6" x14ac:dyDescent="0.3">
      <c r="A336" s="3" t="s">
        <v>27</v>
      </c>
      <c r="B336" s="6" t="s">
        <v>32</v>
      </c>
      <c r="C336" s="4" t="s">
        <v>56</v>
      </c>
      <c r="D336" s="8" t="s">
        <v>20</v>
      </c>
      <c r="E336" s="5">
        <f>'[2]Income Statement'!$AH$18</f>
        <v>4584.5999999999967</v>
      </c>
      <c r="F336" s="4" t="str">
        <f t="shared" si="29"/>
        <v>Actual</v>
      </c>
    </row>
    <row r="337" spans="1:6" x14ac:dyDescent="0.3">
      <c r="A337" s="3" t="s">
        <v>27</v>
      </c>
      <c r="B337" s="6" t="s">
        <v>32</v>
      </c>
      <c r="C337" s="4" t="s">
        <v>56</v>
      </c>
      <c r="D337" s="8" t="s">
        <v>21</v>
      </c>
      <c r="E337" s="5">
        <f>[2]Valuation!$AR$7</f>
        <v>5861.0242720854794</v>
      </c>
      <c r="F337" s="4" t="str">
        <f t="shared" si="29"/>
        <v>Forecast</v>
      </c>
    </row>
    <row r="338" spans="1:6" x14ac:dyDescent="0.3">
      <c r="A338" s="3" t="s">
        <v>27</v>
      </c>
      <c r="B338" s="6" t="s">
        <v>32</v>
      </c>
      <c r="C338" s="4" t="s">
        <v>56</v>
      </c>
      <c r="D338" s="8" t="s">
        <v>22</v>
      </c>
      <c r="E338" s="5">
        <f>[2]Valuation!$AS$7</f>
        <v>7304.5006204761303</v>
      </c>
      <c r="F338" s="4" t="str">
        <f t="shared" si="29"/>
        <v>Forecast</v>
      </c>
    </row>
    <row r="339" spans="1:6" x14ac:dyDescent="0.3">
      <c r="A339" s="3" t="s">
        <v>27</v>
      </c>
      <c r="B339" s="6" t="s">
        <v>32</v>
      </c>
      <c r="C339" s="4" t="s">
        <v>56</v>
      </c>
      <c r="D339" s="8" t="s">
        <v>23</v>
      </c>
      <c r="E339" s="5">
        <f>[2]Valuation!$AT$7</f>
        <v>9103.4820600650819</v>
      </c>
      <c r="F339" s="4" t="str">
        <f t="shared" si="29"/>
        <v>Forecast</v>
      </c>
    </row>
    <row r="340" spans="1:6" x14ac:dyDescent="0.3">
      <c r="A340" s="3" t="s">
        <v>27</v>
      </c>
      <c r="B340" s="6" t="s">
        <v>32</v>
      </c>
      <c r="C340" s="4" t="s">
        <v>56</v>
      </c>
      <c r="D340" s="8" t="s">
        <v>24</v>
      </c>
      <c r="E340" s="5">
        <f>[2]Valuation!$AU$7</f>
        <v>11345.523797426256</v>
      </c>
      <c r="F340" s="4" t="str">
        <f t="shared" si="29"/>
        <v>Forecast</v>
      </c>
    </row>
    <row r="341" spans="1:6" x14ac:dyDescent="0.3">
      <c r="A341" s="3" t="s">
        <v>27</v>
      </c>
      <c r="B341" s="6" t="s">
        <v>32</v>
      </c>
      <c r="C341" s="4" t="s">
        <v>56</v>
      </c>
      <c r="D341" s="8" t="s">
        <v>25</v>
      </c>
      <c r="E341" s="5">
        <f>[2]Valuation!$AV$7</f>
        <v>14139.744483337321</v>
      </c>
      <c r="F341" s="4" t="str">
        <f t="shared" si="29"/>
        <v>Forecast</v>
      </c>
    </row>
    <row r="342" spans="1:6" x14ac:dyDescent="0.3">
      <c r="A342" s="3" t="s">
        <v>27</v>
      </c>
      <c r="B342" s="6" t="s">
        <v>32</v>
      </c>
      <c r="C342" s="4" t="s">
        <v>56</v>
      </c>
      <c r="D342" s="8" t="s">
        <v>26</v>
      </c>
      <c r="E342" s="5">
        <f>[2]Valuation!$AW$7</f>
        <v>17622.136943507452</v>
      </c>
      <c r="F342" s="4" t="str">
        <f t="shared" si="29"/>
        <v>Forecast</v>
      </c>
    </row>
    <row r="343" spans="1:6" x14ac:dyDescent="0.3">
      <c r="A343" s="3" t="s">
        <v>33</v>
      </c>
      <c r="B343" s="6" t="s">
        <v>34</v>
      </c>
      <c r="C343" s="4" t="s">
        <v>14</v>
      </c>
      <c r="D343" s="8" t="s">
        <v>16</v>
      </c>
      <c r="E343" s="5">
        <f>'[3]Income Statement'!$B$6</f>
        <v>78994.399999999994</v>
      </c>
      <c r="F343" s="4" t="str">
        <f>IF(VALUE(D343)&gt;2025,"Forecast","Actual")</f>
        <v>Actual</v>
      </c>
    </row>
    <row r="344" spans="1:6" x14ac:dyDescent="0.3">
      <c r="A344" s="3" t="s">
        <v>33</v>
      </c>
      <c r="B344" s="6" t="s">
        <v>34</v>
      </c>
      <c r="C344" s="4" t="s">
        <v>14</v>
      </c>
      <c r="D344" s="8" t="s">
        <v>17</v>
      </c>
      <c r="E344" s="5">
        <f>'[3]Income Statement'!$C$6</f>
        <v>73308.3</v>
      </c>
      <c r="F344" s="4" t="str">
        <f t="shared" ref="F344:F363" si="30">IF(VALUE(D344)&gt;2025,"Forecast","Actual")</f>
        <v>Actual</v>
      </c>
    </row>
    <row r="345" spans="1:6" x14ac:dyDescent="0.3">
      <c r="A345" s="3" t="s">
        <v>33</v>
      </c>
      <c r="B345" s="6" t="s">
        <v>34</v>
      </c>
      <c r="C345" s="4" t="s">
        <v>14</v>
      </c>
      <c r="D345" s="8" t="s">
        <v>18</v>
      </c>
      <c r="E345" s="5">
        <f>'[3]Income Statement'!$D$6</f>
        <v>90074.5</v>
      </c>
      <c r="F345" s="4" t="str">
        <f t="shared" si="30"/>
        <v>Actual</v>
      </c>
    </row>
    <row r="346" spans="1:6" x14ac:dyDescent="0.3">
      <c r="A346" s="3" t="s">
        <v>33</v>
      </c>
      <c r="B346" s="6" t="s">
        <v>34</v>
      </c>
      <c r="C346" s="4" t="s">
        <v>14</v>
      </c>
      <c r="D346" s="8" t="s">
        <v>19</v>
      </c>
      <c r="E346" s="5">
        <f>'[3]Income Statement'!$E$6</f>
        <v>119712</v>
      </c>
      <c r="F346" s="4" t="str">
        <f t="shared" si="30"/>
        <v>Actual</v>
      </c>
    </row>
    <row r="347" spans="1:6" x14ac:dyDescent="0.3">
      <c r="A347" s="3" t="s">
        <v>33</v>
      </c>
      <c r="B347" s="6" t="s">
        <v>34</v>
      </c>
      <c r="C347" s="4" t="s">
        <v>14</v>
      </c>
      <c r="D347" s="8" t="s">
        <v>20</v>
      </c>
      <c r="E347" s="5">
        <f>'[3]Income Statement'!$F$6</f>
        <v>144787.29999999999</v>
      </c>
      <c r="F347" s="4" t="str">
        <f t="shared" si="30"/>
        <v>Actual</v>
      </c>
    </row>
    <row r="348" spans="1:6" x14ac:dyDescent="0.3">
      <c r="A348" s="3" t="s">
        <v>33</v>
      </c>
      <c r="B348" s="6" t="s">
        <v>34</v>
      </c>
      <c r="C348" s="4" t="s">
        <v>14</v>
      </c>
      <c r="D348" s="8" t="s">
        <v>21</v>
      </c>
      <c r="E348" s="5">
        <f>'[3]Income Statement'!$G$6</f>
        <v>156650.5</v>
      </c>
      <c r="F348" s="4" t="str">
        <f t="shared" si="30"/>
        <v>Actual</v>
      </c>
    </row>
    <row r="349" spans="1:6" x14ac:dyDescent="0.3">
      <c r="A349" s="3" t="s">
        <v>33</v>
      </c>
      <c r="B349" s="6" t="s">
        <v>34</v>
      </c>
      <c r="C349" s="4" t="s">
        <v>14</v>
      </c>
      <c r="D349" s="8" t="s">
        <v>22</v>
      </c>
      <c r="E349" s="5">
        <f>'[3]Valuation-FCFF'!$D$3</f>
        <v>161753.61646641558</v>
      </c>
      <c r="F349" s="4" t="str">
        <f t="shared" si="30"/>
        <v>Forecast</v>
      </c>
    </row>
    <row r="350" spans="1:6" x14ac:dyDescent="0.3">
      <c r="A350" s="3" t="s">
        <v>33</v>
      </c>
      <c r="B350" s="6" t="s">
        <v>34</v>
      </c>
      <c r="C350" s="4" t="s">
        <v>14</v>
      </c>
      <c r="D350" s="8" t="s">
        <v>23</v>
      </c>
      <c r="E350" s="5">
        <f>'[3]Valuation-FCFF'!$E$3</f>
        <v>180299.73731190301</v>
      </c>
      <c r="F350" s="4" t="str">
        <f t="shared" si="30"/>
        <v>Forecast</v>
      </c>
    </row>
    <row r="351" spans="1:6" x14ac:dyDescent="0.3">
      <c r="A351" s="3" t="s">
        <v>33</v>
      </c>
      <c r="B351" s="6" t="s">
        <v>34</v>
      </c>
      <c r="C351" s="4" t="s">
        <v>14</v>
      </c>
      <c r="D351" s="8" t="s">
        <v>24</v>
      </c>
      <c r="E351" s="5">
        <f>'[3]Valuation-FCFF'!$F$3</f>
        <v>200972.29344786098</v>
      </c>
      <c r="F351" s="4" t="str">
        <f t="shared" si="30"/>
        <v>Forecast</v>
      </c>
    </row>
    <row r="352" spans="1:6" x14ac:dyDescent="0.3">
      <c r="A352" s="3" t="s">
        <v>33</v>
      </c>
      <c r="B352" s="6" t="s">
        <v>34</v>
      </c>
      <c r="C352" s="4" t="s">
        <v>14</v>
      </c>
      <c r="D352" s="8" t="s">
        <v>25</v>
      </c>
      <c r="E352" s="5">
        <f>'[3]Valuation-FCFF'!$G$3</f>
        <v>224015.09472985068</v>
      </c>
      <c r="F352" s="4" t="str">
        <f t="shared" si="30"/>
        <v>Forecast</v>
      </c>
    </row>
    <row r="353" spans="1:6" x14ac:dyDescent="0.3">
      <c r="A353" s="3" t="s">
        <v>33</v>
      </c>
      <c r="B353" s="6" t="s">
        <v>34</v>
      </c>
      <c r="C353" s="4" t="s">
        <v>14</v>
      </c>
      <c r="D353" s="8" t="s">
        <v>26</v>
      </c>
      <c r="E353" s="5">
        <f>'[3]Valuation-FCFF'!$H$3</f>
        <v>249699.90542424237</v>
      </c>
      <c r="F353" s="4" t="str">
        <f t="shared" si="30"/>
        <v>Forecast</v>
      </c>
    </row>
    <row r="354" spans="1:6" x14ac:dyDescent="0.3">
      <c r="A354" s="3" t="s">
        <v>33</v>
      </c>
      <c r="B354" s="6" t="s">
        <v>35</v>
      </c>
      <c r="C354" s="4" t="s">
        <v>14</v>
      </c>
      <c r="D354" s="8" t="s">
        <v>16</v>
      </c>
      <c r="E354" s="5">
        <f>'[3]Income Statement'!$J$6</f>
        <v>76410.62</v>
      </c>
      <c r="F354" s="4" t="str">
        <f t="shared" si="30"/>
        <v>Actual</v>
      </c>
    </row>
    <row r="355" spans="1:6" x14ac:dyDescent="0.3">
      <c r="A355" s="3" t="s">
        <v>33</v>
      </c>
      <c r="B355" s="6" t="s">
        <v>35</v>
      </c>
      <c r="C355" s="4" t="s">
        <v>14</v>
      </c>
      <c r="D355" s="8" t="s">
        <v>17</v>
      </c>
      <c r="E355" s="5">
        <f>'[3]Income Statement'!$K$6</f>
        <v>75310.89</v>
      </c>
      <c r="F355" s="4" t="str">
        <f t="shared" si="30"/>
        <v>Actual</v>
      </c>
    </row>
    <row r="356" spans="1:6" x14ac:dyDescent="0.3">
      <c r="A356" s="3" t="s">
        <v>33</v>
      </c>
      <c r="B356" s="6" t="s">
        <v>35</v>
      </c>
      <c r="C356" s="4" t="s">
        <v>14</v>
      </c>
      <c r="D356" s="8" t="s">
        <v>18</v>
      </c>
      <c r="E356" s="5">
        <f>'[3]Income Statement'!$L$6</f>
        <v>91105.08</v>
      </c>
      <c r="F356" s="4" t="str">
        <f t="shared" si="30"/>
        <v>Actual</v>
      </c>
    </row>
    <row r="357" spans="1:6" x14ac:dyDescent="0.3">
      <c r="A357" s="3" t="s">
        <v>33</v>
      </c>
      <c r="B357" s="6" t="s">
        <v>35</v>
      </c>
      <c r="C357" s="4" t="s">
        <v>14</v>
      </c>
      <c r="D357" s="8" t="s">
        <v>19</v>
      </c>
      <c r="E357" s="5">
        <f>'[3]Income Statement'!$M$6</f>
        <v>122475.04000000001</v>
      </c>
      <c r="F357" s="4" t="str">
        <f t="shared" si="30"/>
        <v>Actual</v>
      </c>
    </row>
    <row r="358" spans="1:6" x14ac:dyDescent="0.3">
      <c r="A358" s="3" t="s">
        <v>33</v>
      </c>
      <c r="B358" s="6" t="s">
        <v>35</v>
      </c>
      <c r="C358" s="4" t="s">
        <v>14</v>
      </c>
      <c r="D358" s="8" t="s">
        <v>20</v>
      </c>
      <c r="E358" s="5">
        <f>'[3]Income Statement'!$N$6</f>
        <v>141254.69</v>
      </c>
      <c r="F358" s="4" t="str">
        <f t="shared" si="30"/>
        <v>Actual</v>
      </c>
    </row>
    <row r="359" spans="1:6" x14ac:dyDescent="0.3">
      <c r="A359" s="3" t="s">
        <v>33</v>
      </c>
      <c r="B359" s="6" t="s">
        <v>35</v>
      </c>
      <c r="C359" s="4" t="s">
        <v>14</v>
      </c>
      <c r="D359" s="8" t="s">
        <v>21</v>
      </c>
      <c r="E359" s="5">
        <f>'[3]Income Statement'!$O$6</f>
        <v>161391.87</v>
      </c>
      <c r="F359" s="4" t="str">
        <f t="shared" si="30"/>
        <v>Actual</v>
      </c>
    </row>
    <row r="360" spans="1:6" x14ac:dyDescent="0.3">
      <c r="A360" s="3" t="s">
        <v>33</v>
      </c>
      <c r="B360" s="6" t="s">
        <v>35</v>
      </c>
      <c r="C360" s="4" t="s">
        <v>14</v>
      </c>
      <c r="D360" s="8" t="s">
        <v>22</v>
      </c>
      <c r="E360" s="5">
        <f>'[3]Valuation-FCFF'!$M$3</f>
        <v>179730.04496472565</v>
      </c>
      <c r="F360" s="4" t="str">
        <f t="shared" si="30"/>
        <v>Forecast</v>
      </c>
    </row>
    <row r="361" spans="1:6" x14ac:dyDescent="0.3">
      <c r="A361" s="3" t="s">
        <v>33</v>
      </c>
      <c r="B361" s="6" t="s">
        <v>35</v>
      </c>
      <c r="C361" s="4" t="s">
        <v>14</v>
      </c>
      <c r="D361" s="8" t="s">
        <v>23</v>
      </c>
      <c r="E361" s="5">
        <f>'[3]Valuation-FCFF'!$N$3</f>
        <v>203483.08619712663</v>
      </c>
      <c r="F361" s="4" t="str">
        <f t="shared" si="30"/>
        <v>Forecast</v>
      </c>
    </row>
    <row r="362" spans="1:6" x14ac:dyDescent="0.3">
      <c r="A362" s="3" t="s">
        <v>33</v>
      </c>
      <c r="B362" s="6" t="s">
        <v>35</v>
      </c>
      <c r="C362" s="4" t="s">
        <v>14</v>
      </c>
      <c r="D362" s="8" t="s">
        <v>24</v>
      </c>
      <c r="E362" s="5">
        <f>'[3]Valuation-FCFF'!$O$3</f>
        <v>230375.31858645895</v>
      </c>
      <c r="F362" s="4" t="str">
        <f t="shared" si="30"/>
        <v>Forecast</v>
      </c>
    </row>
    <row r="363" spans="1:6" x14ac:dyDescent="0.3">
      <c r="A363" s="3" t="s">
        <v>33</v>
      </c>
      <c r="B363" s="6" t="s">
        <v>35</v>
      </c>
      <c r="C363" s="4" t="s">
        <v>14</v>
      </c>
      <c r="D363" s="8" t="s">
        <v>25</v>
      </c>
      <c r="E363" s="5">
        <f>'[3]Valuation-FCFF'!$P$3</f>
        <v>260821.61621235474</v>
      </c>
      <c r="F363" s="4" t="str">
        <f t="shared" si="30"/>
        <v>Forecast</v>
      </c>
    </row>
    <row r="364" spans="1:6" x14ac:dyDescent="0.3">
      <c r="A364" s="3" t="s">
        <v>33</v>
      </c>
      <c r="B364" s="6" t="s">
        <v>35</v>
      </c>
      <c r="C364" s="4" t="s">
        <v>14</v>
      </c>
      <c r="D364" s="8" t="s">
        <v>26</v>
      </c>
      <c r="E364" s="5">
        <f>'[3]Valuation-FCFF'!$Q$3</f>
        <v>295291.68272465898</v>
      </c>
      <c r="F364" s="4" t="str">
        <f>IF(VALUE(D364)&gt;2024,"Forecast","Actual")</f>
        <v>Forecast</v>
      </c>
    </row>
    <row r="365" spans="1:6" x14ac:dyDescent="0.3">
      <c r="A365" s="3" t="s">
        <v>33</v>
      </c>
      <c r="B365" s="6" t="s">
        <v>36</v>
      </c>
      <c r="C365" s="4" t="s">
        <v>14</v>
      </c>
      <c r="D365" s="8" t="s">
        <v>16</v>
      </c>
      <c r="E365" s="5">
        <f>'[3]Income Statement'!$R$8</f>
        <v>264041.12</v>
      </c>
      <c r="F365" s="4" t="str">
        <f>IF(VALUE(D365)&gt;2025,"Forecast","Actual")</f>
        <v>Actual</v>
      </c>
    </row>
    <row r="366" spans="1:6" x14ac:dyDescent="0.3">
      <c r="A366" s="3" t="s">
        <v>33</v>
      </c>
      <c r="B366" s="6" t="s">
        <v>36</v>
      </c>
      <c r="C366" s="4" t="s">
        <v>14</v>
      </c>
      <c r="D366" s="8" t="s">
        <v>17</v>
      </c>
      <c r="E366" s="5">
        <f>'[3]Income Statement'!$S$8</f>
        <v>252437.94</v>
      </c>
      <c r="F366" s="4" t="str">
        <f t="shared" ref="F366:F375" si="31">IF(VALUE(D366)&gt;2025,"Forecast","Actual")</f>
        <v>Actual</v>
      </c>
    </row>
    <row r="367" spans="1:6" x14ac:dyDescent="0.3">
      <c r="A367" s="3" t="s">
        <v>33</v>
      </c>
      <c r="B367" s="6" t="s">
        <v>36</v>
      </c>
      <c r="C367" s="4" t="s">
        <v>14</v>
      </c>
      <c r="D367" s="8" t="s">
        <v>18</v>
      </c>
      <c r="E367" s="5">
        <f>'[3]Income Statement'!$T$8</f>
        <v>281507.25</v>
      </c>
      <c r="F367" s="4" t="str">
        <f t="shared" si="31"/>
        <v>Actual</v>
      </c>
    </row>
    <row r="368" spans="1:6" x14ac:dyDescent="0.3">
      <c r="A368" s="3" t="s">
        <v>33</v>
      </c>
      <c r="B368" s="6" t="s">
        <v>36</v>
      </c>
      <c r="C368" s="4" t="s">
        <v>14</v>
      </c>
      <c r="D368" s="8" t="s">
        <v>19</v>
      </c>
      <c r="E368" s="5">
        <f>'[3]Income Statement'!$U$8</f>
        <v>350600.15</v>
      </c>
      <c r="F368" s="4" t="str">
        <f t="shared" si="31"/>
        <v>Actual</v>
      </c>
    </row>
    <row r="369" spans="1:6" x14ac:dyDescent="0.3">
      <c r="A369" s="3" t="s">
        <v>33</v>
      </c>
      <c r="B369" s="6" t="s">
        <v>36</v>
      </c>
      <c r="C369" s="4" t="s">
        <v>14</v>
      </c>
      <c r="D369" s="8" t="s">
        <v>20</v>
      </c>
      <c r="E369" s="5">
        <f>'[3]Income Statement'!$V$8</f>
        <v>439708</v>
      </c>
      <c r="F369" s="4" t="str">
        <f t="shared" si="31"/>
        <v>Actual</v>
      </c>
    </row>
    <row r="370" spans="1:6" x14ac:dyDescent="0.3">
      <c r="A370" s="3" t="s">
        <v>33</v>
      </c>
      <c r="B370" s="6" t="s">
        <v>36</v>
      </c>
      <c r="C370" s="4" t="s">
        <v>14</v>
      </c>
      <c r="D370" s="8" t="s">
        <v>21</v>
      </c>
      <c r="E370" s="5">
        <f>'[3]Income Statement'!$W$8</f>
        <v>445939</v>
      </c>
      <c r="F370" s="4" t="str">
        <f t="shared" si="31"/>
        <v>Actual</v>
      </c>
    </row>
    <row r="371" spans="1:6" x14ac:dyDescent="0.3">
      <c r="A371" s="3" t="s">
        <v>33</v>
      </c>
      <c r="B371" s="6" t="s">
        <v>36</v>
      </c>
      <c r="C371" s="4" t="s">
        <v>14</v>
      </c>
      <c r="D371" s="8" t="s">
        <v>22</v>
      </c>
      <c r="E371" s="5">
        <f>'[3]Valuation-FCFF'!$V$3</f>
        <v>476706.32996391284</v>
      </c>
      <c r="F371" s="4" t="str">
        <f t="shared" si="31"/>
        <v>Forecast</v>
      </c>
    </row>
    <row r="372" spans="1:6" x14ac:dyDescent="0.3">
      <c r="A372" s="3" t="s">
        <v>33</v>
      </c>
      <c r="B372" s="6" t="s">
        <v>36</v>
      </c>
      <c r="C372" s="4" t="s">
        <v>14</v>
      </c>
      <c r="D372" s="8" t="s">
        <v>23</v>
      </c>
      <c r="E372" s="5">
        <f>'[3]Valuation-FCFF'!$W$3</f>
        <v>520233.5167669662</v>
      </c>
      <c r="F372" s="4" t="str">
        <f t="shared" si="31"/>
        <v>Forecast</v>
      </c>
    </row>
    <row r="373" spans="1:6" x14ac:dyDescent="0.3">
      <c r="A373" s="3" t="s">
        <v>33</v>
      </c>
      <c r="B373" s="6" t="s">
        <v>36</v>
      </c>
      <c r="C373" s="4" t="s">
        <v>14</v>
      </c>
      <c r="D373" s="8" t="s">
        <v>24</v>
      </c>
      <c r="E373" s="5">
        <f>'[3]Valuation-FCFF'!$X$3</f>
        <v>567735.09172452823</v>
      </c>
      <c r="F373" s="4" t="str">
        <f t="shared" si="31"/>
        <v>Forecast</v>
      </c>
    </row>
    <row r="374" spans="1:6" x14ac:dyDescent="0.3">
      <c r="A374" s="3" t="s">
        <v>33</v>
      </c>
      <c r="B374" s="6" t="s">
        <v>36</v>
      </c>
      <c r="C374" s="4" t="s">
        <v>14</v>
      </c>
      <c r="D374" s="8" t="s">
        <v>25</v>
      </c>
      <c r="E374" s="5">
        <f>'[3]Valuation-FCFF'!$Y$3</f>
        <v>619573.94898076158</v>
      </c>
      <c r="F374" s="4" t="str">
        <f t="shared" si="31"/>
        <v>Forecast</v>
      </c>
    </row>
    <row r="375" spans="1:6" x14ac:dyDescent="0.3">
      <c r="A375" s="3" t="s">
        <v>33</v>
      </c>
      <c r="B375" s="6" t="s">
        <v>36</v>
      </c>
      <c r="C375" s="4" t="s">
        <v>14</v>
      </c>
      <c r="D375" s="8" t="s">
        <v>26</v>
      </c>
      <c r="E375" s="5">
        <f>'[3]Valuation-FCFF'!$Z$3</f>
        <v>676146.11788322311</v>
      </c>
      <c r="F375" s="4" t="str">
        <f t="shared" si="31"/>
        <v>Forecast</v>
      </c>
    </row>
    <row r="376" spans="1:6" x14ac:dyDescent="0.3">
      <c r="A376" s="3" t="s">
        <v>33</v>
      </c>
      <c r="B376" s="6" t="s">
        <v>37</v>
      </c>
      <c r="C376" s="4" t="s">
        <v>14</v>
      </c>
      <c r="D376" s="8" t="s">
        <v>16</v>
      </c>
      <c r="E376" s="5">
        <f>'[3]Income Statement'!$Z$6</f>
        <v>18901.140000000003</v>
      </c>
      <c r="F376" s="4" t="str">
        <f>IF(VALUE(D376)&gt;2024,"Forecast","Actual")</f>
        <v>Actual</v>
      </c>
    </row>
    <row r="377" spans="1:6" x14ac:dyDescent="0.3">
      <c r="A377" s="3" t="s">
        <v>33</v>
      </c>
      <c r="B377" s="6" t="s">
        <v>37</v>
      </c>
      <c r="C377" s="4" t="s">
        <v>14</v>
      </c>
      <c r="D377" s="8" t="s">
        <v>17</v>
      </c>
      <c r="E377" s="5">
        <f>'[3]Income Statement'!$AA$6</f>
        <v>19468.04</v>
      </c>
      <c r="F377" s="4" t="str">
        <f>IF(VALUE(D377)&gt;2024,"Forecast","Actual")</f>
        <v>Actual</v>
      </c>
    </row>
    <row r="378" spans="1:6" x14ac:dyDescent="0.3">
      <c r="A378" s="3" t="s">
        <v>33</v>
      </c>
      <c r="B378" s="6" t="s">
        <v>37</v>
      </c>
      <c r="C378" s="4" t="s">
        <v>14</v>
      </c>
      <c r="D378" s="8" t="s">
        <v>18</v>
      </c>
      <c r="E378" s="5">
        <f>'[3]Income Statement'!$AB$6</f>
        <v>24388.18</v>
      </c>
      <c r="F378" s="4" t="str">
        <f t="shared" ref="F378:F386" si="32">IF(VALUE(D378)&gt;2024,"Forecast","Actual")</f>
        <v>Actual</v>
      </c>
    </row>
    <row r="379" spans="1:6" x14ac:dyDescent="0.3">
      <c r="A379" s="3" t="s">
        <v>33</v>
      </c>
      <c r="B379" s="6" t="s">
        <v>37</v>
      </c>
      <c r="C379" s="4" t="s">
        <v>14</v>
      </c>
      <c r="D379" s="8" t="s">
        <v>19</v>
      </c>
      <c r="E379" s="5">
        <f>'[3]Income Statement'!$AC$6</f>
        <v>32111.99</v>
      </c>
      <c r="F379" s="4" t="str">
        <f t="shared" si="32"/>
        <v>Actual</v>
      </c>
    </row>
    <row r="380" spans="1:6" x14ac:dyDescent="0.3">
      <c r="A380" s="3" t="s">
        <v>33</v>
      </c>
      <c r="B380" s="6" t="s">
        <v>37</v>
      </c>
      <c r="C380" s="4" t="s">
        <v>14</v>
      </c>
      <c r="D380" s="8" t="s">
        <v>20</v>
      </c>
      <c r="E380" s="5">
        <f>'[3]Income Statement'!$AD$6</f>
        <v>39250.559999999998</v>
      </c>
      <c r="F380" s="4" t="str">
        <f t="shared" si="32"/>
        <v>Actual</v>
      </c>
    </row>
    <row r="381" spans="1:6" x14ac:dyDescent="0.3">
      <c r="A381" s="3" t="s">
        <v>33</v>
      </c>
      <c r="B381" s="6" t="s">
        <v>37</v>
      </c>
      <c r="C381" s="4" t="s">
        <v>14</v>
      </c>
      <c r="D381" s="8" t="s">
        <v>21</v>
      </c>
      <c r="E381" s="5">
        <f>'[3]Valuation-FCFF'!$AE$3</f>
        <v>45305.299316393772</v>
      </c>
      <c r="F381" s="4" t="str">
        <f>IF(VALUE(D381)&gt;2024,"Forecast","Actual")</f>
        <v>Forecast</v>
      </c>
    </row>
    <row r="382" spans="1:6" x14ac:dyDescent="0.3">
      <c r="A382" s="3" t="s">
        <v>33</v>
      </c>
      <c r="B382" s="6" t="s">
        <v>37</v>
      </c>
      <c r="C382" s="4" t="s">
        <v>14</v>
      </c>
      <c r="D382" s="8" t="s">
        <v>22</v>
      </c>
      <c r="E382" s="5">
        <f>'[3]Valuation-FCFF'!$AF$3</f>
        <v>52435.401184118993</v>
      </c>
      <c r="F382" s="4" t="str">
        <f t="shared" si="32"/>
        <v>Forecast</v>
      </c>
    </row>
    <row r="383" spans="1:6" x14ac:dyDescent="0.3">
      <c r="A383" s="3" t="s">
        <v>33</v>
      </c>
      <c r="B383" s="6" t="s">
        <v>37</v>
      </c>
      <c r="C383" s="4" t="s">
        <v>14</v>
      </c>
      <c r="D383" s="8" t="s">
        <v>23</v>
      </c>
      <c r="E383" s="5">
        <f>'[3]Valuation-FCFF'!$AG$3</f>
        <v>60687.63122252695</v>
      </c>
      <c r="F383" s="4" t="str">
        <f t="shared" si="32"/>
        <v>Forecast</v>
      </c>
    </row>
    <row r="384" spans="1:6" x14ac:dyDescent="0.3">
      <c r="A384" s="3" t="s">
        <v>33</v>
      </c>
      <c r="B384" s="6" t="s">
        <v>37</v>
      </c>
      <c r="C384" s="4" t="s">
        <v>14</v>
      </c>
      <c r="D384" s="8" t="s">
        <v>24</v>
      </c>
      <c r="E384" s="5">
        <f>'[3]Valuation-FCFF'!$AH$3</f>
        <v>70238.588820350007</v>
      </c>
      <c r="F384" s="4" t="str">
        <f t="shared" si="32"/>
        <v>Forecast</v>
      </c>
    </row>
    <row r="385" spans="1:6" x14ac:dyDescent="0.3">
      <c r="A385" s="3" t="s">
        <v>33</v>
      </c>
      <c r="B385" s="6" t="s">
        <v>37</v>
      </c>
      <c r="C385" s="4" t="s">
        <v>14</v>
      </c>
      <c r="D385" s="8" t="s">
        <v>25</v>
      </c>
      <c r="E385" s="5">
        <f>'[3]Valuation-FCFF'!$AI$3</f>
        <v>81292.666398271307</v>
      </c>
      <c r="F385" s="4" t="str">
        <f t="shared" si="32"/>
        <v>Forecast</v>
      </c>
    </row>
    <row r="386" spans="1:6" x14ac:dyDescent="0.3">
      <c r="A386" s="3" t="s">
        <v>33</v>
      </c>
      <c r="B386" s="6" t="s">
        <v>37</v>
      </c>
      <c r="C386" s="4" t="s">
        <v>14</v>
      </c>
      <c r="D386" s="8" t="s">
        <v>26</v>
      </c>
      <c r="E386" s="5">
        <f>'[3]Valuation-FCFF'!$AJ$3</f>
        <v>94086.423447988884</v>
      </c>
      <c r="F386" s="4" t="str">
        <f t="shared" si="32"/>
        <v>Forecast</v>
      </c>
    </row>
    <row r="387" spans="1:6" x14ac:dyDescent="0.3">
      <c r="A387" s="3" t="s">
        <v>33</v>
      </c>
      <c r="B387" s="6" t="s">
        <v>38</v>
      </c>
      <c r="C387" s="4" t="s">
        <v>14</v>
      </c>
      <c r="D387" s="8" t="s">
        <v>16</v>
      </c>
      <c r="E387" s="5">
        <f>'[3]Income Statement'!$AH$6</f>
        <v>14532.89</v>
      </c>
      <c r="F387" s="4" t="str">
        <f>IF(VALUE(D387)&gt;2025,"Forecast","Actual")</f>
        <v>Actual</v>
      </c>
    </row>
    <row r="388" spans="1:6" x14ac:dyDescent="0.3">
      <c r="A388" s="3" t="s">
        <v>33</v>
      </c>
      <c r="B388" s="6" t="s">
        <v>38</v>
      </c>
      <c r="C388" s="4" t="s">
        <v>14</v>
      </c>
      <c r="D388" s="8" t="s">
        <v>17</v>
      </c>
      <c r="E388" s="5">
        <f>'[3]Income Statement'!$AI$6</f>
        <v>15367.34</v>
      </c>
      <c r="F388" s="4" t="str">
        <f t="shared" ref="F388:F397" si="33">IF(VALUE(D388)&gt;2025,"Forecast","Actual")</f>
        <v>Actual</v>
      </c>
    </row>
    <row r="389" spans="1:6" x14ac:dyDescent="0.3">
      <c r="A389" s="3" t="s">
        <v>33</v>
      </c>
      <c r="B389" s="6" t="s">
        <v>38</v>
      </c>
      <c r="C389" s="4" t="s">
        <v>14</v>
      </c>
      <c r="D389" s="8" t="s">
        <v>18</v>
      </c>
      <c r="E389" s="5">
        <f>'[3]Income Statement'!$AJ$6</f>
        <v>12851.289999999999</v>
      </c>
      <c r="F389" s="4" t="str">
        <f t="shared" si="33"/>
        <v>Actual</v>
      </c>
    </row>
    <row r="390" spans="1:6" x14ac:dyDescent="0.3">
      <c r="A390" s="3" t="s">
        <v>33</v>
      </c>
      <c r="B390" s="6" t="s">
        <v>38</v>
      </c>
      <c r="C390" s="4" t="s">
        <v>14</v>
      </c>
      <c r="D390" s="8" t="s">
        <v>19</v>
      </c>
      <c r="E390" s="5">
        <f>'[3]Income Statement'!$AK$6</f>
        <v>15202.9</v>
      </c>
      <c r="F390" s="4" t="str">
        <f t="shared" si="33"/>
        <v>Actual</v>
      </c>
    </row>
    <row r="391" spans="1:6" x14ac:dyDescent="0.3">
      <c r="A391" s="3" t="s">
        <v>33</v>
      </c>
      <c r="B391" s="6" t="s">
        <v>38</v>
      </c>
      <c r="C391" s="4" t="s">
        <v>14</v>
      </c>
      <c r="D391" s="8" t="s">
        <v>20</v>
      </c>
      <c r="E391" s="5">
        <f>'[3]Income Statement'!$AL$6</f>
        <v>16859.68</v>
      </c>
      <c r="F391" s="4" t="str">
        <f t="shared" si="33"/>
        <v>Actual</v>
      </c>
    </row>
    <row r="392" spans="1:6" x14ac:dyDescent="0.3">
      <c r="A392" s="3" t="s">
        <v>33</v>
      </c>
      <c r="B392" s="6" t="s">
        <v>38</v>
      </c>
      <c r="C392" s="4" t="s">
        <v>14</v>
      </c>
      <c r="D392" s="8" t="s">
        <v>21</v>
      </c>
      <c r="E392" s="5">
        <f>'[3]Income Statement'!$AM$6</f>
        <v>17350.649999999998</v>
      </c>
      <c r="F392" s="4" t="str">
        <f t="shared" si="33"/>
        <v>Actual</v>
      </c>
    </row>
    <row r="393" spans="1:6" x14ac:dyDescent="0.3">
      <c r="A393" s="3" t="s">
        <v>33</v>
      </c>
      <c r="B393" s="6" t="s">
        <v>38</v>
      </c>
      <c r="C393" s="4" t="s">
        <v>14</v>
      </c>
      <c r="D393" s="8" t="s">
        <v>22</v>
      </c>
      <c r="E393" s="5">
        <f>'[3]Valuation-FCFF'!$AO$3</f>
        <v>17747.906803958085</v>
      </c>
      <c r="F393" s="4" t="str">
        <f t="shared" si="33"/>
        <v>Forecast</v>
      </c>
    </row>
    <row r="394" spans="1:6" x14ac:dyDescent="0.3">
      <c r="A394" s="3" t="s">
        <v>33</v>
      </c>
      <c r="B394" s="6" t="s">
        <v>38</v>
      </c>
      <c r="C394" s="4" t="s">
        <v>14</v>
      </c>
      <c r="D394" s="8" t="s">
        <v>23</v>
      </c>
      <c r="E394" s="5">
        <f>'[3]Valuation-FCFF'!$AP$3</f>
        <v>18273.055858009073</v>
      </c>
      <c r="F394" s="4" t="str">
        <f t="shared" si="33"/>
        <v>Forecast</v>
      </c>
    </row>
    <row r="395" spans="1:6" x14ac:dyDescent="0.3">
      <c r="A395" s="3" t="s">
        <v>33</v>
      </c>
      <c r="B395" s="6" t="s">
        <v>38</v>
      </c>
      <c r="C395" s="4" t="s">
        <v>14</v>
      </c>
      <c r="D395" s="8" t="s">
        <v>24</v>
      </c>
      <c r="E395" s="5">
        <f>'[3]Valuation-FCFF'!$AQ$3</f>
        <v>18813.743732046943</v>
      </c>
      <c r="F395" s="4" t="str">
        <f t="shared" si="33"/>
        <v>Forecast</v>
      </c>
    </row>
    <row r="396" spans="1:6" x14ac:dyDescent="0.3">
      <c r="A396" s="3" t="s">
        <v>33</v>
      </c>
      <c r="B396" s="6" t="s">
        <v>38</v>
      </c>
      <c r="C396" s="4" t="s">
        <v>14</v>
      </c>
      <c r="D396" s="8" t="s">
        <v>25</v>
      </c>
      <c r="E396" s="5">
        <f>'[3]Valuation-FCFF'!$AR$3</f>
        <v>19370.430209679267</v>
      </c>
      <c r="F396" s="4" t="str">
        <f t="shared" si="33"/>
        <v>Forecast</v>
      </c>
    </row>
    <row r="397" spans="1:6" x14ac:dyDescent="0.3">
      <c r="A397" s="3" t="s">
        <v>33</v>
      </c>
      <c r="B397" s="6" t="s">
        <v>38</v>
      </c>
      <c r="C397" s="4" t="s">
        <v>14</v>
      </c>
      <c r="D397" s="8" t="s">
        <v>26</v>
      </c>
      <c r="E397" s="5">
        <f>'[3]Valuation-FCFF'!$AS$3</f>
        <v>19943.588679212426</v>
      </c>
      <c r="F397" s="4" t="str">
        <f t="shared" si="33"/>
        <v>Forecast</v>
      </c>
    </row>
    <row r="398" spans="1:6" x14ac:dyDescent="0.3">
      <c r="A398" s="3" t="s">
        <v>33</v>
      </c>
      <c r="B398" s="6" t="s">
        <v>39</v>
      </c>
      <c r="C398" s="4" t="s">
        <v>14</v>
      </c>
      <c r="D398" s="8" t="s">
        <v>16</v>
      </c>
      <c r="E398" s="5">
        <f>'[3]Income Statement'!$AP$8</f>
        <v>60953.5</v>
      </c>
      <c r="F398" s="4" t="str">
        <f>IF(VALUE(D398)&gt;2024,"Forecast","Actual")</f>
        <v>Actual</v>
      </c>
    </row>
    <row r="399" spans="1:6" x14ac:dyDescent="0.3">
      <c r="A399" s="3" t="s">
        <v>33</v>
      </c>
      <c r="B399" s="6" t="s">
        <v>39</v>
      </c>
      <c r="C399" s="4" t="s">
        <v>14</v>
      </c>
      <c r="D399" s="8" t="s">
        <v>17</v>
      </c>
      <c r="E399" s="5">
        <f>'[3]Income Statement'!$AQ$8</f>
        <v>57599.200000000004</v>
      </c>
      <c r="F399" s="4" t="str">
        <f>IF(VALUE(D399)&gt;2024,"Forecast","Actual")</f>
        <v>Actual</v>
      </c>
    </row>
    <row r="400" spans="1:6" x14ac:dyDescent="0.3">
      <c r="A400" s="3" t="s">
        <v>33</v>
      </c>
      <c r="B400" s="6" t="s">
        <v>39</v>
      </c>
      <c r="C400" s="4" t="s">
        <v>14</v>
      </c>
      <c r="D400" s="8" t="s">
        <v>18</v>
      </c>
      <c r="E400" s="5">
        <f>'[3]Income Statement'!$AR$8</f>
        <v>64031.7</v>
      </c>
      <c r="F400" s="4" t="str">
        <f t="shared" ref="F400:F408" si="34">IF(VALUE(D400)&gt;2024,"Forecast","Actual")</f>
        <v>Actual</v>
      </c>
    </row>
    <row r="401" spans="1:6" x14ac:dyDescent="0.3">
      <c r="A401" s="3" t="s">
        <v>33</v>
      </c>
      <c r="B401" s="6" t="s">
        <v>39</v>
      </c>
      <c r="C401" s="4" t="s">
        <v>14</v>
      </c>
      <c r="D401" s="8" t="s">
        <v>19</v>
      </c>
      <c r="E401" s="5">
        <f>'[3]Income Statement'!$AS$8</f>
        <v>78957.7</v>
      </c>
      <c r="F401" s="4" t="str">
        <f t="shared" si="34"/>
        <v>Actual</v>
      </c>
    </row>
    <row r="402" spans="1:6" x14ac:dyDescent="0.3">
      <c r="A402" s="3" t="s">
        <v>33</v>
      </c>
      <c r="B402" s="6" t="s">
        <v>39</v>
      </c>
      <c r="C402" s="4" t="s">
        <v>14</v>
      </c>
      <c r="D402" s="8" t="s">
        <v>20</v>
      </c>
      <c r="E402" s="5">
        <f>'[3]Income Statement'!$AT$8</f>
        <v>98879.3</v>
      </c>
      <c r="F402" s="4" t="str">
        <f t="shared" si="34"/>
        <v>Actual</v>
      </c>
    </row>
    <row r="403" spans="1:6" x14ac:dyDescent="0.3">
      <c r="A403" s="3" t="s">
        <v>33</v>
      </c>
      <c r="B403" s="6" t="s">
        <v>39</v>
      </c>
      <c r="C403" s="4" t="s">
        <v>14</v>
      </c>
      <c r="D403" s="8" t="s">
        <v>21</v>
      </c>
      <c r="E403" s="5">
        <f>'[3]Valuation-FCFF'!$AX$3</f>
        <v>107712.13703060281</v>
      </c>
      <c r="F403" s="4" t="str">
        <f t="shared" si="34"/>
        <v>Forecast</v>
      </c>
    </row>
    <row r="404" spans="1:6" x14ac:dyDescent="0.3">
      <c r="A404" s="3" t="s">
        <v>33</v>
      </c>
      <c r="B404" s="6" t="s">
        <v>39</v>
      </c>
      <c r="C404" s="4" t="s">
        <v>14</v>
      </c>
      <c r="D404" s="8" t="s">
        <v>22</v>
      </c>
      <c r="E404" s="5">
        <f>'[3]Valuation-FCFF'!$AY$3</f>
        <v>118653.87253040374</v>
      </c>
      <c r="F404" s="4" t="str">
        <f t="shared" si="34"/>
        <v>Forecast</v>
      </c>
    </row>
    <row r="405" spans="1:6" x14ac:dyDescent="0.3">
      <c r="A405" s="3" t="s">
        <v>33</v>
      </c>
      <c r="B405" s="6" t="s">
        <v>39</v>
      </c>
      <c r="C405" s="4" t="s">
        <v>14</v>
      </c>
      <c r="D405" s="8" t="s">
        <v>23</v>
      </c>
      <c r="E405" s="5">
        <f>'[3]Valuation-FCFF'!$AZ$3</f>
        <v>130707.10371720963</v>
      </c>
      <c r="F405" s="4" t="str">
        <f t="shared" si="34"/>
        <v>Forecast</v>
      </c>
    </row>
    <row r="406" spans="1:6" x14ac:dyDescent="0.3">
      <c r="A406" s="3" t="s">
        <v>33</v>
      </c>
      <c r="B406" s="6" t="s">
        <v>39</v>
      </c>
      <c r="C406" s="4" t="s">
        <v>14</v>
      </c>
      <c r="D406" s="8" t="s">
        <v>24</v>
      </c>
      <c r="E406" s="5">
        <f>'[3]Valuation-FCFF'!$BA$3</f>
        <v>143984.73979653485</v>
      </c>
      <c r="F406" s="4" t="str">
        <f t="shared" si="34"/>
        <v>Forecast</v>
      </c>
    </row>
    <row r="407" spans="1:6" x14ac:dyDescent="0.3">
      <c r="A407" s="3" t="s">
        <v>33</v>
      </c>
      <c r="B407" s="6" t="s">
        <v>39</v>
      </c>
      <c r="C407" s="4" t="s">
        <v>14</v>
      </c>
      <c r="D407" s="8" t="s">
        <v>25</v>
      </c>
      <c r="E407" s="5">
        <f>'[3]Valuation-FCFF'!$BB$3</f>
        <v>158611.15964385192</v>
      </c>
      <c r="F407" s="4" t="str">
        <f t="shared" si="34"/>
        <v>Forecast</v>
      </c>
    </row>
    <row r="408" spans="1:6" x14ac:dyDescent="0.3">
      <c r="A408" s="3" t="s">
        <v>33</v>
      </c>
      <c r="B408" s="6" t="s">
        <v>39</v>
      </c>
      <c r="C408" s="4" t="s">
        <v>14</v>
      </c>
      <c r="D408" s="8" t="s">
        <v>26</v>
      </c>
      <c r="E408" s="5">
        <f>'[3]Valuation-FCFF'!$BC$3</f>
        <v>174723.3769295107</v>
      </c>
      <c r="F408" s="4" t="str">
        <f t="shared" si="34"/>
        <v>Forecast</v>
      </c>
    </row>
    <row r="409" spans="1:6" x14ac:dyDescent="0.3">
      <c r="A409" s="3" t="s">
        <v>33</v>
      </c>
      <c r="B409" s="6" t="s">
        <v>34</v>
      </c>
      <c r="C409" s="4" t="s">
        <v>56</v>
      </c>
      <c r="D409" s="8" t="s">
        <v>16</v>
      </c>
      <c r="E409" s="5">
        <f>'[3]Income Statement'!$B$24</f>
        <v>5677.599999999994</v>
      </c>
      <c r="F409" s="4" t="str">
        <f>IF(VALUE(D409)&gt;2025,"Forecast","Actual")</f>
        <v>Actual</v>
      </c>
    </row>
    <row r="410" spans="1:6" x14ac:dyDescent="0.3">
      <c r="A410" s="3" t="s">
        <v>33</v>
      </c>
      <c r="B410" s="6" t="s">
        <v>34</v>
      </c>
      <c r="C410" s="4" t="s">
        <v>56</v>
      </c>
      <c r="D410" s="8" t="s">
        <v>17</v>
      </c>
      <c r="E410" s="5">
        <f>'[3]Income Statement'!$C$24</f>
        <v>4389.1000000000004</v>
      </c>
      <c r="F410" s="4" t="str">
        <f t="shared" ref="F410:F429" si="35">IF(VALUE(D410)&gt;2025,"Forecast","Actual")</f>
        <v>Actual</v>
      </c>
    </row>
    <row r="411" spans="1:6" x14ac:dyDescent="0.3">
      <c r="A411" s="3" t="s">
        <v>33</v>
      </c>
      <c r="B411" s="6" t="s">
        <v>34</v>
      </c>
      <c r="C411" s="4" t="s">
        <v>56</v>
      </c>
      <c r="D411" s="8" t="s">
        <v>18</v>
      </c>
      <c r="E411" s="5">
        <f>'[3]Income Statement'!$D$24</f>
        <v>3879.5000000000027</v>
      </c>
      <c r="F411" s="4" t="str">
        <f t="shared" si="35"/>
        <v>Actual</v>
      </c>
    </row>
    <row r="412" spans="1:6" x14ac:dyDescent="0.3">
      <c r="A412" s="3" t="s">
        <v>33</v>
      </c>
      <c r="B412" s="6" t="s">
        <v>34</v>
      </c>
      <c r="C412" s="4" t="s">
        <v>56</v>
      </c>
      <c r="D412" s="8" t="s">
        <v>19</v>
      </c>
      <c r="E412" s="5">
        <f>'[3]Income Statement'!$E$24</f>
        <v>8210.9999999999964</v>
      </c>
      <c r="F412" s="4" t="str">
        <f t="shared" si="35"/>
        <v>Actual</v>
      </c>
    </row>
    <row r="413" spans="1:6" x14ac:dyDescent="0.3">
      <c r="A413" s="3" t="s">
        <v>33</v>
      </c>
      <c r="B413" s="6" t="s">
        <v>34</v>
      </c>
      <c r="C413" s="4" t="s">
        <v>56</v>
      </c>
      <c r="D413" s="8" t="s">
        <v>20</v>
      </c>
      <c r="E413" s="5">
        <f>'[3]Income Statement'!$F$24</f>
        <v>13209.299999999988</v>
      </c>
      <c r="F413" s="4" t="str">
        <f t="shared" si="35"/>
        <v>Actual</v>
      </c>
    </row>
    <row r="414" spans="1:6" x14ac:dyDescent="0.3">
      <c r="A414" s="3" t="s">
        <v>33</v>
      </c>
      <c r="B414" s="6" t="s">
        <v>34</v>
      </c>
      <c r="C414" s="4" t="s">
        <v>56</v>
      </c>
      <c r="D414" s="8" t="s">
        <v>21</v>
      </c>
      <c r="E414" s="5">
        <f>'[3]Income Statement'!$G$24</f>
        <v>13955.199999999983</v>
      </c>
      <c r="F414" s="4" t="str">
        <f t="shared" si="35"/>
        <v>Actual</v>
      </c>
    </row>
    <row r="415" spans="1:6" x14ac:dyDescent="0.3">
      <c r="A415" s="3" t="s">
        <v>33</v>
      </c>
      <c r="B415" s="6" t="s">
        <v>34</v>
      </c>
      <c r="C415" s="4" t="s">
        <v>56</v>
      </c>
      <c r="D415" s="8" t="s">
        <v>22</v>
      </c>
      <c r="E415" s="5">
        <f>'[3]Valuation-FCFF'!$D$6</f>
        <v>17124.483954047937</v>
      </c>
      <c r="F415" s="4" t="str">
        <f t="shared" si="35"/>
        <v>Forecast</v>
      </c>
    </row>
    <row r="416" spans="1:6" x14ac:dyDescent="0.3">
      <c r="A416" s="3" t="s">
        <v>33</v>
      </c>
      <c r="B416" s="6" t="s">
        <v>34</v>
      </c>
      <c r="C416" s="4" t="s">
        <v>56</v>
      </c>
      <c r="D416" s="8" t="s">
        <v>23</v>
      </c>
      <c r="E416" s="5">
        <f>'[3]Valuation-FCFF'!$E$6</f>
        <v>20179.15017779078</v>
      </c>
      <c r="F416" s="4" t="str">
        <f t="shared" si="35"/>
        <v>Forecast</v>
      </c>
    </row>
    <row r="417" spans="1:6" x14ac:dyDescent="0.3">
      <c r="A417" s="3" t="s">
        <v>33</v>
      </c>
      <c r="B417" s="6" t="s">
        <v>34</v>
      </c>
      <c r="C417" s="4" t="s">
        <v>56</v>
      </c>
      <c r="D417" s="8" t="s">
        <v>24</v>
      </c>
      <c r="E417" s="5">
        <f>'[3]Valuation-FCFF'!$F$6</f>
        <v>23778.707900951311</v>
      </c>
      <c r="F417" s="4" t="str">
        <f t="shared" si="35"/>
        <v>Forecast</v>
      </c>
    </row>
    <row r="418" spans="1:6" x14ac:dyDescent="0.3">
      <c r="A418" s="3" t="s">
        <v>33</v>
      </c>
      <c r="B418" s="6" t="s">
        <v>34</v>
      </c>
      <c r="C418" s="4" t="s">
        <v>56</v>
      </c>
      <c r="D418" s="8" t="s">
        <v>25</v>
      </c>
      <c r="E418" s="5">
        <f>'[3]Valuation-FCFF'!$G$6</f>
        <v>28020.354893888172</v>
      </c>
      <c r="F418" s="4" t="str">
        <f t="shared" si="35"/>
        <v>Forecast</v>
      </c>
    </row>
    <row r="419" spans="1:6" x14ac:dyDescent="0.3">
      <c r="A419" s="3" t="s">
        <v>33</v>
      </c>
      <c r="B419" s="6" t="s">
        <v>34</v>
      </c>
      <c r="C419" s="4" t="s">
        <v>56</v>
      </c>
      <c r="D419" s="8" t="s">
        <v>26</v>
      </c>
      <c r="E419" s="5">
        <f>'[3]Valuation-FCFF'!$H$6</f>
        <v>33018.627069641239</v>
      </c>
      <c r="F419" s="4" t="str">
        <f t="shared" si="35"/>
        <v>Forecast</v>
      </c>
    </row>
    <row r="420" spans="1:6" x14ac:dyDescent="0.3">
      <c r="A420" s="3" t="s">
        <v>33</v>
      </c>
      <c r="B420" s="6" t="s">
        <v>35</v>
      </c>
      <c r="C420" s="4" t="s">
        <v>56</v>
      </c>
      <c r="D420" s="8" t="s">
        <v>16</v>
      </c>
      <c r="E420" s="5">
        <f>'[3]Income Statement'!$J$29</f>
        <v>-321.00000000000682</v>
      </c>
      <c r="F420" s="4" t="str">
        <f t="shared" si="35"/>
        <v>Actual</v>
      </c>
    </row>
    <row r="421" spans="1:6" x14ac:dyDescent="0.3">
      <c r="A421" s="3" t="s">
        <v>33</v>
      </c>
      <c r="B421" s="6" t="s">
        <v>35</v>
      </c>
      <c r="C421" s="4" t="s">
        <v>56</v>
      </c>
      <c r="D421" s="8" t="s">
        <v>17</v>
      </c>
      <c r="E421" s="5">
        <f>'[3]Income Statement'!$K$29</f>
        <v>1512.3900000000008</v>
      </c>
      <c r="F421" s="4" t="str">
        <f t="shared" si="35"/>
        <v>Actual</v>
      </c>
    </row>
    <row r="422" spans="1:6" x14ac:dyDescent="0.3">
      <c r="A422" s="3" t="s">
        <v>33</v>
      </c>
      <c r="B422" s="6" t="s">
        <v>35</v>
      </c>
      <c r="C422" s="4" t="s">
        <v>56</v>
      </c>
      <c r="D422" s="8" t="s">
        <v>18</v>
      </c>
      <c r="E422" s="5">
        <f>'[3]Income Statement'!$L$29</f>
        <v>7253.009999999982</v>
      </c>
      <c r="F422" s="4" t="str">
        <f t="shared" si="35"/>
        <v>Actual</v>
      </c>
    </row>
    <row r="423" spans="1:6" x14ac:dyDescent="0.3">
      <c r="A423" s="3" t="s">
        <v>33</v>
      </c>
      <c r="B423" s="6" t="s">
        <v>35</v>
      </c>
      <c r="C423" s="4" t="s">
        <v>56</v>
      </c>
      <c r="D423" s="8" t="s">
        <v>19</v>
      </c>
      <c r="E423" s="5">
        <f>'[3]Income Statement'!$M$29</f>
        <v>11374.48000000002</v>
      </c>
      <c r="F423" s="4" t="str">
        <f t="shared" si="35"/>
        <v>Actual</v>
      </c>
    </row>
    <row r="424" spans="1:6" x14ac:dyDescent="0.3">
      <c r="A424" s="3" t="s">
        <v>33</v>
      </c>
      <c r="B424" s="6" t="s">
        <v>35</v>
      </c>
      <c r="C424" s="4" t="s">
        <v>56</v>
      </c>
      <c r="D424" s="8" t="s">
        <v>20</v>
      </c>
      <c r="E424" s="5">
        <f>'[3]Income Statement'!$N$29</f>
        <v>12269.820000000002</v>
      </c>
      <c r="F424" s="4" t="str">
        <f t="shared" si="35"/>
        <v>Actual</v>
      </c>
    </row>
    <row r="425" spans="1:6" x14ac:dyDescent="0.3">
      <c r="A425" s="3" t="s">
        <v>33</v>
      </c>
      <c r="B425" s="6" t="s">
        <v>35</v>
      </c>
      <c r="C425" s="4" t="s">
        <v>56</v>
      </c>
      <c r="D425" s="8" t="s">
        <v>21</v>
      </c>
      <c r="E425" s="5">
        <f>'[3]Income Statement'!$O$29</f>
        <v>14073.16999999998</v>
      </c>
      <c r="F425" s="4" t="str">
        <f t="shared" si="35"/>
        <v>Actual</v>
      </c>
    </row>
    <row r="426" spans="1:6" x14ac:dyDescent="0.3">
      <c r="A426" s="3" t="s">
        <v>33</v>
      </c>
      <c r="B426" s="6" t="s">
        <v>35</v>
      </c>
      <c r="C426" s="4" t="s">
        <v>56</v>
      </c>
      <c r="D426" s="8" t="s">
        <v>22</v>
      </c>
      <c r="E426" s="5">
        <f>'[3]Valuation-FCFF'!$M$6</f>
        <v>23190.754313642537</v>
      </c>
      <c r="F426" s="4" t="str">
        <f t="shared" si="35"/>
        <v>Forecast</v>
      </c>
    </row>
    <row r="427" spans="1:6" x14ac:dyDescent="0.3">
      <c r="A427" s="3" t="s">
        <v>33</v>
      </c>
      <c r="B427" s="6" t="s">
        <v>35</v>
      </c>
      <c r="C427" s="4" t="s">
        <v>56</v>
      </c>
      <c r="D427" s="8" t="s">
        <v>23</v>
      </c>
      <c r="E427" s="5">
        <f>'[3]Valuation-FCFF'!$N$6</f>
        <v>26932.039722474015</v>
      </c>
      <c r="F427" s="4" t="str">
        <f t="shared" si="35"/>
        <v>Forecast</v>
      </c>
    </row>
    <row r="428" spans="1:6" x14ac:dyDescent="0.3">
      <c r="A428" s="3" t="s">
        <v>33</v>
      </c>
      <c r="B428" s="6" t="s">
        <v>35</v>
      </c>
      <c r="C428" s="4" t="s">
        <v>56</v>
      </c>
      <c r="D428" s="8" t="s">
        <v>24</v>
      </c>
      <c r="E428" s="5">
        <f>'[3]Valuation-FCFF'!$O$6</f>
        <v>31276.893963997634</v>
      </c>
      <c r="F428" s="4" t="str">
        <f t="shared" si="35"/>
        <v>Forecast</v>
      </c>
    </row>
    <row r="429" spans="1:6" x14ac:dyDescent="0.3">
      <c r="A429" s="3" t="s">
        <v>33</v>
      </c>
      <c r="B429" s="6" t="s">
        <v>35</v>
      </c>
      <c r="C429" s="4" t="s">
        <v>56</v>
      </c>
      <c r="D429" s="8" t="s">
        <v>25</v>
      </c>
      <c r="E429" s="5">
        <f>'[3]Valuation-FCFF'!$P$6</f>
        <v>36322.68874231739</v>
      </c>
      <c r="F429" s="4" t="str">
        <f t="shared" si="35"/>
        <v>Forecast</v>
      </c>
    </row>
    <row r="430" spans="1:6" x14ac:dyDescent="0.3">
      <c r="A430" s="3" t="s">
        <v>33</v>
      </c>
      <c r="B430" s="6" t="s">
        <v>35</v>
      </c>
      <c r="C430" s="4" t="s">
        <v>56</v>
      </c>
      <c r="D430" s="8" t="s">
        <v>26</v>
      </c>
      <c r="E430" s="5">
        <f>'[3]Valuation-FCFF'!$Q$6</f>
        <v>42182.504406925458</v>
      </c>
      <c r="F430" s="4" t="str">
        <f>IF(VALUE(D430)&gt;2024,"Forecast","Actual")</f>
        <v>Forecast</v>
      </c>
    </row>
    <row r="431" spans="1:6" x14ac:dyDescent="0.3">
      <c r="A431" s="3" t="s">
        <v>33</v>
      </c>
      <c r="B431" s="6" t="s">
        <v>36</v>
      </c>
      <c r="C431" s="4" t="s">
        <v>56</v>
      </c>
      <c r="D431" s="8" t="s">
        <v>16</v>
      </c>
      <c r="E431" s="5">
        <f>'[3]Income Statement'!$R$42</f>
        <v>-10579.979999999978</v>
      </c>
      <c r="F431" s="4" t="str">
        <f>IF(VALUE(D431)&gt;2025,"Forecast","Actual")</f>
        <v>Actual</v>
      </c>
    </row>
    <row r="432" spans="1:6" x14ac:dyDescent="0.3">
      <c r="A432" s="3" t="s">
        <v>33</v>
      </c>
      <c r="B432" s="6" t="s">
        <v>36</v>
      </c>
      <c r="C432" s="4" t="s">
        <v>56</v>
      </c>
      <c r="D432" s="8" t="s">
        <v>17</v>
      </c>
      <c r="E432" s="5">
        <f>'[3]Income Statement'!$S$42</f>
        <v>-10474.280000000008</v>
      </c>
      <c r="F432" s="4" t="str">
        <f t="shared" ref="F432:F441" si="36">IF(VALUE(D432)&gt;2025,"Forecast","Actual")</f>
        <v>Actual</v>
      </c>
    </row>
    <row r="433" spans="1:6" x14ac:dyDescent="0.3">
      <c r="A433" s="3" t="s">
        <v>33</v>
      </c>
      <c r="B433" s="6" t="s">
        <v>36</v>
      </c>
      <c r="C433" s="4" t="s">
        <v>56</v>
      </c>
      <c r="D433" s="8" t="s">
        <v>18</v>
      </c>
      <c r="E433" s="5">
        <f>'[3]Income Statement'!$T$42</f>
        <v>-11308.759999999957</v>
      </c>
      <c r="F433" s="4" t="str">
        <f t="shared" si="36"/>
        <v>Actual</v>
      </c>
    </row>
    <row r="434" spans="1:6" x14ac:dyDescent="0.3">
      <c r="A434" s="3" t="s">
        <v>33</v>
      </c>
      <c r="B434" s="6" t="s">
        <v>36</v>
      </c>
      <c r="C434" s="4" t="s">
        <v>56</v>
      </c>
      <c r="D434" s="8" t="s">
        <v>19</v>
      </c>
      <c r="E434" s="5">
        <f>'[3]Income Statement'!$U$42</f>
        <v>2689.8700000000185</v>
      </c>
      <c r="F434" s="4" t="str">
        <f t="shared" si="36"/>
        <v>Actual</v>
      </c>
    </row>
    <row r="435" spans="1:6" x14ac:dyDescent="0.3">
      <c r="A435" s="3" t="s">
        <v>33</v>
      </c>
      <c r="B435" s="6" t="s">
        <v>36</v>
      </c>
      <c r="C435" s="4" t="s">
        <v>56</v>
      </c>
      <c r="D435" s="8" t="s">
        <v>20</v>
      </c>
      <c r="E435" s="5">
        <f>'[3]Income Statement'!$V$42</f>
        <v>31807</v>
      </c>
      <c r="F435" s="4" t="str">
        <f t="shared" si="36"/>
        <v>Actual</v>
      </c>
    </row>
    <row r="436" spans="1:6" x14ac:dyDescent="0.3">
      <c r="A436" s="3" t="s">
        <v>33</v>
      </c>
      <c r="B436" s="6" t="s">
        <v>36</v>
      </c>
      <c r="C436" s="4" t="s">
        <v>56</v>
      </c>
      <c r="D436" s="8" t="s">
        <v>21</v>
      </c>
      <c r="E436" s="5">
        <f>'[3]Income Statement'!$W$42</f>
        <v>28149</v>
      </c>
      <c r="F436" s="4" t="str">
        <f t="shared" si="36"/>
        <v>Actual</v>
      </c>
    </row>
    <row r="437" spans="1:6" x14ac:dyDescent="0.3">
      <c r="A437" s="3" t="s">
        <v>33</v>
      </c>
      <c r="B437" s="6" t="s">
        <v>36</v>
      </c>
      <c r="C437" s="4" t="s">
        <v>56</v>
      </c>
      <c r="D437" s="8" t="s">
        <v>22</v>
      </c>
      <c r="E437" s="5">
        <f>'[3]Valuation-FCFF'!$V$6</f>
        <v>30629.466230677583</v>
      </c>
      <c r="F437" s="4" t="str">
        <f t="shared" si="36"/>
        <v>Forecast</v>
      </c>
    </row>
    <row r="438" spans="1:6" x14ac:dyDescent="0.3">
      <c r="A438" s="3" t="s">
        <v>33</v>
      </c>
      <c r="B438" s="6" t="s">
        <v>36</v>
      </c>
      <c r="C438" s="4" t="s">
        <v>56</v>
      </c>
      <c r="D438" s="8" t="s">
        <v>23</v>
      </c>
      <c r="E438" s="5">
        <f>'[3]Valuation-FCFF'!$W$6</f>
        <v>31970.699844134964</v>
      </c>
      <c r="F438" s="4" t="str">
        <f t="shared" si="36"/>
        <v>Forecast</v>
      </c>
    </row>
    <row r="439" spans="1:6" x14ac:dyDescent="0.3">
      <c r="A439" s="3" t="s">
        <v>33</v>
      </c>
      <c r="B439" s="6" t="s">
        <v>36</v>
      </c>
      <c r="C439" s="4" t="s">
        <v>56</v>
      </c>
      <c r="D439" s="8" t="s">
        <v>24</v>
      </c>
      <c r="E439" s="5">
        <f>'[3]Valuation-FCFF'!$X$6</f>
        <v>33370.664732643621</v>
      </c>
      <c r="F439" s="4" t="str">
        <f t="shared" si="36"/>
        <v>Forecast</v>
      </c>
    </row>
    <row r="440" spans="1:6" x14ac:dyDescent="0.3">
      <c r="A440" s="3" t="s">
        <v>33</v>
      </c>
      <c r="B440" s="6" t="s">
        <v>36</v>
      </c>
      <c r="C440" s="4" t="s">
        <v>56</v>
      </c>
      <c r="D440" s="8" t="s">
        <v>25</v>
      </c>
      <c r="E440" s="5">
        <f>'[3]Valuation-FCFF'!$Y$6</f>
        <v>34831.932679847028</v>
      </c>
      <c r="F440" s="4" t="str">
        <f t="shared" si="36"/>
        <v>Forecast</v>
      </c>
    </row>
    <row r="441" spans="1:6" x14ac:dyDescent="0.3">
      <c r="A441" s="3" t="s">
        <v>33</v>
      </c>
      <c r="B441" s="6" t="s">
        <v>36</v>
      </c>
      <c r="C441" s="4" t="s">
        <v>56</v>
      </c>
      <c r="D441" s="8" t="s">
        <v>26</v>
      </c>
      <c r="E441" s="5">
        <f>'[3]Valuation-FCFF'!$Z$6</f>
        <v>36357.18808521561</v>
      </c>
      <c r="F441" s="4" t="str">
        <f t="shared" si="36"/>
        <v>Forecast</v>
      </c>
    </row>
    <row r="442" spans="1:6" x14ac:dyDescent="0.3">
      <c r="A442" s="3" t="s">
        <v>33</v>
      </c>
      <c r="B442" s="6" t="s">
        <v>37</v>
      </c>
      <c r="C442" s="4" t="s">
        <v>56</v>
      </c>
      <c r="D442" s="8" t="s">
        <v>16</v>
      </c>
      <c r="E442" s="5">
        <f>'[3]Income Statement'!$Z$25</f>
        <v>646.80000000000371</v>
      </c>
      <c r="F442" s="4" t="str">
        <f>IF(VALUE(D442)&gt;2024,"Forecast","Actual")</f>
        <v>Actual</v>
      </c>
    </row>
    <row r="443" spans="1:6" x14ac:dyDescent="0.3">
      <c r="A443" s="3" t="s">
        <v>33</v>
      </c>
      <c r="B443" s="6" t="s">
        <v>37</v>
      </c>
      <c r="C443" s="4" t="s">
        <v>56</v>
      </c>
      <c r="D443" s="8" t="s">
        <v>17</v>
      </c>
      <c r="E443" s="5">
        <f>'[3]Income Statement'!$AA$25</f>
        <v>607.50000000000523</v>
      </c>
      <c r="F443" s="4" t="str">
        <f>IF(VALUE(D443)&gt;2024,"Forecast","Actual")</f>
        <v>Actual</v>
      </c>
    </row>
    <row r="444" spans="1:6" x14ac:dyDescent="0.3">
      <c r="A444" s="3" t="s">
        <v>33</v>
      </c>
      <c r="B444" s="6" t="s">
        <v>37</v>
      </c>
      <c r="C444" s="4" t="s">
        <v>56</v>
      </c>
      <c r="D444" s="8" t="s">
        <v>18</v>
      </c>
      <c r="E444" s="5">
        <f>'[3]Income Statement'!$AB$25</f>
        <v>730.87999999999829</v>
      </c>
      <c r="F444" s="4" t="str">
        <f t="shared" ref="F444:F446" si="37">IF(VALUE(D444)&gt;2024,"Forecast","Actual")</f>
        <v>Actual</v>
      </c>
    </row>
    <row r="445" spans="1:6" x14ac:dyDescent="0.3">
      <c r="A445" s="3" t="s">
        <v>33</v>
      </c>
      <c r="B445" s="6" t="s">
        <v>37</v>
      </c>
      <c r="C445" s="4" t="s">
        <v>56</v>
      </c>
      <c r="D445" s="8" t="s">
        <v>19</v>
      </c>
      <c r="E445" s="5">
        <f>'[3]Income Statement'!$AC$25</f>
        <v>1309.4600000000009</v>
      </c>
      <c r="F445" s="4" t="str">
        <f t="shared" si="37"/>
        <v>Actual</v>
      </c>
    </row>
    <row r="446" spans="1:6" x14ac:dyDescent="0.3">
      <c r="A446" s="3" t="s">
        <v>33</v>
      </c>
      <c r="B446" s="6" t="s">
        <v>37</v>
      </c>
      <c r="C446" s="4" t="s">
        <v>56</v>
      </c>
      <c r="D446" s="8" t="s">
        <v>20</v>
      </c>
      <c r="E446" s="5">
        <f>'[3]Income Statement'!$AD$25</f>
        <v>1778.5399999999995</v>
      </c>
      <c r="F446" s="4" t="str">
        <f t="shared" si="37"/>
        <v>Actual</v>
      </c>
    </row>
    <row r="447" spans="1:6" x14ac:dyDescent="0.3">
      <c r="A447" s="3" t="s">
        <v>33</v>
      </c>
      <c r="B447" s="6" t="s">
        <v>37</v>
      </c>
      <c r="C447" s="4" t="s">
        <v>56</v>
      </c>
      <c r="D447" s="8" t="s">
        <v>21</v>
      </c>
      <c r="E447" s="5">
        <f>'[3]Valuation-FCFF'!$AE$6</f>
        <v>4257.5553595590418</v>
      </c>
      <c r="F447" s="4" t="str">
        <f>IF(VALUE(D447)&gt;2024,"Forecast","Actual")</f>
        <v>Forecast</v>
      </c>
    </row>
    <row r="448" spans="1:6" x14ac:dyDescent="0.3">
      <c r="A448" s="3" t="s">
        <v>33</v>
      </c>
      <c r="B448" s="6" t="s">
        <v>37</v>
      </c>
      <c r="C448" s="4" t="s">
        <v>56</v>
      </c>
      <c r="D448" s="8" t="s">
        <v>22</v>
      </c>
      <c r="E448" s="5">
        <f>'[3]Valuation-FCFF'!$AF$6</f>
        <v>5170.8318488325185</v>
      </c>
      <c r="F448" s="4" t="str">
        <f t="shared" ref="F448:F452" si="38">IF(VALUE(D448)&gt;2024,"Forecast","Actual")</f>
        <v>Forecast</v>
      </c>
    </row>
    <row r="449" spans="1:6" x14ac:dyDescent="0.3">
      <c r="A449" s="3" t="s">
        <v>33</v>
      </c>
      <c r="B449" s="6" t="s">
        <v>37</v>
      </c>
      <c r="C449" s="4" t="s">
        <v>56</v>
      </c>
      <c r="D449" s="8" t="s">
        <v>23</v>
      </c>
      <c r="E449" s="5">
        <f>'[3]Valuation-FCFF'!$AG$6</f>
        <v>6280.0127657459143</v>
      </c>
      <c r="F449" s="4" t="str">
        <f t="shared" si="38"/>
        <v>Forecast</v>
      </c>
    </row>
    <row r="450" spans="1:6" x14ac:dyDescent="0.3">
      <c r="A450" s="3" t="s">
        <v>33</v>
      </c>
      <c r="B450" s="6" t="s">
        <v>37</v>
      </c>
      <c r="C450" s="4" t="s">
        <v>56</v>
      </c>
      <c r="D450" s="8" t="s">
        <v>24</v>
      </c>
      <c r="E450" s="5">
        <f>'[3]Valuation-FCFF'!$AH$6</f>
        <v>7627.1210302141571</v>
      </c>
      <c r="F450" s="4" t="str">
        <f t="shared" si="38"/>
        <v>Forecast</v>
      </c>
    </row>
    <row r="451" spans="1:6" x14ac:dyDescent="0.3">
      <c r="A451" s="3" t="s">
        <v>33</v>
      </c>
      <c r="B451" s="6" t="s">
        <v>37</v>
      </c>
      <c r="C451" s="4" t="s">
        <v>56</v>
      </c>
      <c r="D451" s="8" t="s">
        <v>25</v>
      </c>
      <c r="E451" s="5">
        <f>'[3]Valuation-FCFF'!$AI$6</f>
        <v>9263.1937831141513</v>
      </c>
      <c r="F451" s="4" t="str">
        <f t="shared" si="38"/>
        <v>Forecast</v>
      </c>
    </row>
    <row r="452" spans="1:6" x14ac:dyDescent="0.3">
      <c r="A452" s="3" t="s">
        <v>33</v>
      </c>
      <c r="B452" s="6" t="s">
        <v>37</v>
      </c>
      <c r="C452" s="4" t="s">
        <v>56</v>
      </c>
      <c r="D452" s="8" t="s">
        <v>26</v>
      </c>
      <c r="E452" s="5">
        <f>'[3]Valuation-FCFF'!$AJ$6</f>
        <v>11250.216002028665</v>
      </c>
      <c r="F452" s="4" t="str">
        <f t="shared" si="38"/>
        <v>Forecast</v>
      </c>
    </row>
    <row r="453" spans="1:6" x14ac:dyDescent="0.3">
      <c r="A453" s="3" t="s">
        <v>33</v>
      </c>
      <c r="B453" s="6" t="s">
        <v>38</v>
      </c>
      <c r="C453" s="4" t="s">
        <v>56</v>
      </c>
      <c r="D453" s="8" t="s">
        <v>16</v>
      </c>
      <c r="E453" s="5">
        <f>'[3]Income Statement'!$AH$26</f>
        <v>762.47999999999865</v>
      </c>
      <c r="F453" s="4" t="str">
        <f>IF(VALUE(D453)&gt;2025,"Forecast","Actual")</f>
        <v>Actual</v>
      </c>
    </row>
    <row r="454" spans="1:6" x14ac:dyDescent="0.3">
      <c r="A454" s="3" t="s">
        <v>33</v>
      </c>
      <c r="B454" s="6" t="s">
        <v>38</v>
      </c>
      <c r="C454" s="4" t="s">
        <v>56</v>
      </c>
      <c r="D454" s="8" t="s">
        <v>17</v>
      </c>
      <c r="E454" s="5">
        <f>'[3]Income Statement'!$AI$26</f>
        <v>803.099999999999</v>
      </c>
      <c r="F454" s="4" t="str">
        <f t="shared" ref="F454:F463" si="39">IF(VALUE(D454)&gt;2025,"Forecast","Actual")</f>
        <v>Actual</v>
      </c>
    </row>
    <row r="455" spans="1:6" x14ac:dyDescent="0.3">
      <c r="A455" s="3" t="s">
        <v>33</v>
      </c>
      <c r="B455" s="6" t="s">
        <v>38</v>
      </c>
      <c r="C455" s="4" t="s">
        <v>56</v>
      </c>
      <c r="D455" s="8" t="s">
        <v>18</v>
      </c>
      <c r="E455" s="5">
        <f>'[3]Income Statement'!$AJ$26</f>
        <v>694.30999999999813</v>
      </c>
      <c r="F455" s="4" t="str">
        <f t="shared" si="39"/>
        <v>Actual</v>
      </c>
    </row>
    <row r="456" spans="1:6" x14ac:dyDescent="0.3">
      <c r="A456" s="3" t="s">
        <v>33</v>
      </c>
      <c r="B456" s="6" t="s">
        <v>38</v>
      </c>
      <c r="C456" s="4" t="s">
        <v>56</v>
      </c>
      <c r="D456" s="8" t="s">
        <v>19</v>
      </c>
      <c r="E456" s="5">
        <f>'[3]Income Statement'!$AK$26</f>
        <v>822.76999999999862</v>
      </c>
      <c r="F456" s="4" t="str">
        <f t="shared" si="39"/>
        <v>Actual</v>
      </c>
    </row>
    <row r="457" spans="1:6" x14ac:dyDescent="0.3">
      <c r="A457" s="3" t="s">
        <v>33</v>
      </c>
      <c r="B457" s="6" t="s">
        <v>38</v>
      </c>
      <c r="C457" s="4" t="s">
        <v>56</v>
      </c>
      <c r="D457" s="8" t="s">
        <v>20</v>
      </c>
      <c r="E457" s="5">
        <f>'[3]Income Statement'!$AL$26</f>
        <v>882.81999999999891</v>
      </c>
      <c r="F457" s="4" t="str">
        <f t="shared" si="39"/>
        <v>Actual</v>
      </c>
    </row>
    <row r="458" spans="1:6" x14ac:dyDescent="0.3">
      <c r="A458" s="3" t="s">
        <v>33</v>
      </c>
      <c r="B458" s="6" t="s">
        <v>38</v>
      </c>
      <c r="C458" s="4" t="s">
        <v>56</v>
      </c>
      <c r="D458" s="8" t="s">
        <v>21</v>
      </c>
      <c r="E458" s="5">
        <f>'[3]Income Statement'!$AM$26</f>
        <v>800.49999999999818</v>
      </c>
      <c r="F458" s="4" t="str">
        <f t="shared" si="39"/>
        <v>Actual</v>
      </c>
    </row>
    <row r="459" spans="1:6" x14ac:dyDescent="0.3">
      <c r="A459" s="3" t="s">
        <v>33</v>
      </c>
      <c r="B459" s="6" t="s">
        <v>38</v>
      </c>
      <c r="C459" s="4" t="s">
        <v>56</v>
      </c>
      <c r="D459" s="8" t="s">
        <v>22</v>
      </c>
      <c r="E459" s="5">
        <f>'[3]Valuation-FCFF'!$AO$6</f>
        <v>1029.7163679984972</v>
      </c>
      <c r="F459" s="4" t="str">
        <f t="shared" si="39"/>
        <v>Forecast</v>
      </c>
    </row>
    <row r="460" spans="1:6" x14ac:dyDescent="0.3">
      <c r="A460" s="3" t="s">
        <v>33</v>
      </c>
      <c r="B460" s="6" t="s">
        <v>38</v>
      </c>
      <c r="C460" s="4" t="s">
        <v>56</v>
      </c>
      <c r="D460" s="8" t="s">
        <v>23</v>
      </c>
      <c r="E460" s="5">
        <f>'[3]Valuation-FCFF'!$AP$6</f>
        <v>1064.1814375960857</v>
      </c>
      <c r="F460" s="4" t="str">
        <f t="shared" si="39"/>
        <v>Forecast</v>
      </c>
    </row>
    <row r="461" spans="1:6" x14ac:dyDescent="0.3">
      <c r="A461" s="3" t="s">
        <v>33</v>
      </c>
      <c r="B461" s="6" t="s">
        <v>38</v>
      </c>
      <c r="C461" s="4" t="s">
        <v>56</v>
      </c>
      <c r="D461" s="8" t="s">
        <v>24</v>
      </c>
      <c r="E461" s="5">
        <f>'[3]Valuation-FCFF'!$AQ$6</f>
        <v>1099.8000685619136</v>
      </c>
      <c r="F461" s="4" t="str">
        <f t="shared" si="39"/>
        <v>Forecast</v>
      </c>
    </row>
    <row r="462" spans="1:6" x14ac:dyDescent="0.3">
      <c r="A462" s="3" t="s">
        <v>33</v>
      </c>
      <c r="B462" s="6" t="s">
        <v>38</v>
      </c>
      <c r="C462" s="4" t="s">
        <v>56</v>
      </c>
      <c r="D462" s="8" t="s">
        <v>25</v>
      </c>
      <c r="E462" s="5">
        <f>'[3]Valuation-FCFF'!$AR$6</f>
        <v>1136.6108711133929</v>
      </c>
      <c r="F462" s="4" t="str">
        <f t="shared" si="39"/>
        <v>Forecast</v>
      </c>
    </row>
    <row r="463" spans="1:6" x14ac:dyDescent="0.3">
      <c r="A463" s="3" t="s">
        <v>33</v>
      </c>
      <c r="B463" s="6" t="s">
        <v>38</v>
      </c>
      <c r="C463" s="4" t="s">
        <v>56</v>
      </c>
      <c r="D463" s="8" t="s">
        <v>26</v>
      </c>
      <c r="E463" s="5">
        <f>'[3]Valuation-FCFF'!$AS$6</f>
        <v>1174.6537477692646</v>
      </c>
      <c r="F463" s="4" t="str">
        <f t="shared" si="39"/>
        <v>Forecast</v>
      </c>
    </row>
    <row r="464" spans="1:6" x14ac:dyDescent="0.3">
      <c r="A464" s="3" t="s">
        <v>33</v>
      </c>
      <c r="B464" s="6" t="s">
        <v>39</v>
      </c>
      <c r="C464" s="4" t="s">
        <v>56</v>
      </c>
      <c r="D464" s="8" t="s">
        <v>16</v>
      </c>
      <c r="E464" s="5">
        <f>'[3]Income Statement'!$AP$26</f>
        <v>934.19999999999561</v>
      </c>
      <c r="F464" s="4" t="str">
        <f>IF(VALUE(D464)&gt;2024,"Forecast","Actual")</f>
        <v>Actual</v>
      </c>
    </row>
    <row r="465" spans="1:6" x14ac:dyDescent="0.3">
      <c r="A465" s="3" t="s">
        <v>33</v>
      </c>
      <c r="B465" s="6" t="s">
        <v>39</v>
      </c>
      <c r="C465" s="4" t="s">
        <v>56</v>
      </c>
      <c r="D465" s="8" t="s">
        <v>17</v>
      </c>
      <c r="E465" s="5">
        <f>'[3]Income Statement'!$AQ$26</f>
        <v>1242.7000000000044</v>
      </c>
      <c r="F465" s="4" t="str">
        <f>IF(VALUE(D465)&gt;2024,"Forecast","Actual")</f>
        <v>Actual</v>
      </c>
    </row>
    <row r="466" spans="1:6" x14ac:dyDescent="0.3">
      <c r="A466" s="3" t="s">
        <v>33</v>
      </c>
      <c r="B466" s="6" t="s">
        <v>39</v>
      </c>
      <c r="C466" s="4" t="s">
        <v>56</v>
      </c>
      <c r="D466" s="8" t="s">
        <v>18</v>
      </c>
      <c r="E466" s="5">
        <f>'[3]Income Statement'!$AR$26</f>
        <v>817.30000000000302</v>
      </c>
      <c r="F466" s="4" t="str">
        <f t="shared" ref="F466:F474" si="40">IF(VALUE(D466)&gt;2024,"Forecast","Actual")</f>
        <v>Actual</v>
      </c>
    </row>
    <row r="467" spans="1:6" x14ac:dyDescent="0.3">
      <c r="A467" s="3" t="s">
        <v>33</v>
      </c>
      <c r="B467" s="6" t="s">
        <v>39</v>
      </c>
      <c r="C467" s="4" t="s">
        <v>56</v>
      </c>
      <c r="D467" s="8" t="s">
        <v>19</v>
      </c>
      <c r="E467" s="5">
        <f>'[3]Income Statement'!$AS$26</f>
        <v>1669.6000000000001</v>
      </c>
      <c r="F467" s="4" t="str">
        <f t="shared" si="40"/>
        <v>Actual</v>
      </c>
    </row>
    <row r="468" spans="1:6" x14ac:dyDescent="0.3">
      <c r="A468" s="3" t="s">
        <v>33</v>
      </c>
      <c r="B468" s="6" t="s">
        <v>39</v>
      </c>
      <c r="C468" s="4" t="s">
        <v>56</v>
      </c>
      <c r="D468" s="8" t="s">
        <v>20</v>
      </c>
      <c r="E468" s="5">
        <f>'[3]Income Statement'!$AT$26</f>
        <v>3019.6000000000145</v>
      </c>
      <c r="F468" s="4" t="str">
        <f t="shared" si="40"/>
        <v>Actual</v>
      </c>
    </row>
    <row r="469" spans="1:6" x14ac:dyDescent="0.3">
      <c r="A469" s="3" t="s">
        <v>33</v>
      </c>
      <c r="B469" s="6" t="s">
        <v>39</v>
      </c>
      <c r="C469" s="4" t="s">
        <v>56</v>
      </c>
      <c r="D469" s="8" t="s">
        <v>21</v>
      </c>
      <c r="E469" s="5">
        <f>'[3]Valuation-FCFF'!$AX$6</f>
        <v>5152.136565059197</v>
      </c>
      <c r="F469" s="4" t="str">
        <f t="shared" si="40"/>
        <v>Forecast</v>
      </c>
    </row>
    <row r="470" spans="1:6" x14ac:dyDescent="0.3">
      <c r="A470" s="3" t="s">
        <v>33</v>
      </c>
      <c r="B470" s="6" t="s">
        <v>39</v>
      </c>
      <c r="C470" s="4" t="s">
        <v>56</v>
      </c>
      <c r="D470" s="8" t="s">
        <v>22</v>
      </c>
      <c r="E470" s="5">
        <f>'[3]Valuation-FCFF'!$AY$6</f>
        <v>6249.038893307652</v>
      </c>
      <c r="F470" s="4" t="str">
        <f t="shared" si="40"/>
        <v>Forecast</v>
      </c>
    </row>
    <row r="471" spans="1:6" x14ac:dyDescent="0.3">
      <c r="A471" s="3" t="s">
        <v>33</v>
      </c>
      <c r="B471" s="6" t="s">
        <v>39</v>
      </c>
      <c r="C471" s="4" t="s">
        <v>56</v>
      </c>
      <c r="D471" s="8" t="s">
        <v>23</v>
      </c>
      <c r="E471" s="5">
        <f>'[3]Valuation-FCFF'!$AZ$6</f>
        <v>7579.4743786305362</v>
      </c>
      <c r="F471" s="4" t="str">
        <f t="shared" si="40"/>
        <v>Forecast</v>
      </c>
    </row>
    <row r="472" spans="1:6" x14ac:dyDescent="0.3">
      <c r="A472" s="3" t="s">
        <v>33</v>
      </c>
      <c r="B472" s="6" t="s">
        <v>39</v>
      </c>
      <c r="C472" s="4" t="s">
        <v>56</v>
      </c>
      <c r="D472" s="8" t="s">
        <v>24</v>
      </c>
      <c r="E472" s="5">
        <f>'[3]Valuation-FCFF'!$BA$6</f>
        <v>9193.1627946564076</v>
      </c>
      <c r="F472" s="4" t="str">
        <f t="shared" si="40"/>
        <v>Forecast</v>
      </c>
    </row>
    <row r="473" spans="1:6" x14ac:dyDescent="0.3">
      <c r="A473" s="3" t="s">
        <v>33</v>
      </c>
      <c r="B473" s="6" t="s">
        <v>39</v>
      </c>
      <c r="C473" s="4" t="s">
        <v>56</v>
      </c>
      <c r="D473" s="8" t="s">
        <v>25</v>
      </c>
      <c r="E473" s="5">
        <f>'[3]Valuation-FCFF'!$BB$6</f>
        <v>11150.409375000076</v>
      </c>
      <c r="F473" s="4" t="str">
        <f t="shared" si="40"/>
        <v>Forecast</v>
      </c>
    </row>
    <row r="474" spans="1:6" x14ac:dyDescent="0.3">
      <c r="A474" s="3" t="s">
        <v>33</v>
      </c>
      <c r="B474" s="6" t="s">
        <v>39</v>
      </c>
      <c r="C474" s="4" t="s">
        <v>56</v>
      </c>
      <c r="D474" s="8" t="s">
        <v>26</v>
      </c>
      <c r="E474" s="5">
        <f>'[3]Valuation-FCFF'!$BC$6</f>
        <v>13524.358483280448</v>
      </c>
      <c r="F474" s="4" t="str">
        <f t="shared" si="40"/>
        <v>Forecast</v>
      </c>
    </row>
    <row r="475" spans="1:6" x14ac:dyDescent="0.3">
      <c r="A475" s="3" t="s">
        <v>40</v>
      </c>
      <c r="B475" s="6" t="s">
        <v>41</v>
      </c>
      <c r="C475" s="4" t="s">
        <v>14</v>
      </c>
      <c r="D475" s="8" t="s">
        <v>16</v>
      </c>
      <c r="E475" s="5">
        <f>'[4]Income Statement'!$M$9</f>
        <v>13067.07</v>
      </c>
      <c r="F475" s="4" t="str">
        <f t="shared" ref="F475:F496" si="41">IF(VALUE(D475)&gt;2024,"Forecast","Actual")</f>
        <v>Actual</v>
      </c>
    </row>
    <row r="476" spans="1:6" x14ac:dyDescent="0.3">
      <c r="A476" s="3" t="s">
        <v>40</v>
      </c>
      <c r="B476" s="6" t="s">
        <v>41</v>
      </c>
      <c r="C476" s="4" t="s">
        <v>14</v>
      </c>
      <c r="D476" s="8" t="s">
        <v>17</v>
      </c>
      <c r="E476" s="5">
        <f>'[4]Income Statement'!$L$9</f>
        <v>14189.93</v>
      </c>
      <c r="F476" s="4" t="str">
        <f t="shared" si="41"/>
        <v>Actual</v>
      </c>
    </row>
    <row r="477" spans="1:6" x14ac:dyDescent="0.3">
      <c r="A477" s="3" t="s">
        <v>40</v>
      </c>
      <c r="B477" s="6" t="s">
        <v>41</v>
      </c>
      <c r="C477" s="4" t="s">
        <v>14</v>
      </c>
      <c r="D477" s="8" t="s">
        <v>18</v>
      </c>
      <c r="E477" s="5">
        <f>'[4]Income Statement'!$K$9</f>
        <v>15547.35</v>
      </c>
      <c r="F477" s="4" t="str">
        <f t="shared" si="41"/>
        <v>Actual</v>
      </c>
    </row>
    <row r="478" spans="1:6" x14ac:dyDescent="0.3">
      <c r="A478" s="3" t="s">
        <v>40</v>
      </c>
      <c r="B478" s="6" t="s">
        <v>41</v>
      </c>
      <c r="C478" s="4" t="s">
        <v>14</v>
      </c>
      <c r="D478" s="8" t="s">
        <v>19</v>
      </c>
      <c r="E478" s="5">
        <f>'[4]Income Statement'!$J$9</f>
        <v>18006.22</v>
      </c>
      <c r="F478" s="4" t="str">
        <f t="shared" si="41"/>
        <v>Actual</v>
      </c>
    </row>
    <row r="479" spans="1:6" x14ac:dyDescent="0.3">
      <c r="A479" s="3" t="s">
        <v>40</v>
      </c>
      <c r="B479" s="6" t="s">
        <v>41</v>
      </c>
      <c r="C479" s="4" t="s">
        <v>14</v>
      </c>
      <c r="D479" s="8" t="s">
        <v>20</v>
      </c>
      <c r="E479" s="5">
        <f>'[4]Income Statement'!$I$9</f>
        <v>20925.23</v>
      </c>
      <c r="F479" s="4" t="str">
        <f t="shared" si="41"/>
        <v>Actual</v>
      </c>
    </row>
    <row r="480" spans="1:6" x14ac:dyDescent="0.3">
      <c r="A480" s="3" t="s">
        <v>40</v>
      </c>
      <c r="B480" s="6" t="s">
        <v>41</v>
      </c>
      <c r="C480" s="4" t="s">
        <v>14</v>
      </c>
      <c r="D480" s="8" t="s">
        <v>21</v>
      </c>
      <c r="E480" s="5">
        <f>[4]DCF!$N$4</f>
        <v>22991.570863058354</v>
      </c>
      <c r="F480" s="4" t="str">
        <f t="shared" si="41"/>
        <v>Forecast</v>
      </c>
    </row>
    <row r="481" spans="1:6" x14ac:dyDescent="0.3">
      <c r="A481" s="3" t="s">
        <v>40</v>
      </c>
      <c r="B481" s="6" t="s">
        <v>41</v>
      </c>
      <c r="C481" s="4" t="s">
        <v>14</v>
      </c>
      <c r="D481" s="8" t="s">
        <v>22</v>
      </c>
      <c r="E481" s="5">
        <f>[4]DCF!$O$4</f>
        <v>25261.960358430177</v>
      </c>
      <c r="F481" s="4" t="str">
        <f t="shared" si="41"/>
        <v>Forecast</v>
      </c>
    </row>
    <row r="482" spans="1:6" x14ac:dyDescent="0.3">
      <c r="A482" s="3" t="s">
        <v>40</v>
      </c>
      <c r="B482" s="6" t="s">
        <v>41</v>
      </c>
      <c r="C482" s="4" t="s">
        <v>14</v>
      </c>
      <c r="D482" s="8" t="s">
        <v>23</v>
      </c>
      <c r="E482" s="5">
        <f>[4]DCF!$P$4</f>
        <v>27756.548038928053</v>
      </c>
      <c r="F482" s="4" t="str">
        <f t="shared" si="41"/>
        <v>Forecast</v>
      </c>
    </row>
    <row r="483" spans="1:6" x14ac:dyDescent="0.3">
      <c r="A483" s="3" t="s">
        <v>40</v>
      </c>
      <c r="B483" s="6" t="s">
        <v>41</v>
      </c>
      <c r="C483" s="4" t="s">
        <v>14</v>
      </c>
      <c r="D483" s="8" t="s">
        <v>24</v>
      </c>
      <c r="E483" s="5">
        <f>[4]DCF!$Q$4</f>
        <v>30497.473201054312</v>
      </c>
      <c r="F483" s="4" t="str">
        <f t="shared" si="41"/>
        <v>Forecast</v>
      </c>
    </row>
    <row r="484" spans="1:6" x14ac:dyDescent="0.3">
      <c r="A484" s="3" t="s">
        <v>40</v>
      </c>
      <c r="B484" s="6" t="s">
        <v>41</v>
      </c>
      <c r="C484" s="4" t="s">
        <v>14</v>
      </c>
      <c r="D484" s="8" t="s">
        <v>25</v>
      </c>
      <c r="E484" s="5">
        <f>[4]DCF!$R$4</f>
        <v>33509.061369756193</v>
      </c>
      <c r="F484" s="4" t="str">
        <f t="shared" si="41"/>
        <v>Forecast</v>
      </c>
    </row>
    <row r="485" spans="1:6" x14ac:dyDescent="0.3">
      <c r="A485" s="3" t="s">
        <v>40</v>
      </c>
      <c r="B485" s="6" t="s">
        <v>41</v>
      </c>
      <c r="C485" s="4" t="s">
        <v>14</v>
      </c>
      <c r="D485" s="8" t="s">
        <v>26</v>
      </c>
      <c r="E485" s="5">
        <f>[4]DCF!$S$4</f>
        <v>36818.040185810183</v>
      </c>
      <c r="F485" s="4" t="str">
        <f t="shared" si="41"/>
        <v>Forecast</v>
      </c>
    </row>
    <row r="486" spans="1:6" x14ac:dyDescent="0.3">
      <c r="A486" s="3" t="s">
        <v>40</v>
      </c>
      <c r="B486" s="6" t="s">
        <v>42</v>
      </c>
      <c r="C486" s="4" t="s">
        <v>14</v>
      </c>
      <c r="D486" s="8" t="s">
        <v>16</v>
      </c>
      <c r="E486" s="5">
        <f>'[4]Income Statement'!$F$9</f>
        <v>5535.32</v>
      </c>
      <c r="F486" s="4" t="str">
        <f t="shared" si="41"/>
        <v>Actual</v>
      </c>
    </row>
    <row r="487" spans="1:6" x14ac:dyDescent="0.3">
      <c r="A487" s="3" t="s">
        <v>40</v>
      </c>
      <c r="B487" s="6" t="s">
        <v>42</v>
      </c>
      <c r="C487" s="4" t="s">
        <v>14</v>
      </c>
      <c r="D487" s="8" t="s">
        <v>17</v>
      </c>
      <c r="E487" s="5">
        <f>'[4]Income Statement'!$E$9</f>
        <v>4621.92</v>
      </c>
      <c r="F487" s="4" t="str">
        <f t="shared" si="41"/>
        <v>Actual</v>
      </c>
    </row>
    <row r="488" spans="1:6" x14ac:dyDescent="0.3">
      <c r="A488" s="3" t="s">
        <v>40</v>
      </c>
      <c r="B488" s="6" t="s">
        <v>42</v>
      </c>
      <c r="C488" s="4" t="s">
        <v>14</v>
      </c>
      <c r="D488" s="8" t="s">
        <v>18</v>
      </c>
      <c r="E488" s="5">
        <f>'[4]Income Statement'!$D$9</f>
        <v>6166.91</v>
      </c>
      <c r="F488" s="4" t="str">
        <f t="shared" si="41"/>
        <v>Actual</v>
      </c>
    </row>
    <row r="489" spans="1:6" x14ac:dyDescent="0.3">
      <c r="A489" s="3" t="s">
        <v>40</v>
      </c>
      <c r="B489" s="6" t="s">
        <v>42</v>
      </c>
      <c r="C489" s="4" t="s">
        <v>14</v>
      </c>
      <c r="D489" s="8" t="s">
        <v>19</v>
      </c>
      <c r="E489" s="5">
        <f>'[4]Income Statement'!$C$9</f>
        <v>8540.66</v>
      </c>
      <c r="F489" s="4" t="str">
        <f t="shared" si="41"/>
        <v>Actual</v>
      </c>
    </row>
    <row r="490" spans="1:6" x14ac:dyDescent="0.3">
      <c r="A490" s="3" t="s">
        <v>40</v>
      </c>
      <c r="B490" s="6" t="s">
        <v>42</v>
      </c>
      <c r="C490" s="4" t="s">
        <v>14</v>
      </c>
      <c r="D490" s="8" t="s">
        <v>20</v>
      </c>
      <c r="E490" s="5">
        <f>'[4]Income Statement'!$B$9</f>
        <v>10604.6</v>
      </c>
      <c r="F490" s="4" t="str">
        <f t="shared" si="41"/>
        <v>Actual</v>
      </c>
    </row>
    <row r="491" spans="1:6" x14ac:dyDescent="0.3">
      <c r="A491" s="3" t="s">
        <v>40</v>
      </c>
      <c r="B491" s="6" t="s">
        <v>42</v>
      </c>
      <c r="C491" s="4" t="s">
        <v>14</v>
      </c>
      <c r="D491" s="8" t="s">
        <v>21</v>
      </c>
      <c r="E491" s="5">
        <f>[4]DCF!$D$4</f>
        <v>12077.153984228209</v>
      </c>
      <c r="F491" s="4" t="str">
        <f t="shared" si="41"/>
        <v>Forecast</v>
      </c>
    </row>
    <row r="492" spans="1:6" x14ac:dyDescent="0.3">
      <c r="A492" s="3" t="s">
        <v>40</v>
      </c>
      <c r="B492" s="6" t="s">
        <v>42</v>
      </c>
      <c r="C492" s="4" t="s">
        <v>14</v>
      </c>
      <c r="D492" s="8" t="s">
        <v>22</v>
      </c>
      <c r="E492" s="5">
        <f>[4]DCF!$E$4</f>
        <v>13754.186707538172</v>
      </c>
      <c r="F492" s="4" t="str">
        <f t="shared" si="41"/>
        <v>Forecast</v>
      </c>
    </row>
    <row r="493" spans="1:6" x14ac:dyDescent="0.3">
      <c r="A493" s="3" t="s">
        <v>40</v>
      </c>
      <c r="B493" s="6" t="s">
        <v>42</v>
      </c>
      <c r="C493" s="4" t="s">
        <v>14</v>
      </c>
      <c r="D493" s="8" t="s">
        <v>23</v>
      </c>
      <c r="E493" s="5">
        <f>[4]DCF!$F$4</f>
        <v>15664.092072757418</v>
      </c>
      <c r="F493" s="4" t="str">
        <f t="shared" si="41"/>
        <v>Forecast</v>
      </c>
    </row>
    <row r="494" spans="1:6" x14ac:dyDescent="0.3">
      <c r="A494" s="3" t="s">
        <v>40</v>
      </c>
      <c r="B494" s="6" t="s">
        <v>42</v>
      </c>
      <c r="C494" s="4" t="s">
        <v>14</v>
      </c>
      <c r="D494" s="8" t="s">
        <v>24</v>
      </c>
      <c r="E494" s="5">
        <f>[4]DCF!$G$4</f>
        <v>17839.206757993677</v>
      </c>
      <c r="F494" s="4" t="str">
        <f t="shared" si="41"/>
        <v>Forecast</v>
      </c>
    </row>
    <row r="495" spans="1:6" x14ac:dyDescent="0.3">
      <c r="A495" s="3" t="s">
        <v>40</v>
      </c>
      <c r="B495" s="6" t="s">
        <v>42</v>
      </c>
      <c r="C495" s="4" t="s">
        <v>14</v>
      </c>
      <c r="D495" s="8" t="s">
        <v>25</v>
      </c>
      <c r="E495" s="5">
        <f>[4]DCF!$H$4</f>
        <v>20316.357710123353</v>
      </c>
      <c r="F495" s="4" t="str">
        <f t="shared" si="41"/>
        <v>Forecast</v>
      </c>
    </row>
    <row r="496" spans="1:6" x14ac:dyDescent="0.3">
      <c r="A496" s="3" t="s">
        <v>40</v>
      </c>
      <c r="B496" s="6" t="s">
        <v>42</v>
      </c>
      <c r="C496" s="4" t="s">
        <v>14</v>
      </c>
      <c r="D496" s="8" t="s">
        <v>26</v>
      </c>
      <c r="E496" s="5">
        <f>[4]DCF!$I$4</f>
        <v>23137.485663185951</v>
      </c>
      <c r="F496" s="4" t="str">
        <f t="shared" si="41"/>
        <v>Forecast</v>
      </c>
    </row>
    <row r="497" spans="1:6" x14ac:dyDescent="0.3">
      <c r="A497" s="3" t="s">
        <v>40</v>
      </c>
      <c r="B497" s="6" t="s">
        <v>41</v>
      </c>
      <c r="C497" s="4" t="s">
        <v>56</v>
      </c>
      <c r="D497" s="8" t="s">
        <v>16</v>
      </c>
      <c r="E497" s="5">
        <f>'[4]Income Statement'!$M$29</f>
        <v>1824.7199999999978</v>
      </c>
      <c r="F497" s="4" t="str">
        <f t="shared" ref="F497:F518" si="42">IF(VALUE(D497)&gt;2024,"Forecast","Actual")</f>
        <v>Actual</v>
      </c>
    </row>
    <row r="498" spans="1:6" x14ac:dyDescent="0.3">
      <c r="A498" s="3" t="s">
        <v>40</v>
      </c>
      <c r="B498" s="6" t="s">
        <v>41</v>
      </c>
      <c r="C498" s="4" t="s">
        <v>56</v>
      </c>
      <c r="D498" s="8" t="s">
        <v>17</v>
      </c>
      <c r="E498" s="5">
        <f>'[4]Income Statement'!$L$29</f>
        <v>2065.42</v>
      </c>
      <c r="F498" s="4" t="str">
        <f t="shared" si="42"/>
        <v>Actual</v>
      </c>
    </row>
    <row r="499" spans="1:6" x14ac:dyDescent="0.3">
      <c r="A499" s="3" t="s">
        <v>40</v>
      </c>
      <c r="B499" s="6" t="s">
        <v>41</v>
      </c>
      <c r="C499" s="4" t="s">
        <v>56</v>
      </c>
      <c r="D499" s="8" t="s">
        <v>18</v>
      </c>
      <c r="E499" s="5">
        <f>'[4]Income Statement'!$K$29</f>
        <v>2348.9299999999998</v>
      </c>
      <c r="F499" s="4" t="str">
        <f t="shared" si="42"/>
        <v>Actual</v>
      </c>
    </row>
    <row r="500" spans="1:6" x14ac:dyDescent="0.3">
      <c r="A500" s="3" t="s">
        <v>40</v>
      </c>
      <c r="B500" s="6" t="s">
        <v>41</v>
      </c>
      <c r="C500" s="4" t="s">
        <v>56</v>
      </c>
      <c r="D500" s="8" t="s">
        <v>19</v>
      </c>
      <c r="E500" s="5">
        <f>'[4]Income Statement'!$J$29</f>
        <v>3006.67</v>
      </c>
      <c r="F500" s="4" t="str">
        <f t="shared" si="42"/>
        <v>Actual</v>
      </c>
    </row>
    <row r="501" spans="1:6" x14ac:dyDescent="0.3">
      <c r="A501" s="3" t="s">
        <v>40</v>
      </c>
      <c r="B501" s="6" t="s">
        <v>41</v>
      </c>
      <c r="C501" s="4" t="s">
        <v>56</v>
      </c>
      <c r="D501" s="8" t="s">
        <v>20</v>
      </c>
      <c r="E501" s="5">
        <f>'[4]Income Statement'!$I$29</f>
        <v>4020</v>
      </c>
      <c r="F501" s="4" t="str">
        <f t="shared" si="42"/>
        <v>Actual</v>
      </c>
    </row>
    <row r="502" spans="1:6" x14ac:dyDescent="0.3">
      <c r="A502" s="3" t="s">
        <v>40</v>
      </c>
      <c r="B502" s="6" t="s">
        <v>41</v>
      </c>
      <c r="C502" s="4" t="s">
        <v>56</v>
      </c>
      <c r="D502" s="8" t="s">
        <v>21</v>
      </c>
      <c r="E502" s="5">
        <f>[4]DCF!$N$7</f>
        <v>4669.8678676776744</v>
      </c>
      <c r="F502" s="4" t="str">
        <f t="shared" si="42"/>
        <v>Forecast</v>
      </c>
    </row>
    <row r="503" spans="1:6" x14ac:dyDescent="0.3">
      <c r="A503" s="3" t="s">
        <v>40</v>
      </c>
      <c r="B503" s="6" t="s">
        <v>41</v>
      </c>
      <c r="C503" s="4" t="s">
        <v>56</v>
      </c>
      <c r="D503" s="8" t="s">
        <v>22</v>
      </c>
      <c r="E503" s="5">
        <f>[4]DCF!$O$7</f>
        <v>5443.499464345362</v>
      </c>
      <c r="F503" s="4" t="str">
        <f t="shared" si="42"/>
        <v>Forecast</v>
      </c>
    </row>
    <row r="504" spans="1:6" x14ac:dyDescent="0.3">
      <c r="A504" s="3" t="s">
        <v>40</v>
      </c>
      <c r="B504" s="6" t="s">
        <v>41</v>
      </c>
      <c r="C504" s="4" t="s">
        <v>56</v>
      </c>
      <c r="D504" s="8" t="s">
        <v>23</v>
      </c>
      <c r="E504" s="5">
        <f>[4]DCF!$P$7</f>
        <v>6345.2943976044626</v>
      </c>
      <c r="F504" s="4" t="str">
        <f t="shared" si="42"/>
        <v>Forecast</v>
      </c>
    </row>
    <row r="505" spans="1:6" x14ac:dyDescent="0.3">
      <c r="A505" s="3" t="s">
        <v>40</v>
      </c>
      <c r="B505" s="6" t="s">
        <v>41</v>
      </c>
      <c r="C505" s="4" t="s">
        <v>56</v>
      </c>
      <c r="D505" s="8" t="s">
        <v>24</v>
      </c>
      <c r="E505" s="5">
        <f>[4]DCF!$Q$7</f>
        <v>7396.4847899755587</v>
      </c>
      <c r="F505" s="4" t="str">
        <f t="shared" si="42"/>
        <v>Forecast</v>
      </c>
    </row>
    <row r="506" spans="1:6" x14ac:dyDescent="0.3">
      <c r="A506" s="3" t="s">
        <v>40</v>
      </c>
      <c r="B506" s="6" t="s">
        <v>41</v>
      </c>
      <c r="C506" s="4" t="s">
        <v>56</v>
      </c>
      <c r="D506" s="8" t="s">
        <v>25</v>
      </c>
      <c r="E506" s="5">
        <f>[4]DCF!$R$7</f>
        <v>8621.8201741740613</v>
      </c>
      <c r="F506" s="4" t="str">
        <f t="shared" si="42"/>
        <v>Forecast</v>
      </c>
    </row>
    <row r="507" spans="1:6" x14ac:dyDescent="0.3">
      <c r="A507" s="3" t="s">
        <v>40</v>
      </c>
      <c r="B507" s="6" t="s">
        <v>41</v>
      </c>
      <c r="C507" s="4" t="s">
        <v>56</v>
      </c>
      <c r="D507" s="8" t="s">
        <v>26</v>
      </c>
      <c r="E507" s="5">
        <f>[4]DCF!$S$7</f>
        <v>10050.150203315767</v>
      </c>
      <c r="F507" s="4" t="str">
        <f t="shared" si="42"/>
        <v>Forecast</v>
      </c>
    </row>
    <row r="508" spans="1:6" x14ac:dyDescent="0.3">
      <c r="A508" s="3" t="s">
        <v>40</v>
      </c>
      <c r="B508" s="6" t="s">
        <v>42</v>
      </c>
      <c r="C508" s="4" t="s">
        <v>56</v>
      </c>
      <c r="D508" s="8" t="s">
        <v>16</v>
      </c>
      <c r="E508" s="5">
        <f>'[4]Income Statement'!$F$30</f>
        <v>477.06999999999954</v>
      </c>
      <c r="F508" s="4" t="str">
        <f t="shared" si="42"/>
        <v>Actual</v>
      </c>
    </row>
    <row r="509" spans="1:6" x14ac:dyDescent="0.3">
      <c r="A509" s="3" t="s">
        <v>40</v>
      </c>
      <c r="B509" s="6" t="s">
        <v>42</v>
      </c>
      <c r="C509" s="4" t="s">
        <v>56</v>
      </c>
      <c r="D509" s="8" t="s">
        <v>17</v>
      </c>
      <c r="E509" s="5">
        <f>'[4]Income Statement'!$E$30</f>
        <v>513.86</v>
      </c>
      <c r="F509" s="4" t="str">
        <f t="shared" si="42"/>
        <v>Actual</v>
      </c>
    </row>
    <row r="510" spans="1:6" x14ac:dyDescent="0.3">
      <c r="A510" s="3" t="s">
        <v>40</v>
      </c>
      <c r="B510" s="6" t="s">
        <v>42</v>
      </c>
      <c r="C510" s="4" t="s">
        <v>56</v>
      </c>
      <c r="D510" s="8" t="s">
        <v>18</v>
      </c>
      <c r="E510" s="5">
        <f>'[4]Income Statement'!$D$30</f>
        <v>586.47</v>
      </c>
      <c r="F510" s="4" t="str">
        <f t="shared" si="42"/>
        <v>Actual</v>
      </c>
    </row>
    <row r="511" spans="1:6" x14ac:dyDescent="0.3">
      <c r="A511" s="3" t="s">
        <v>40</v>
      </c>
      <c r="B511" s="6" t="s">
        <v>42</v>
      </c>
      <c r="C511" s="4" t="s">
        <v>56</v>
      </c>
      <c r="D511" s="8" t="s">
        <v>19</v>
      </c>
      <c r="E511" s="5">
        <f>'[4]Income Statement'!$C$30</f>
        <v>1072.72</v>
      </c>
      <c r="F511" s="4" t="str">
        <f t="shared" si="42"/>
        <v>Actual</v>
      </c>
    </row>
    <row r="512" spans="1:6" x14ac:dyDescent="0.3">
      <c r="A512" s="3" t="s">
        <v>40</v>
      </c>
      <c r="B512" s="6" t="s">
        <v>42</v>
      </c>
      <c r="C512" s="4" t="s">
        <v>56</v>
      </c>
      <c r="D512" s="8" t="s">
        <v>20</v>
      </c>
      <c r="E512" s="5">
        <f>'[4]Income Statement'!$B$30</f>
        <v>1845.43</v>
      </c>
      <c r="F512" s="4" t="str">
        <f t="shared" si="42"/>
        <v>Actual</v>
      </c>
    </row>
    <row r="513" spans="1:6" x14ac:dyDescent="0.3">
      <c r="A513" s="3" t="s">
        <v>40</v>
      </c>
      <c r="B513" s="6" t="s">
        <v>42</v>
      </c>
      <c r="C513" s="4" t="s">
        <v>56</v>
      </c>
      <c r="D513" s="8" t="s">
        <v>21</v>
      </c>
      <c r="E513" s="5">
        <f>[4]DCF!$D$7</f>
        <v>2342.8536927406476</v>
      </c>
      <c r="F513" s="4" t="str">
        <f t="shared" si="42"/>
        <v>Forecast</v>
      </c>
    </row>
    <row r="514" spans="1:6" x14ac:dyDescent="0.3">
      <c r="A514" s="3" t="s">
        <v>40</v>
      </c>
      <c r="B514" s="6" t="s">
        <v>42</v>
      </c>
      <c r="C514" s="4" t="s">
        <v>56</v>
      </c>
      <c r="D514" s="8" t="s">
        <v>22</v>
      </c>
      <c r="E514" s="5">
        <f>[4]DCF!$E$7</f>
        <v>2967.2077440845947</v>
      </c>
      <c r="F514" s="4" t="str">
        <f t="shared" si="42"/>
        <v>Forecast</v>
      </c>
    </row>
    <row r="515" spans="1:6" x14ac:dyDescent="0.3">
      <c r="A515" s="3" t="s">
        <v>40</v>
      </c>
      <c r="B515" s="6" t="s">
        <v>42</v>
      </c>
      <c r="C515" s="4" t="s">
        <v>56</v>
      </c>
      <c r="D515" s="8" t="s">
        <v>23</v>
      </c>
      <c r="E515" s="5">
        <f>[4]DCF!$F$7</f>
        <v>3757.9477642312268</v>
      </c>
      <c r="F515" s="4" t="str">
        <f t="shared" si="42"/>
        <v>Forecast</v>
      </c>
    </row>
    <row r="516" spans="1:6" x14ac:dyDescent="0.3">
      <c r="A516" s="3" t="s">
        <v>40</v>
      </c>
      <c r="B516" s="6" t="s">
        <v>42</v>
      </c>
      <c r="C516" s="4" t="s">
        <v>56</v>
      </c>
      <c r="D516" s="8" t="s">
        <v>24</v>
      </c>
      <c r="E516" s="5">
        <f>[4]DCF!$G$7</f>
        <v>4759.4144450601207</v>
      </c>
      <c r="F516" s="4" t="str">
        <f t="shared" si="42"/>
        <v>Forecast</v>
      </c>
    </row>
    <row r="517" spans="1:6" x14ac:dyDescent="0.3">
      <c r="A517" s="3" t="s">
        <v>40</v>
      </c>
      <c r="B517" s="6" t="s">
        <v>42</v>
      </c>
      <c r="C517" s="4" t="s">
        <v>56</v>
      </c>
      <c r="D517" s="8" t="s">
        <v>25</v>
      </c>
      <c r="E517" s="5">
        <f>[4]DCF!$H$7</f>
        <v>6027.7649613580843</v>
      </c>
      <c r="F517" s="4" t="str">
        <f t="shared" si="42"/>
        <v>Forecast</v>
      </c>
    </row>
    <row r="518" spans="1:6" x14ac:dyDescent="0.3">
      <c r="A518" s="3" t="s">
        <v>40</v>
      </c>
      <c r="B518" s="6" t="s">
        <v>42</v>
      </c>
      <c r="C518" s="4" t="s">
        <v>56</v>
      </c>
      <c r="D518" s="8" t="s">
        <v>26</v>
      </c>
      <c r="E518" s="5">
        <f>[4]DCF!$I$7</f>
        <v>7634.1219805070486</v>
      </c>
      <c r="F518" s="4" t="str">
        <f t="shared" si="42"/>
        <v>Forecast</v>
      </c>
    </row>
    <row r="519" spans="1:6" x14ac:dyDescent="0.3">
      <c r="A519" s="3" t="s">
        <v>43</v>
      </c>
      <c r="B519" s="6" t="s">
        <v>44</v>
      </c>
      <c r="C519" s="4" t="s">
        <v>14</v>
      </c>
      <c r="D519" s="8" t="s">
        <v>16</v>
      </c>
      <c r="E519" s="5">
        <f>'[5]Income Statement'!$B$6</f>
        <v>27841.81</v>
      </c>
      <c r="F519" s="4" t="str">
        <f>IF(VALUE(D519)&gt;2024,"Forecast","Actual")</f>
        <v>Actual</v>
      </c>
    </row>
    <row r="520" spans="1:6" x14ac:dyDescent="0.3">
      <c r="A520" s="3" t="s">
        <v>43</v>
      </c>
      <c r="B520" s="6" t="s">
        <v>44</v>
      </c>
      <c r="C520" s="4" t="s">
        <v>14</v>
      </c>
      <c r="D520" s="8" t="s">
        <v>17</v>
      </c>
      <c r="E520" s="5">
        <f>'[5]Income Statement'!$C$6</f>
        <v>28149.68</v>
      </c>
      <c r="F520" s="4" t="str">
        <f>IF(VALUE(D520)&gt;2024,"Forecast","Actual")</f>
        <v>Actual</v>
      </c>
    </row>
    <row r="521" spans="1:6" x14ac:dyDescent="0.3">
      <c r="A521" s="3" t="s">
        <v>43</v>
      </c>
      <c r="B521" s="6" t="s">
        <v>44</v>
      </c>
      <c r="C521" s="4" t="s">
        <v>14</v>
      </c>
      <c r="D521" s="8" t="s">
        <v>18</v>
      </c>
      <c r="E521" s="5">
        <f>'[5]Income Statement'!$D$6</f>
        <v>31686.47</v>
      </c>
      <c r="F521" s="4" t="str">
        <f t="shared" ref="F521:F529" si="43">IF(VALUE(D521)&gt;2024,"Forecast","Actual")</f>
        <v>Actual</v>
      </c>
    </row>
    <row r="522" spans="1:6" x14ac:dyDescent="0.3">
      <c r="A522" s="3" t="s">
        <v>43</v>
      </c>
      <c r="B522" s="6" t="s">
        <v>44</v>
      </c>
      <c r="C522" s="4" t="s">
        <v>14</v>
      </c>
      <c r="D522" s="8" t="s">
        <v>19</v>
      </c>
      <c r="E522" s="5">
        <f>'[5]Income Statement'!$E$6</f>
        <v>43040.520000000004</v>
      </c>
      <c r="F522" s="4" t="str">
        <f t="shared" si="43"/>
        <v>Actual</v>
      </c>
    </row>
    <row r="523" spans="1:6" x14ac:dyDescent="0.3">
      <c r="A523" s="3" t="s">
        <v>43</v>
      </c>
      <c r="B523" s="6" t="s">
        <v>44</v>
      </c>
      <c r="C523" s="4" t="s">
        <v>14</v>
      </c>
      <c r="D523" s="8" t="s">
        <v>20</v>
      </c>
      <c r="E523" s="5">
        <f>'[5]Income Statement'!$F$6</f>
        <v>60281.479999999996</v>
      </c>
      <c r="F523" s="4" t="str">
        <f t="shared" si="43"/>
        <v>Actual</v>
      </c>
    </row>
    <row r="524" spans="1:6" x14ac:dyDescent="0.3">
      <c r="A524" s="3" t="s">
        <v>43</v>
      </c>
      <c r="B524" s="6" t="s">
        <v>44</v>
      </c>
      <c r="C524" s="4" t="s">
        <v>14</v>
      </c>
      <c r="D524" s="8" t="s">
        <v>21</v>
      </c>
      <c r="E524" s="5">
        <f>'[5]FCFF Projections (5y )'!$D$3</f>
        <v>73778.504262243165</v>
      </c>
      <c r="F524" s="4" t="str">
        <f t="shared" si="43"/>
        <v>Forecast</v>
      </c>
    </row>
    <row r="525" spans="1:6" x14ac:dyDescent="0.3">
      <c r="A525" s="3" t="s">
        <v>43</v>
      </c>
      <c r="B525" s="6" t="s">
        <v>44</v>
      </c>
      <c r="C525" s="4" t="s">
        <v>14</v>
      </c>
      <c r="D525" s="8" t="s">
        <v>22</v>
      </c>
      <c r="E525" s="5">
        <f>'[5]FCFF Projections (5y )'!$E$3</f>
        <v>90297.512456128039</v>
      </c>
      <c r="F525" s="4" t="str">
        <f t="shared" si="43"/>
        <v>Forecast</v>
      </c>
    </row>
    <row r="526" spans="1:6" x14ac:dyDescent="0.3">
      <c r="A526" s="3" t="s">
        <v>43</v>
      </c>
      <c r="B526" s="6" t="s">
        <v>44</v>
      </c>
      <c r="C526" s="4" t="s">
        <v>14</v>
      </c>
      <c r="D526" s="8" t="s">
        <v>23</v>
      </c>
      <c r="E526" s="5">
        <f>'[5]FCFF Projections (5y )'!$F$3</f>
        <v>110515.12682857817</v>
      </c>
      <c r="F526" s="4" t="str">
        <f t="shared" si="43"/>
        <v>Forecast</v>
      </c>
    </row>
    <row r="527" spans="1:6" x14ac:dyDescent="0.3">
      <c r="A527" s="3" t="s">
        <v>43</v>
      </c>
      <c r="B527" s="6" t="s">
        <v>44</v>
      </c>
      <c r="C527" s="4" t="s">
        <v>14</v>
      </c>
      <c r="D527" s="8" t="s">
        <v>24</v>
      </c>
      <c r="E527" s="5">
        <f>'[5]FCFF Projections (5y )'!$G$3</f>
        <v>135259.46535759571</v>
      </c>
      <c r="F527" s="4" t="str">
        <f t="shared" si="43"/>
        <v>Forecast</v>
      </c>
    </row>
    <row r="528" spans="1:6" x14ac:dyDescent="0.3">
      <c r="A528" s="3" t="s">
        <v>43</v>
      </c>
      <c r="B528" s="6" t="s">
        <v>44</v>
      </c>
      <c r="C528" s="4" t="s">
        <v>14</v>
      </c>
      <c r="D528" s="8" t="s">
        <v>25</v>
      </c>
      <c r="E528" s="5">
        <f>'[5]FCFF Projections (5y )'!$H$3</f>
        <v>165544.06164868723</v>
      </c>
      <c r="F528" s="4" t="str">
        <f t="shared" si="43"/>
        <v>Forecast</v>
      </c>
    </row>
    <row r="529" spans="1:6" x14ac:dyDescent="0.3">
      <c r="A529" s="3" t="s">
        <v>43</v>
      </c>
      <c r="B529" s="6" t="s">
        <v>44</v>
      </c>
      <c r="C529" s="4" t="s">
        <v>14</v>
      </c>
      <c r="D529" s="8" t="s">
        <v>26</v>
      </c>
      <c r="E529" s="5">
        <f>'[5]FCFF Projections (5y )'!$I$3</f>
        <v>202609.37949660025</v>
      </c>
      <c r="F529" s="4" t="str">
        <f t="shared" si="43"/>
        <v>Forecast</v>
      </c>
    </row>
    <row r="530" spans="1:6" x14ac:dyDescent="0.3">
      <c r="A530" s="3" t="s">
        <v>43</v>
      </c>
      <c r="B530" s="6" t="s">
        <v>45</v>
      </c>
      <c r="C530" s="4" t="s">
        <v>14</v>
      </c>
      <c r="D530" s="8" t="s">
        <v>16</v>
      </c>
      <c r="E530" s="5">
        <f>'[5]Income Statement'!$I$6</f>
        <v>8202.41</v>
      </c>
      <c r="F530" s="4" t="str">
        <f>IF(VALUE(D530)&gt;2024,"Forecast","Actual")</f>
        <v>Actual</v>
      </c>
    </row>
    <row r="531" spans="1:6" x14ac:dyDescent="0.3">
      <c r="A531" s="3" t="s">
        <v>43</v>
      </c>
      <c r="B531" s="6" t="s">
        <v>45</v>
      </c>
      <c r="C531" s="4" t="s">
        <v>14</v>
      </c>
      <c r="D531" s="8" t="s">
        <v>17</v>
      </c>
      <c r="E531" s="5">
        <f>'[5]Income Statement'!$J$6</f>
        <v>8388.6</v>
      </c>
      <c r="F531" s="4" t="str">
        <f>IF(VALUE(D531)&gt;2024,"Forecast","Actual")</f>
        <v>Actual</v>
      </c>
    </row>
    <row r="532" spans="1:6" x14ac:dyDescent="0.3">
      <c r="A532" s="3" t="s">
        <v>43</v>
      </c>
      <c r="B532" s="6" t="s">
        <v>45</v>
      </c>
      <c r="C532" s="4" t="s">
        <v>14</v>
      </c>
      <c r="D532" s="8" t="s">
        <v>18</v>
      </c>
      <c r="E532" s="5">
        <f>'[5]Income Statement'!$K$6</f>
        <v>7686.73</v>
      </c>
      <c r="F532" s="4" t="str">
        <f t="shared" ref="F532:F540" si="44">IF(VALUE(D532)&gt;2024,"Forecast","Actual")</f>
        <v>Actual</v>
      </c>
    </row>
    <row r="533" spans="1:6" x14ac:dyDescent="0.3">
      <c r="A533" s="3" t="s">
        <v>43</v>
      </c>
      <c r="B533" s="6" t="s">
        <v>45</v>
      </c>
      <c r="C533" s="4" t="s">
        <v>14</v>
      </c>
      <c r="D533" s="8" t="s">
        <v>19</v>
      </c>
      <c r="E533" s="5">
        <f>'[5]Income Statement'!$L$6</f>
        <v>7882.74</v>
      </c>
      <c r="F533" s="4" t="str">
        <f t="shared" si="44"/>
        <v>Actual</v>
      </c>
    </row>
    <row r="534" spans="1:6" x14ac:dyDescent="0.3">
      <c r="A534" s="3" t="s">
        <v>43</v>
      </c>
      <c r="B534" s="6" t="s">
        <v>45</v>
      </c>
      <c r="C534" s="4" t="s">
        <v>14</v>
      </c>
      <c r="D534" s="8" t="s">
        <v>20</v>
      </c>
      <c r="E534" s="5">
        <f>'[5]Income Statement'!$M$6</f>
        <v>8260.23</v>
      </c>
      <c r="F534" s="4" t="str">
        <f t="shared" si="44"/>
        <v>Actual</v>
      </c>
    </row>
    <row r="535" spans="1:6" x14ac:dyDescent="0.3">
      <c r="A535" s="3" t="s">
        <v>43</v>
      </c>
      <c r="B535" s="6" t="s">
        <v>45</v>
      </c>
      <c r="C535" s="4" t="s">
        <v>14</v>
      </c>
      <c r="D535" s="8" t="s">
        <v>21</v>
      </c>
      <c r="E535" s="5">
        <f>'[5]FCFF Projections (5y )'!$N$3</f>
        <v>8285.8736425387178</v>
      </c>
      <c r="F535" s="4" t="str">
        <f t="shared" si="44"/>
        <v>Forecast</v>
      </c>
    </row>
    <row r="536" spans="1:6" x14ac:dyDescent="0.3">
      <c r="A536" s="3" t="s">
        <v>43</v>
      </c>
      <c r="B536" s="6" t="s">
        <v>45</v>
      </c>
      <c r="C536" s="4" t="s">
        <v>14</v>
      </c>
      <c r="D536" s="8" t="s">
        <v>22</v>
      </c>
      <c r="E536" s="5">
        <f>'[5]FCFF Projections (5y )'!$O$3</f>
        <v>8311.5968950159786</v>
      </c>
      <c r="F536" s="4" t="str">
        <f t="shared" si="44"/>
        <v>Forecast</v>
      </c>
    </row>
    <row r="537" spans="1:6" x14ac:dyDescent="0.3">
      <c r="A537" s="3" t="s">
        <v>43</v>
      </c>
      <c r="B537" s="6" t="s">
        <v>45</v>
      </c>
      <c r="C537" s="4" t="s">
        <v>14</v>
      </c>
      <c r="D537" s="8" t="s">
        <v>23</v>
      </c>
      <c r="E537" s="5">
        <f>'[5]FCFF Projections (5y )'!$P$3</f>
        <v>8337.4000045785087</v>
      </c>
      <c r="F537" s="4" t="str">
        <f t="shared" si="44"/>
        <v>Forecast</v>
      </c>
    </row>
    <row r="538" spans="1:6" x14ac:dyDescent="0.3">
      <c r="A538" s="3" t="s">
        <v>43</v>
      </c>
      <c r="B538" s="6" t="s">
        <v>45</v>
      </c>
      <c r="C538" s="4" t="s">
        <v>14</v>
      </c>
      <c r="D538" s="8" t="s">
        <v>24</v>
      </c>
      <c r="E538" s="5">
        <f>'[5]FCFF Projections (5y )'!$Q$3</f>
        <v>8363.2832191402958</v>
      </c>
      <c r="F538" s="4" t="str">
        <f t="shared" si="44"/>
        <v>Forecast</v>
      </c>
    </row>
    <row r="539" spans="1:6" x14ac:dyDescent="0.3">
      <c r="A539" s="3" t="s">
        <v>43</v>
      </c>
      <c r="B539" s="6" t="s">
        <v>45</v>
      </c>
      <c r="C539" s="4" t="s">
        <v>14</v>
      </c>
      <c r="D539" s="8" t="s">
        <v>25</v>
      </c>
      <c r="E539" s="5">
        <f>'[5]FCFF Projections (5y )'!$R$3</f>
        <v>8389.2467873849673</v>
      </c>
      <c r="F539" s="4" t="str">
        <f t="shared" si="44"/>
        <v>Forecast</v>
      </c>
    </row>
    <row r="540" spans="1:6" x14ac:dyDescent="0.3">
      <c r="A540" s="3" t="s">
        <v>43</v>
      </c>
      <c r="B540" s="6" t="s">
        <v>45</v>
      </c>
      <c r="C540" s="4" t="s">
        <v>14</v>
      </c>
      <c r="D540" s="8" t="s">
        <v>26</v>
      </c>
      <c r="E540" s="5">
        <f>'[5]FCFF Projections (5y )'!$S$3</f>
        <v>8415.2909587681843</v>
      </c>
      <c r="F540" s="4" t="str">
        <f t="shared" si="44"/>
        <v>Forecast</v>
      </c>
    </row>
    <row r="541" spans="1:6" x14ac:dyDescent="0.3">
      <c r="A541" s="3" t="s">
        <v>43</v>
      </c>
      <c r="B541" s="6" t="s">
        <v>46</v>
      </c>
      <c r="C541" s="4" t="s">
        <v>14</v>
      </c>
      <c r="D541" s="8" t="s">
        <v>16</v>
      </c>
      <c r="E541" s="5">
        <f>'[5]Income Statement'!$P$5</f>
        <v>29698.98</v>
      </c>
      <c r="F541" s="4" t="str">
        <f>IF(VALUE(D541)&gt;2024,"Forecast","Actual")</f>
        <v>Actual</v>
      </c>
    </row>
    <row r="542" spans="1:6" x14ac:dyDescent="0.3">
      <c r="A542" s="3" t="s">
        <v>43</v>
      </c>
      <c r="B542" s="6" t="s">
        <v>46</v>
      </c>
      <c r="C542" s="4" t="s">
        <v>14</v>
      </c>
      <c r="D542" s="8" t="s">
        <v>17</v>
      </c>
      <c r="E542" s="5">
        <f>'[5]Income Statement'!$Q$5</f>
        <v>32907.339999999997</v>
      </c>
      <c r="F542" s="4" t="str">
        <f>IF(VALUE(D542)&gt;2024,"Forecast","Actual")</f>
        <v>Actual</v>
      </c>
    </row>
    <row r="543" spans="1:6" x14ac:dyDescent="0.3">
      <c r="A543" s="3" t="s">
        <v>43</v>
      </c>
      <c r="B543" s="6" t="s">
        <v>46</v>
      </c>
      <c r="C543" s="4" t="s">
        <v>14</v>
      </c>
      <c r="D543" s="8" t="s">
        <v>18</v>
      </c>
      <c r="E543" s="5">
        <f>'[5]Income Statement'!$R$5</f>
        <v>43735.63</v>
      </c>
      <c r="F543" s="4" t="str">
        <f t="shared" ref="F543:F551" si="45">IF(VALUE(D543)&gt;2024,"Forecast","Actual")</f>
        <v>Actual</v>
      </c>
    </row>
    <row r="544" spans="1:6" x14ac:dyDescent="0.3">
      <c r="A544" s="3" t="s">
        <v>43</v>
      </c>
      <c r="B544" s="6" t="s">
        <v>46</v>
      </c>
      <c r="C544" s="4" t="s">
        <v>14</v>
      </c>
      <c r="D544" s="8" t="s">
        <v>19</v>
      </c>
      <c r="E544" s="5">
        <f>'[5]Income Statement'!$S$5</f>
        <v>56547.1</v>
      </c>
      <c r="F544" s="4" t="str">
        <f t="shared" si="45"/>
        <v>Actual</v>
      </c>
    </row>
    <row r="545" spans="1:6" x14ac:dyDescent="0.3">
      <c r="A545" s="3" t="s">
        <v>43</v>
      </c>
      <c r="B545" s="6" t="s">
        <v>46</v>
      </c>
      <c r="C545" s="4" t="s">
        <v>14</v>
      </c>
      <c r="D545" s="8" t="s">
        <v>20</v>
      </c>
      <c r="E545" s="5">
        <f>'[5]Income Statement'!$T$5</f>
        <v>63272.32</v>
      </c>
      <c r="F545" s="4" t="str">
        <f t="shared" si="45"/>
        <v>Actual</v>
      </c>
    </row>
    <row r="546" spans="1:6" x14ac:dyDescent="0.3">
      <c r="A546" s="3" t="s">
        <v>43</v>
      </c>
      <c r="B546" s="6" t="s">
        <v>46</v>
      </c>
      <c r="C546" s="4" t="s">
        <v>14</v>
      </c>
      <c r="D546" s="8" t="s">
        <v>21</v>
      </c>
      <c r="E546" s="5">
        <f>'[5]FCFF Projections (5y )'!$X$3</f>
        <v>76700.989735291965</v>
      </c>
      <c r="F546" s="4" t="str">
        <f t="shared" si="45"/>
        <v>Forecast</v>
      </c>
    </row>
    <row r="547" spans="1:6" x14ac:dyDescent="0.3">
      <c r="A547" s="3" t="s">
        <v>43</v>
      </c>
      <c r="B547" s="6" t="s">
        <v>46</v>
      </c>
      <c r="C547" s="4" t="s">
        <v>14</v>
      </c>
      <c r="D547" s="8" t="s">
        <v>22</v>
      </c>
      <c r="E547" s="5">
        <f>'[5]FCFF Projections (5y )'!$Y$3</f>
        <v>92979.707814939669</v>
      </c>
      <c r="F547" s="4" t="str">
        <f t="shared" si="45"/>
        <v>Forecast</v>
      </c>
    </row>
    <row r="548" spans="1:6" x14ac:dyDescent="0.3">
      <c r="A548" s="3" t="s">
        <v>43</v>
      </c>
      <c r="B548" s="6" t="s">
        <v>46</v>
      </c>
      <c r="C548" s="4" t="s">
        <v>14</v>
      </c>
      <c r="D548" s="8" t="s">
        <v>23</v>
      </c>
      <c r="E548" s="5">
        <f>'[5]FCFF Projections (5y )'!$Z$3</f>
        <v>112713.35735285404</v>
      </c>
      <c r="F548" s="4" t="str">
        <f t="shared" si="45"/>
        <v>Forecast</v>
      </c>
    </row>
    <row r="549" spans="1:6" x14ac:dyDescent="0.3">
      <c r="A549" s="3" t="s">
        <v>43</v>
      </c>
      <c r="B549" s="6" t="s">
        <v>46</v>
      </c>
      <c r="C549" s="4" t="s">
        <v>14</v>
      </c>
      <c r="D549" s="8" t="s">
        <v>24</v>
      </c>
      <c r="E549" s="5">
        <f>'[5]FCFF Projections (5y )'!$AA$3</f>
        <v>136635.19948931149</v>
      </c>
      <c r="F549" s="4" t="str">
        <f t="shared" si="45"/>
        <v>Forecast</v>
      </c>
    </row>
    <row r="550" spans="1:6" x14ac:dyDescent="0.3">
      <c r="A550" s="3" t="s">
        <v>43</v>
      </c>
      <c r="B550" s="6" t="s">
        <v>46</v>
      </c>
      <c r="C550" s="4" t="s">
        <v>14</v>
      </c>
      <c r="D550" s="8" t="s">
        <v>25</v>
      </c>
      <c r="E550" s="5">
        <f>'[5]FCFF Projections (5y )'!$AB$3</f>
        <v>165634.1198411762</v>
      </c>
      <c r="F550" s="4" t="str">
        <f t="shared" si="45"/>
        <v>Forecast</v>
      </c>
    </row>
    <row r="551" spans="1:6" x14ac:dyDescent="0.3">
      <c r="A551" s="3" t="s">
        <v>43</v>
      </c>
      <c r="B551" s="6" t="s">
        <v>46</v>
      </c>
      <c r="C551" s="4" t="s">
        <v>14</v>
      </c>
      <c r="D551" s="8" t="s">
        <v>26</v>
      </c>
      <c r="E551" s="5">
        <f>'[5]FCFF Projections (5y )'!$AC$3</f>
        <v>200787.65763215534</v>
      </c>
      <c r="F551" s="4" t="str">
        <f t="shared" si="45"/>
        <v>Forecast</v>
      </c>
    </row>
    <row r="552" spans="1:6" x14ac:dyDescent="0.3">
      <c r="A552" s="3" t="s">
        <v>43</v>
      </c>
      <c r="B552" s="6" t="s">
        <v>47</v>
      </c>
      <c r="C552" s="4" t="s">
        <v>14</v>
      </c>
      <c r="D552" s="8" t="s">
        <v>16</v>
      </c>
      <c r="E552" s="5">
        <f>'[5]Income Statement'!$W$6</f>
        <v>8559.6899999999987</v>
      </c>
      <c r="F552" s="4" t="str">
        <f>IF(VALUE(D552)&gt;2024,"Forecast","Actual")</f>
        <v>Actual</v>
      </c>
    </row>
    <row r="553" spans="1:6" x14ac:dyDescent="0.3">
      <c r="A553" s="3" t="s">
        <v>43</v>
      </c>
      <c r="B553" s="6" t="s">
        <v>47</v>
      </c>
      <c r="C553" s="4" t="s">
        <v>14</v>
      </c>
      <c r="D553" s="8" t="s">
        <v>17</v>
      </c>
      <c r="E553" s="5">
        <f>'[5]Income Statement'!$X$6</f>
        <v>7159.65</v>
      </c>
      <c r="F553" s="4" t="str">
        <f>IF(VALUE(D553)&gt;2024,"Forecast","Actual")</f>
        <v>Actual</v>
      </c>
    </row>
    <row r="554" spans="1:6" x14ac:dyDescent="0.3">
      <c r="A554" s="3" t="s">
        <v>43</v>
      </c>
      <c r="B554" s="6" t="s">
        <v>47</v>
      </c>
      <c r="C554" s="4" t="s">
        <v>14</v>
      </c>
      <c r="D554" s="8" t="s">
        <v>18</v>
      </c>
      <c r="E554" s="5">
        <f>'[5]Income Statement'!$Y$6</f>
        <v>8735.84</v>
      </c>
      <c r="F554" s="4" t="str">
        <f t="shared" ref="F554:F562" si="46">IF(VALUE(D554)&gt;2024,"Forecast","Actual")</f>
        <v>Actual</v>
      </c>
    </row>
    <row r="555" spans="1:6" x14ac:dyDescent="0.3">
      <c r="A555" s="3" t="s">
        <v>43</v>
      </c>
      <c r="B555" s="6" t="s">
        <v>47</v>
      </c>
      <c r="C555" s="4" t="s">
        <v>14</v>
      </c>
      <c r="D555" s="8" t="s">
        <v>19</v>
      </c>
      <c r="E555" s="5">
        <f>'[5]Income Statement'!$Z$6</f>
        <v>10867.05</v>
      </c>
      <c r="F555" s="4" t="str">
        <f t="shared" si="46"/>
        <v>Actual</v>
      </c>
    </row>
    <row r="556" spans="1:6" x14ac:dyDescent="0.3">
      <c r="A556" s="3" t="s">
        <v>43</v>
      </c>
      <c r="B556" s="6" t="s">
        <v>47</v>
      </c>
      <c r="C556" s="4" t="s">
        <v>14</v>
      </c>
      <c r="D556" s="8" t="s">
        <v>20</v>
      </c>
      <c r="E556" s="5">
        <f>'[5]Income Statement'!$AA$6</f>
        <v>11942.34</v>
      </c>
      <c r="F556" s="4" t="str">
        <f t="shared" si="46"/>
        <v>Actual</v>
      </c>
    </row>
    <row r="557" spans="1:6" x14ac:dyDescent="0.3">
      <c r="A557" s="3" t="s">
        <v>43</v>
      </c>
      <c r="B557" s="6" t="s">
        <v>47</v>
      </c>
      <c r="C557" s="4" t="s">
        <v>14</v>
      </c>
      <c r="D557" s="8" t="s">
        <v>21</v>
      </c>
      <c r="E557" s="5">
        <f>'[5]FCFF Projections (5y )'!$AH$3</f>
        <v>13117.003979751122</v>
      </c>
      <c r="F557" s="4" t="str">
        <f t="shared" si="46"/>
        <v>Forecast</v>
      </c>
    </row>
    <row r="558" spans="1:6" x14ac:dyDescent="0.3">
      <c r="A558" s="3" t="s">
        <v>43</v>
      </c>
      <c r="B558" s="6" t="s">
        <v>47</v>
      </c>
      <c r="C558" s="4" t="s">
        <v>14</v>
      </c>
      <c r="D558" s="8" t="s">
        <v>22</v>
      </c>
      <c r="E558" s="5">
        <f>'[5]FCFF Projections (5y )'!$AI$3</f>
        <v>14407.209425021123</v>
      </c>
      <c r="F558" s="4" t="str">
        <f t="shared" si="46"/>
        <v>Forecast</v>
      </c>
    </row>
    <row r="559" spans="1:6" x14ac:dyDescent="0.3">
      <c r="A559" s="3" t="s">
        <v>43</v>
      </c>
      <c r="B559" s="6" t="s">
        <v>47</v>
      </c>
      <c r="C559" s="4" t="s">
        <v>14</v>
      </c>
      <c r="D559" s="8" t="s">
        <v>23</v>
      </c>
      <c r="E559" s="5">
        <f>'[5]FCFF Projections (5y )'!$AJ$3</f>
        <v>15824.321143520445</v>
      </c>
      <c r="F559" s="4" t="str">
        <f t="shared" si="46"/>
        <v>Forecast</v>
      </c>
    </row>
    <row r="560" spans="1:6" x14ac:dyDescent="0.3">
      <c r="A560" s="3" t="s">
        <v>43</v>
      </c>
      <c r="B560" s="6" t="s">
        <v>47</v>
      </c>
      <c r="C560" s="4" t="s">
        <v>14</v>
      </c>
      <c r="D560" s="8" t="s">
        <v>24</v>
      </c>
      <c r="E560" s="5">
        <f>'[5]FCFF Projections (5y )'!$AK$3</f>
        <v>17380.82180011769</v>
      </c>
      <c r="F560" s="4" t="str">
        <f t="shared" si="46"/>
        <v>Forecast</v>
      </c>
    </row>
    <row r="561" spans="1:6" x14ac:dyDescent="0.3">
      <c r="A561" s="3" t="s">
        <v>43</v>
      </c>
      <c r="B561" s="6" t="s">
        <v>47</v>
      </c>
      <c r="C561" s="4" t="s">
        <v>14</v>
      </c>
      <c r="D561" s="8" t="s">
        <v>25</v>
      </c>
      <c r="E561" s="5">
        <f>'[5]FCFF Projections (5y )'!$AL$3</f>
        <v>19090.421870712842</v>
      </c>
      <c r="F561" s="4" t="str">
        <f t="shared" si="46"/>
        <v>Forecast</v>
      </c>
    </row>
    <row r="562" spans="1:6" x14ac:dyDescent="0.3">
      <c r="A562" s="3" t="s">
        <v>43</v>
      </c>
      <c r="B562" s="6" t="s">
        <v>47</v>
      </c>
      <c r="C562" s="4" t="s">
        <v>14</v>
      </c>
      <c r="D562" s="8" t="s">
        <v>26</v>
      </c>
      <c r="E562" s="5">
        <f>'[5]FCFF Projections (5y )'!$AM$3</f>
        <v>20968.180411315388</v>
      </c>
      <c r="F562" s="4" t="str">
        <f t="shared" si="46"/>
        <v>Forecast</v>
      </c>
    </row>
    <row r="563" spans="1:6" x14ac:dyDescent="0.3">
      <c r="A563" s="3" t="s">
        <v>43</v>
      </c>
      <c r="B563" s="6" t="s">
        <v>48</v>
      </c>
      <c r="C563" s="4" t="s">
        <v>14</v>
      </c>
      <c r="D563" s="8" t="s">
        <v>16</v>
      </c>
      <c r="E563" s="5">
        <f>'[5]Income Statement'!$AD$6</f>
        <v>112372.57999999999</v>
      </c>
      <c r="F563" s="4" t="str">
        <f>IF(VALUE(D563)&gt;2024,"Forecast","Actual")</f>
        <v>Actual</v>
      </c>
    </row>
    <row r="564" spans="1:6" x14ac:dyDescent="0.3">
      <c r="A564" s="3" t="s">
        <v>43</v>
      </c>
      <c r="B564" s="6" t="s">
        <v>48</v>
      </c>
      <c r="C564" s="4" t="s">
        <v>14</v>
      </c>
      <c r="D564" s="8" t="s">
        <v>17</v>
      </c>
      <c r="E564" s="5">
        <f>'[5]Income Statement'!$AE$6</f>
        <v>115546.82999999999</v>
      </c>
      <c r="F564" s="4" t="str">
        <f>IF(VALUE(D564)&gt;2024,"Forecast","Actual")</f>
        <v>Actual</v>
      </c>
    </row>
    <row r="565" spans="1:6" x14ac:dyDescent="0.3">
      <c r="A565" s="3" t="s">
        <v>43</v>
      </c>
      <c r="B565" s="6" t="s">
        <v>48</v>
      </c>
      <c r="C565" s="4" t="s">
        <v>14</v>
      </c>
      <c r="D565" s="8" t="s">
        <v>18</v>
      </c>
      <c r="E565" s="5">
        <f>'[5]Income Statement'!$AF$6</f>
        <v>134994.31</v>
      </c>
      <c r="F565" s="4" t="str">
        <f t="shared" ref="F565:F573" si="47">IF(VALUE(D565)&gt;2024,"Forecast","Actual")</f>
        <v>Actual</v>
      </c>
    </row>
    <row r="566" spans="1:6" x14ac:dyDescent="0.3">
      <c r="A566" s="3" t="s">
        <v>43</v>
      </c>
      <c r="B566" s="6" t="s">
        <v>48</v>
      </c>
      <c r="C566" s="4" t="s">
        <v>14</v>
      </c>
      <c r="D566" s="8" t="s">
        <v>19</v>
      </c>
      <c r="E566" s="5">
        <f>'[5]Income Statement'!$AG$6</f>
        <v>177977.16999999998</v>
      </c>
      <c r="F566" s="4" t="str">
        <f t="shared" si="47"/>
        <v>Actual</v>
      </c>
    </row>
    <row r="567" spans="1:6" x14ac:dyDescent="0.3">
      <c r="A567" s="3" t="s">
        <v>43</v>
      </c>
      <c r="B567" s="6" t="s">
        <v>48</v>
      </c>
      <c r="C567" s="4" t="s">
        <v>14</v>
      </c>
      <c r="D567" s="8" t="s">
        <v>20</v>
      </c>
      <c r="E567" s="5">
        <f>'[5]Income Statement'!$AH$6</f>
        <v>181165.86000000002</v>
      </c>
      <c r="F567" s="4" t="str">
        <f t="shared" si="47"/>
        <v>Actual</v>
      </c>
    </row>
    <row r="568" spans="1:6" x14ac:dyDescent="0.3">
      <c r="A568" s="3" t="s">
        <v>43</v>
      </c>
      <c r="B568" s="6" t="s">
        <v>48</v>
      </c>
      <c r="C568" s="4" t="s">
        <v>14</v>
      </c>
      <c r="D568" s="8" t="s">
        <v>21</v>
      </c>
      <c r="E568" s="5">
        <f>'[5]FCFF Projections (5y )'!$AR$3</f>
        <v>205300.6409305374</v>
      </c>
      <c r="F568" s="4" t="str">
        <f t="shared" si="47"/>
        <v>Forecast</v>
      </c>
    </row>
    <row r="569" spans="1:6" x14ac:dyDescent="0.3">
      <c r="A569" s="3" t="s">
        <v>43</v>
      </c>
      <c r="B569" s="6" t="s">
        <v>48</v>
      </c>
      <c r="C569" s="4" t="s">
        <v>14</v>
      </c>
      <c r="D569" s="8" t="s">
        <v>22</v>
      </c>
      <c r="E569" s="5">
        <f>'[5]FCFF Projections (5y )'!$AS$3</f>
        <v>232650.63940021282</v>
      </c>
      <c r="F569" s="4" t="str">
        <f t="shared" si="47"/>
        <v>Forecast</v>
      </c>
    </row>
    <row r="570" spans="1:6" x14ac:dyDescent="0.3">
      <c r="A570" s="3" t="s">
        <v>43</v>
      </c>
      <c r="B570" s="6" t="s">
        <v>48</v>
      </c>
      <c r="C570" s="4" t="s">
        <v>14</v>
      </c>
      <c r="D570" s="8" t="s">
        <v>23</v>
      </c>
      <c r="E570" s="5">
        <f>'[5]FCFF Projections (5y )'!$AT$3</f>
        <v>263644.18429478392</v>
      </c>
      <c r="F570" s="4" t="str">
        <f t="shared" si="47"/>
        <v>Forecast</v>
      </c>
    </row>
    <row r="571" spans="1:6" x14ac:dyDescent="0.3">
      <c r="A571" s="3" t="s">
        <v>43</v>
      </c>
      <c r="B571" s="6" t="s">
        <v>48</v>
      </c>
      <c r="C571" s="4" t="s">
        <v>14</v>
      </c>
      <c r="D571" s="8" t="s">
        <v>24</v>
      </c>
      <c r="E571" s="5">
        <f>'[5]FCFF Projections (5y )'!$AU$3</f>
        <v>298766.66615513462</v>
      </c>
      <c r="F571" s="4" t="str">
        <f t="shared" si="47"/>
        <v>Forecast</v>
      </c>
    </row>
    <row r="572" spans="1:6" x14ac:dyDescent="0.3">
      <c r="A572" s="3" t="s">
        <v>43</v>
      </c>
      <c r="B572" s="6" t="s">
        <v>48</v>
      </c>
      <c r="C572" s="4" t="s">
        <v>14</v>
      </c>
      <c r="D572" s="8" t="s">
        <v>25</v>
      </c>
      <c r="E572" s="5">
        <f>'[5]FCFF Projections (5y )'!$AV$3</f>
        <v>338568.13888846949</v>
      </c>
      <c r="F572" s="4" t="str">
        <f t="shared" si="47"/>
        <v>Forecast</v>
      </c>
    </row>
    <row r="573" spans="1:6" x14ac:dyDescent="0.3">
      <c r="A573" s="3" t="s">
        <v>43</v>
      </c>
      <c r="B573" s="6" t="s">
        <v>48</v>
      </c>
      <c r="C573" s="4" t="s">
        <v>14</v>
      </c>
      <c r="D573" s="8" t="s">
        <v>26</v>
      </c>
      <c r="E573" s="5">
        <f>'[5]FCFF Projections (5y )'!$AW$3</f>
        <v>383671.93417381163</v>
      </c>
      <c r="F573" s="4" t="str">
        <f t="shared" si="47"/>
        <v>Forecast</v>
      </c>
    </row>
    <row r="574" spans="1:6" x14ac:dyDescent="0.3">
      <c r="A574" s="3" t="s">
        <v>43</v>
      </c>
      <c r="B574" s="6" t="s">
        <v>44</v>
      </c>
      <c r="C574" s="4" t="s">
        <v>56</v>
      </c>
      <c r="D574" s="8" t="s">
        <v>16</v>
      </c>
      <c r="E574" s="5">
        <f>'[5]Income Statement'!$B$25</f>
        <v>-2274.7699999999963</v>
      </c>
      <c r="F574" s="4" t="str">
        <f>IF(VALUE(D574)&gt;2024,"Forecast","Actual")</f>
        <v>Actual</v>
      </c>
    </row>
    <row r="575" spans="1:6" x14ac:dyDescent="0.3">
      <c r="A575" s="3" t="s">
        <v>43</v>
      </c>
      <c r="B575" s="6" t="s">
        <v>44</v>
      </c>
      <c r="C575" s="4" t="s">
        <v>56</v>
      </c>
      <c r="D575" s="8" t="s">
        <v>17</v>
      </c>
      <c r="E575" s="5">
        <f>'[5]Income Statement'!$C$25</f>
        <v>1269.9800000000016</v>
      </c>
      <c r="F575" s="4" t="str">
        <f>IF(VALUE(D575)&gt;2024,"Forecast","Actual")</f>
        <v>Actual</v>
      </c>
    </row>
    <row r="576" spans="1:6" x14ac:dyDescent="0.3">
      <c r="A576" s="3" t="s">
        <v>43</v>
      </c>
      <c r="B576" s="6" t="s">
        <v>44</v>
      </c>
      <c r="C576" s="4" t="s">
        <v>56</v>
      </c>
      <c r="D576" s="8" t="s">
        <v>18</v>
      </c>
      <c r="E576" s="5">
        <f>'[5]Income Statement'!$D$25</f>
        <v>4911.5800000000045</v>
      </c>
      <c r="F576" s="4" t="str">
        <f t="shared" ref="F576:F584" si="48">IF(VALUE(D576)&gt;2024,"Forecast","Actual")</f>
        <v>Actual</v>
      </c>
    </row>
    <row r="577" spans="1:6" x14ac:dyDescent="0.3">
      <c r="A577" s="3" t="s">
        <v>43</v>
      </c>
      <c r="B577" s="6" t="s">
        <v>44</v>
      </c>
      <c r="C577" s="4" t="s">
        <v>56</v>
      </c>
      <c r="D577" s="8" t="s">
        <v>19</v>
      </c>
      <c r="E577" s="5">
        <f>'[5]Income Statement'!$E$25</f>
        <v>10726.640000000003</v>
      </c>
      <c r="F577" s="4" t="str">
        <f t="shared" si="48"/>
        <v>Actual</v>
      </c>
    </row>
    <row r="578" spans="1:6" x14ac:dyDescent="0.3">
      <c r="A578" s="3" t="s">
        <v>43</v>
      </c>
      <c r="B578" s="6" t="s">
        <v>44</v>
      </c>
      <c r="C578" s="4" t="s">
        <v>56</v>
      </c>
      <c r="D578" s="8" t="s">
        <v>20</v>
      </c>
      <c r="E578" s="5">
        <f>'[5]Income Statement'!$F$25</f>
        <v>20828.789999999994</v>
      </c>
      <c r="F578" s="4" t="str">
        <f t="shared" si="48"/>
        <v>Actual</v>
      </c>
    </row>
    <row r="579" spans="1:6" x14ac:dyDescent="0.3">
      <c r="A579" s="3" t="s">
        <v>43</v>
      </c>
      <c r="B579" s="6" t="s">
        <v>44</v>
      </c>
      <c r="C579" s="4" t="s">
        <v>56</v>
      </c>
      <c r="D579" s="8" t="s">
        <v>21</v>
      </c>
      <c r="E579" s="5">
        <f>'[5]FCFF Projections (5y )'!$D$6</f>
        <v>17618.497096115192</v>
      </c>
      <c r="F579" s="4" t="str">
        <f t="shared" si="48"/>
        <v>Forecast</v>
      </c>
    </row>
    <row r="580" spans="1:6" x14ac:dyDescent="0.3">
      <c r="A580" s="3" t="s">
        <v>43</v>
      </c>
      <c r="B580" s="6" t="s">
        <v>44</v>
      </c>
      <c r="C580" s="4" t="s">
        <v>56</v>
      </c>
      <c r="D580" s="8" t="s">
        <v>22</v>
      </c>
      <c r="E580" s="5">
        <f>'[5]FCFF Projections (5y )'!$E$6</f>
        <v>20320.366109098839</v>
      </c>
      <c r="F580" s="4" t="str">
        <f t="shared" si="48"/>
        <v>Forecast</v>
      </c>
    </row>
    <row r="581" spans="1:6" x14ac:dyDescent="0.3">
      <c r="A581" s="3" t="s">
        <v>43</v>
      </c>
      <c r="B581" s="6" t="s">
        <v>44</v>
      </c>
      <c r="C581" s="4" t="s">
        <v>56</v>
      </c>
      <c r="D581" s="8" t="s">
        <v>23</v>
      </c>
      <c r="E581" s="5">
        <f>'[5]FCFF Projections (5y )'!$F$6</f>
        <v>23436.577850834921</v>
      </c>
      <c r="F581" s="4" t="str">
        <f t="shared" si="48"/>
        <v>Forecast</v>
      </c>
    </row>
    <row r="582" spans="1:6" x14ac:dyDescent="0.3">
      <c r="A582" s="3" t="s">
        <v>43</v>
      </c>
      <c r="B582" s="6" t="s">
        <v>44</v>
      </c>
      <c r="C582" s="4" t="s">
        <v>56</v>
      </c>
      <c r="D582" s="8" t="s">
        <v>24</v>
      </c>
      <c r="E582" s="5">
        <f>'[5]FCFF Projections (5y )'!$G$6</f>
        <v>27030.673483402359</v>
      </c>
      <c r="F582" s="4" t="str">
        <f t="shared" si="48"/>
        <v>Forecast</v>
      </c>
    </row>
    <row r="583" spans="1:6" x14ac:dyDescent="0.3">
      <c r="A583" s="3" t="s">
        <v>43</v>
      </c>
      <c r="B583" s="6" t="s">
        <v>44</v>
      </c>
      <c r="C583" s="4" t="s">
        <v>56</v>
      </c>
      <c r="D583" s="8" t="s">
        <v>25</v>
      </c>
      <c r="E583" s="5">
        <f>'[5]FCFF Projections (5y )'!$H$6</f>
        <v>31175.9384674961</v>
      </c>
      <c r="F583" s="4" t="str">
        <f t="shared" si="48"/>
        <v>Forecast</v>
      </c>
    </row>
    <row r="584" spans="1:6" x14ac:dyDescent="0.3">
      <c r="A584" s="3" t="s">
        <v>43</v>
      </c>
      <c r="B584" s="6" t="s">
        <v>44</v>
      </c>
      <c r="C584" s="4" t="s">
        <v>56</v>
      </c>
      <c r="D584" s="8" t="s">
        <v>26</v>
      </c>
      <c r="E584" s="5">
        <f>'[5]FCFF Projections (5y )'!$I$6</f>
        <v>35956.896890708354</v>
      </c>
      <c r="F584" s="4" t="str">
        <f t="shared" si="48"/>
        <v>Forecast</v>
      </c>
    </row>
    <row r="585" spans="1:6" x14ac:dyDescent="0.3">
      <c r="A585" s="3" t="s">
        <v>43</v>
      </c>
      <c r="B585" s="6" t="s">
        <v>45</v>
      </c>
      <c r="C585" s="4" t="s">
        <v>56</v>
      </c>
      <c r="D585" s="8" t="s">
        <v>16</v>
      </c>
      <c r="E585" s="5">
        <f>'[5]Income Statement'!$I$25</f>
        <v>-4255.37</v>
      </c>
      <c r="F585" s="4" t="str">
        <f>IF(VALUE(D585)&gt;2024,"Forecast","Actual")</f>
        <v>Actual</v>
      </c>
    </row>
    <row r="586" spans="1:6" x14ac:dyDescent="0.3">
      <c r="A586" s="3" t="s">
        <v>43</v>
      </c>
      <c r="B586" s="6" t="s">
        <v>45</v>
      </c>
      <c r="C586" s="4" t="s">
        <v>56</v>
      </c>
      <c r="D586" s="8" t="s">
        <v>17</v>
      </c>
      <c r="E586" s="5">
        <f>'[5]Income Statement'!$J$25</f>
        <v>427.08000000000004</v>
      </c>
      <c r="F586" s="4" t="str">
        <f>IF(VALUE(D586)&gt;2024,"Forecast","Actual")</f>
        <v>Actual</v>
      </c>
    </row>
    <row r="587" spans="1:6" x14ac:dyDescent="0.3">
      <c r="A587" s="3" t="s">
        <v>43</v>
      </c>
      <c r="B587" s="6" t="s">
        <v>45</v>
      </c>
      <c r="C587" s="4" t="s">
        <v>56</v>
      </c>
      <c r="D587" s="8" t="s">
        <v>18</v>
      </c>
      <c r="E587" s="5">
        <f>'[5]Income Statement'!$K$25</f>
        <v>-565.12999999999965</v>
      </c>
      <c r="F587" s="4" t="str">
        <f t="shared" ref="F587:F595" si="49">IF(VALUE(D587)&gt;2024,"Forecast","Actual")</f>
        <v>Actual</v>
      </c>
    </row>
    <row r="588" spans="1:6" x14ac:dyDescent="0.3">
      <c r="A588" s="3" t="s">
        <v>43</v>
      </c>
      <c r="B588" s="6" t="s">
        <v>45</v>
      </c>
      <c r="C588" s="4" t="s">
        <v>56</v>
      </c>
      <c r="D588" s="8" t="s">
        <v>19</v>
      </c>
      <c r="E588" s="5">
        <f>'[5]Income Statement'!$L$25</f>
        <v>-361.35999999999962</v>
      </c>
      <c r="F588" s="4" t="str">
        <f t="shared" si="49"/>
        <v>Actual</v>
      </c>
    </row>
    <row r="589" spans="1:6" x14ac:dyDescent="0.3">
      <c r="A589" s="3" t="s">
        <v>43</v>
      </c>
      <c r="B589" s="6" t="s">
        <v>45</v>
      </c>
      <c r="C589" s="4" t="s">
        <v>56</v>
      </c>
      <c r="D589" s="8" t="s">
        <v>20</v>
      </c>
      <c r="E589" s="5">
        <f>'[5]Income Statement'!$M$25</f>
        <v>-2242.1800000000003</v>
      </c>
      <c r="F589" s="4" t="str">
        <f t="shared" si="49"/>
        <v>Actual</v>
      </c>
    </row>
    <row r="590" spans="1:6" x14ac:dyDescent="0.3">
      <c r="A590" s="3" t="s">
        <v>43</v>
      </c>
      <c r="B590" s="6" t="s">
        <v>45</v>
      </c>
      <c r="C590" s="4" t="s">
        <v>56</v>
      </c>
      <c r="D590" s="8" t="s">
        <v>21</v>
      </c>
      <c r="E590" s="5">
        <f>'[5]FCFF Projections (5y )'!$N$6</f>
        <v>-2037.2839887150533</v>
      </c>
      <c r="F590" s="4" t="str">
        <f t="shared" si="49"/>
        <v>Forecast</v>
      </c>
    </row>
    <row r="591" spans="1:6" x14ac:dyDescent="0.3">
      <c r="A591" s="3" t="s">
        <v>43</v>
      </c>
      <c r="B591" s="6" t="s">
        <v>45</v>
      </c>
      <c r="C591" s="4" t="s">
        <v>56</v>
      </c>
      <c r="D591" s="8" t="s">
        <v>22</v>
      </c>
      <c r="E591" s="5">
        <f>'[5]FCFF Projections (5y )'!$O$6</f>
        <v>-1851.1118869469519</v>
      </c>
      <c r="F591" s="4" t="str">
        <f t="shared" si="49"/>
        <v>Forecast</v>
      </c>
    </row>
    <row r="592" spans="1:6" x14ac:dyDescent="0.3">
      <c r="A592" s="3" t="s">
        <v>43</v>
      </c>
      <c r="B592" s="6" t="s">
        <v>45</v>
      </c>
      <c r="C592" s="4" t="s">
        <v>56</v>
      </c>
      <c r="D592" s="8" t="s">
        <v>23</v>
      </c>
      <c r="E592" s="5">
        <f>'[5]FCFF Projections (5y )'!$P$6</f>
        <v>-1681.9526570556936</v>
      </c>
      <c r="F592" s="4" t="str">
        <f t="shared" si="49"/>
        <v>Forecast</v>
      </c>
    </row>
    <row r="593" spans="1:6" x14ac:dyDescent="0.3">
      <c r="A593" s="3" t="s">
        <v>43</v>
      </c>
      <c r="B593" s="6" t="s">
        <v>45</v>
      </c>
      <c r="C593" s="4" t="s">
        <v>56</v>
      </c>
      <c r="D593" s="8" t="s">
        <v>24</v>
      </c>
      <c r="E593" s="5">
        <f>'[5]FCFF Projections (5y )'!$Q$6</f>
        <v>-1528.2516202964548</v>
      </c>
      <c r="F593" s="4" t="str">
        <f t="shared" si="49"/>
        <v>Forecast</v>
      </c>
    </row>
    <row r="594" spans="1:6" x14ac:dyDescent="0.3">
      <c r="A594" s="3" t="s">
        <v>43</v>
      </c>
      <c r="B594" s="6" t="s">
        <v>45</v>
      </c>
      <c r="C594" s="4" t="s">
        <v>56</v>
      </c>
      <c r="D594" s="8" t="s">
        <v>25</v>
      </c>
      <c r="E594" s="5">
        <f>'[5]FCFF Projections (5y )'!$R$6</f>
        <v>-1388.5961683530334</v>
      </c>
      <c r="F594" s="4" t="str">
        <f t="shared" si="49"/>
        <v>Forecast</v>
      </c>
    </row>
    <row r="595" spans="1:6" x14ac:dyDescent="0.3">
      <c r="A595" s="3" t="s">
        <v>43</v>
      </c>
      <c r="B595" s="6" t="s">
        <v>45</v>
      </c>
      <c r="C595" s="4" t="s">
        <v>56</v>
      </c>
      <c r="D595" s="8" t="s">
        <v>26</v>
      </c>
      <c r="E595" s="5">
        <f>'[5]FCFF Projections (5y )'!$S$6</f>
        <v>-1261.7027805870657</v>
      </c>
      <c r="F595" s="4" t="str">
        <f t="shared" si="49"/>
        <v>Forecast</v>
      </c>
    </row>
    <row r="596" spans="1:6" x14ac:dyDescent="0.3">
      <c r="A596" s="3" t="s">
        <v>43</v>
      </c>
      <c r="B596" s="6" t="s">
        <v>46</v>
      </c>
      <c r="C596" s="4" t="s">
        <v>56</v>
      </c>
      <c r="D596" s="8" t="s">
        <v>16</v>
      </c>
      <c r="E596" s="5">
        <f>'[5]Income Statement'!$P$36</f>
        <v>1726.6699999999994</v>
      </c>
      <c r="F596" s="4" t="str">
        <f>IF(VALUE(D596)&gt;2024,"Forecast","Actual")</f>
        <v>Actual</v>
      </c>
    </row>
    <row r="597" spans="1:6" x14ac:dyDescent="0.3">
      <c r="A597" s="3" t="s">
        <v>43</v>
      </c>
      <c r="B597" s="6" t="s">
        <v>46</v>
      </c>
      <c r="C597" s="4" t="s">
        <v>56</v>
      </c>
      <c r="D597" s="8" t="s">
        <v>17</v>
      </c>
      <c r="E597" s="5">
        <f>'[5]Income Statement'!$Q$36</f>
        <v>1484.85</v>
      </c>
      <c r="F597" s="4" t="str">
        <f>IF(VALUE(D597)&gt;2024,"Forecast","Actual")</f>
        <v>Actual</v>
      </c>
    </row>
    <row r="598" spans="1:6" x14ac:dyDescent="0.3">
      <c r="A598" s="3" t="s">
        <v>43</v>
      </c>
      <c r="B598" s="6" t="s">
        <v>46</v>
      </c>
      <c r="C598" s="4" t="s">
        <v>56</v>
      </c>
      <c r="D598" s="8" t="s">
        <v>18</v>
      </c>
      <c r="E598" s="5">
        <f>'[5]Income Statement'!$R$36</f>
        <v>2623.439999999996</v>
      </c>
      <c r="F598" s="4" t="str">
        <f t="shared" ref="F598:F606" si="50">IF(VALUE(D598)&gt;2024,"Forecast","Actual")</f>
        <v>Actual</v>
      </c>
    </row>
    <row r="599" spans="1:6" x14ac:dyDescent="0.3">
      <c r="A599" s="3" t="s">
        <v>43</v>
      </c>
      <c r="B599" s="6" t="s">
        <v>46</v>
      </c>
      <c r="C599" s="4" t="s">
        <v>56</v>
      </c>
      <c r="D599" s="8" t="s">
        <v>19</v>
      </c>
      <c r="E599" s="5">
        <f>'[5]Income Statement'!$S$36</f>
        <v>3809.6699999999983</v>
      </c>
      <c r="F599" s="4" t="str">
        <f t="shared" si="50"/>
        <v>Actual</v>
      </c>
    </row>
    <row r="600" spans="1:6" x14ac:dyDescent="0.3">
      <c r="A600" s="3" t="s">
        <v>43</v>
      </c>
      <c r="B600" s="6" t="s">
        <v>46</v>
      </c>
      <c r="C600" s="4" t="s">
        <v>56</v>
      </c>
      <c r="D600" s="8" t="s">
        <v>20</v>
      </c>
      <c r="E600" s="5">
        <f>'[5]Income Statement'!$T$36</f>
        <v>4280.1000000000031</v>
      </c>
      <c r="F600" s="4" t="str">
        <f t="shared" si="50"/>
        <v>Actual</v>
      </c>
    </row>
    <row r="601" spans="1:6" x14ac:dyDescent="0.3">
      <c r="A601" s="3" t="s">
        <v>43</v>
      </c>
      <c r="B601" s="6" t="s">
        <v>46</v>
      </c>
      <c r="C601" s="4" t="s">
        <v>56</v>
      </c>
      <c r="D601" s="8" t="s">
        <v>21</v>
      </c>
      <c r="E601" s="5">
        <f>'[5]FCFF Projections (5y )'!$X$6</f>
        <v>4440.9522871744393</v>
      </c>
      <c r="F601" s="4" t="str">
        <f t="shared" si="50"/>
        <v>Forecast</v>
      </c>
    </row>
    <row r="602" spans="1:6" x14ac:dyDescent="0.3">
      <c r="A602" s="3" t="s">
        <v>43</v>
      </c>
      <c r="B602" s="6" t="s">
        <v>46</v>
      </c>
      <c r="C602" s="4" t="s">
        <v>56</v>
      </c>
      <c r="D602" s="8" t="s">
        <v>22</v>
      </c>
      <c r="E602" s="5">
        <f>'[5]FCFF Projections (5y )'!$Y$6</f>
        <v>4607.8496336440439</v>
      </c>
      <c r="F602" s="4" t="str">
        <f t="shared" si="50"/>
        <v>Forecast</v>
      </c>
    </row>
    <row r="603" spans="1:6" x14ac:dyDescent="0.3">
      <c r="A603" s="3" t="s">
        <v>43</v>
      </c>
      <c r="B603" s="6" t="s">
        <v>46</v>
      </c>
      <c r="C603" s="4" t="s">
        <v>56</v>
      </c>
      <c r="D603" s="8" t="s">
        <v>23</v>
      </c>
      <c r="E603" s="5">
        <f>'[5]FCFF Projections (5y )'!$Z$6</f>
        <v>4781.0192213937535</v>
      </c>
      <c r="F603" s="4" t="str">
        <f t="shared" si="50"/>
        <v>Forecast</v>
      </c>
    </row>
    <row r="604" spans="1:6" x14ac:dyDescent="0.3">
      <c r="A604" s="3" t="s">
        <v>43</v>
      </c>
      <c r="B604" s="6" t="s">
        <v>46</v>
      </c>
      <c r="C604" s="4" t="s">
        <v>56</v>
      </c>
      <c r="D604" s="8" t="s">
        <v>24</v>
      </c>
      <c r="E604" s="5">
        <f>'[5]FCFF Projections (5y )'!$AA$6</f>
        <v>4960.6967702328293</v>
      </c>
      <c r="F604" s="4" t="str">
        <f t="shared" si="50"/>
        <v>Forecast</v>
      </c>
    </row>
    <row r="605" spans="1:6" x14ac:dyDescent="0.3">
      <c r="A605" s="3" t="s">
        <v>43</v>
      </c>
      <c r="B605" s="6" t="s">
        <v>46</v>
      </c>
      <c r="C605" s="4" t="s">
        <v>56</v>
      </c>
      <c r="D605" s="8" t="s">
        <v>25</v>
      </c>
      <c r="E605" s="5">
        <f>'[5]FCFF Projections (5y )'!$AB$6</f>
        <v>5147.1268586585184</v>
      </c>
      <c r="F605" s="4" t="str">
        <f t="shared" si="50"/>
        <v>Forecast</v>
      </c>
    </row>
    <row r="606" spans="1:6" x14ac:dyDescent="0.3">
      <c r="A606" s="3" t="s">
        <v>43</v>
      </c>
      <c r="B606" s="6" t="s">
        <v>46</v>
      </c>
      <c r="C606" s="4" t="s">
        <v>56</v>
      </c>
      <c r="D606" s="8" t="s">
        <v>26</v>
      </c>
      <c r="E606" s="5">
        <f>'[5]FCFF Projections (5y )'!$AC$6</f>
        <v>5340.5632567782341</v>
      </c>
      <c r="F606" s="4" t="str">
        <f t="shared" si="50"/>
        <v>Forecast</v>
      </c>
    </row>
    <row r="607" spans="1:6" x14ac:dyDescent="0.3">
      <c r="A607" s="3" t="s">
        <v>43</v>
      </c>
      <c r="B607" s="6" t="s">
        <v>47</v>
      </c>
      <c r="C607" s="4" t="s">
        <v>56</v>
      </c>
      <c r="D607" s="8" t="s">
        <v>16</v>
      </c>
      <c r="E607" s="5">
        <f>'[5]Income Statement'!$W$24</f>
        <v>1081.1799999999985</v>
      </c>
      <c r="F607" s="4" t="str">
        <f>IF(VALUE(D607)&gt;2024,"Forecast","Actual")</f>
        <v>Actual</v>
      </c>
    </row>
    <row r="608" spans="1:6" x14ac:dyDescent="0.3">
      <c r="A608" s="3" t="s">
        <v>43</v>
      </c>
      <c r="B608" s="6" t="s">
        <v>47</v>
      </c>
      <c r="C608" s="4" t="s">
        <v>56</v>
      </c>
      <c r="D608" s="8" t="s">
        <v>17</v>
      </c>
      <c r="E608" s="5">
        <f>'[5]Income Statement'!$X$24</f>
        <v>822.67999999999972</v>
      </c>
      <c r="F608" s="4" t="str">
        <f>IF(VALUE(D608)&gt;2024,"Forecast","Actual")</f>
        <v>Actual</v>
      </c>
    </row>
    <row r="609" spans="1:6" x14ac:dyDescent="0.3">
      <c r="A609" s="3" t="s">
        <v>43</v>
      </c>
      <c r="B609" s="6" t="s">
        <v>47</v>
      </c>
      <c r="C609" s="4" t="s">
        <v>56</v>
      </c>
      <c r="D609" s="8" t="s">
        <v>18</v>
      </c>
      <c r="E609" s="5">
        <f>'[5]Income Statement'!$Y$24</f>
        <v>1743.4799999999993</v>
      </c>
      <c r="F609" s="4" t="str">
        <f t="shared" ref="F609:F617" si="51">IF(VALUE(D609)&gt;2024,"Forecast","Actual")</f>
        <v>Actual</v>
      </c>
    </row>
    <row r="610" spans="1:6" x14ac:dyDescent="0.3">
      <c r="A610" s="3" t="s">
        <v>43</v>
      </c>
      <c r="B610" s="6" t="s">
        <v>47</v>
      </c>
      <c r="C610" s="4" t="s">
        <v>56</v>
      </c>
      <c r="D610" s="8" t="s">
        <v>19</v>
      </c>
      <c r="E610" s="5">
        <f>'[5]Income Statement'!$Z$24</f>
        <v>1480.1199999999994</v>
      </c>
      <c r="F610" s="4" t="str">
        <f t="shared" si="51"/>
        <v>Actual</v>
      </c>
    </row>
    <row r="611" spans="1:6" x14ac:dyDescent="0.3">
      <c r="A611" s="3" t="s">
        <v>43</v>
      </c>
      <c r="B611" s="6" t="s">
        <v>47</v>
      </c>
      <c r="C611" s="4" t="s">
        <v>56</v>
      </c>
      <c r="D611" s="8" t="s">
        <v>20</v>
      </c>
      <c r="E611" s="5">
        <f>'[5]Income Statement'!$AA$24</f>
        <v>1725.6499999999999</v>
      </c>
      <c r="F611" s="4" t="str">
        <f t="shared" si="51"/>
        <v>Actual</v>
      </c>
    </row>
    <row r="612" spans="1:6" x14ac:dyDescent="0.3">
      <c r="A612" s="3" t="s">
        <v>43</v>
      </c>
      <c r="B612" s="6" t="s">
        <v>47</v>
      </c>
      <c r="C612" s="4" t="s">
        <v>56</v>
      </c>
      <c r="D612" s="8" t="s">
        <v>21</v>
      </c>
      <c r="E612" s="5">
        <f>'[5]FCFF Projections (5y )'!$AH$6</f>
        <v>2030.0273021342168</v>
      </c>
      <c r="F612" s="4" t="str">
        <f t="shared" si="51"/>
        <v>Forecast</v>
      </c>
    </row>
    <row r="613" spans="1:6" x14ac:dyDescent="0.3">
      <c r="A613" s="3" t="s">
        <v>43</v>
      </c>
      <c r="B613" s="6" t="s">
        <v>47</v>
      </c>
      <c r="C613" s="4" t="s">
        <v>56</v>
      </c>
      <c r="D613" s="8" t="s">
        <v>22</v>
      </c>
      <c r="E613" s="5">
        <f>'[5]FCFF Projections (5y )'!$AI$6</f>
        <v>2388.0919348711077</v>
      </c>
      <c r="F613" s="4" t="str">
        <f t="shared" si="51"/>
        <v>Forecast</v>
      </c>
    </row>
    <row r="614" spans="1:6" x14ac:dyDescent="0.3">
      <c r="A614" s="3" t="s">
        <v>43</v>
      </c>
      <c r="B614" s="6" t="s">
        <v>47</v>
      </c>
      <c r="C614" s="4" t="s">
        <v>56</v>
      </c>
      <c r="D614" s="8" t="s">
        <v>23</v>
      </c>
      <c r="E614" s="5">
        <f>'[5]FCFF Projections (5y )'!$AJ$6</f>
        <v>2809.3134921883793</v>
      </c>
      <c r="F614" s="4" t="str">
        <f t="shared" si="51"/>
        <v>Forecast</v>
      </c>
    </row>
    <row r="615" spans="1:6" x14ac:dyDescent="0.3">
      <c r="A615" s="3" t="s">
        <v>43</v>
      </c>
      <c r="B615" s="6" t="s">
        <v>47</v>
      </c>
      <c r="C615" s="4" t="s">
        <v>56</v>
      </c>
      <c r="D615" s="8" t="s">
        <v>24</v>
      </c>
      <c r="E615" s="5">
        <f>'[5]FCFF Projections (5y )'!$AK$6</f>
        <v>3304.8318543136966</v>
      </c>
      <c r="F615" s="4" t="str">
        <f t="shared" si="51"/>
        <v>Forecast</v>
      </c>
    </row>
    <row r="616" spans="1:6" x14ac:dyDescent="0.3">
      <c r="A616" s="3" t="s">
        <v>43</v>
      </c>
      <c r="B616" s="6" t="s">
        <v>47</v>
      </c>
      <c r="C616" s="4" t="s">
        <v>56</v>
      </c>
      <c r="D616" s="8" t="s">
        <v>25</v>
      </c>
      <c r="E616" s="5">
        <f>'[5]FCFF Projections (5y )'!$AL$6</f>
        <v>3887.7517997390287</v>
      </c>
      <c r="F616" s="4" t="str">
        <f t="shared" si="51"/>
        <v>Forecast</v>
      </c>
    </row>
    <row r="617" spans="1:6" x14ac:dyDescent="0.3">
      <c r="A617" s="3" t="s">
        <v>43</v>
      </c>
      <c r="B617" s="6" t="s">
        <v>47</v>
      </c>
      <c r="C617" s="4" t="s">
        <v>56</v>
      </c>
      <c r="D617" s="8" t="s">
        <v>26</v>
      </c>
      <c r="E617" s="5">
        <f>'[5]FCFF Projections (5y )'!$AM$6</f>
        <v>4573.4895821236441</v>
      </c>
      <c r="F617" s="4" t="str">
        <f t="shared" si="51"/>
        <v>Forecast</v>
      </c>
    </row>
    <row r="618" spans="1:6" x14ac:dyDescent="0.3">
      <c r="A618" s="3" t="s">
        <v>43</v>
      </c>
      <c r="B618" s="6" t="s">
        <v>48</v>
      </c>
      <c r="C618" s="4" t="s">
        <v>56</v>
      </c>
      <c r="D618" s="8" t="s">
        <v>16</v>
      </c>
      <c r="E618" s="5">
        <f>'[5]Income Statement'!$AD$27</f>
        <v>11908.909999999978</v>
      </c>
      <c r="F618" s="4" t="str">
        <f>IF(VALUE(D618)&gt;2024,"Forecast","Actual")</f>
        <v>Actual</v>
      </c>
    </row>
    <row r="619" spans="1:6" x14ac:dyDescent="0.3">
      <c r="A619" s="3" t="s">
        <v>43</v>
      </c>
      <c r="B619" s="6" t="s">
        <v>48</v>
      </c>
      <c r="C619" s="4" t="s">
        <v>56</v>
      </c>
      <c r="D619" s="8" t="s">
        <v>17</v>
      </c>
      <c r="E619" s="5">
        <f>'[5]Income Statement'!$AE$27</f>
        <v>14969.399999999996</v>
      </c>
      <c r="F619" s="4" t="str">
        <f>IF(VALUE(D619)&gt;2024,"Forecast","Actual")</f>
        <v>Actual</v>
      </c>
    </row>
    <row r="620" spans="1:6" x14ac:dyDescent="0.3">
      <c r="A620" s="3" t="s">
        <v>43</v>
      </c>
      <c r="B620" s="6" t="s">
        <v>48</v>
      </c>
      <c r="C620" s="4" t="s">
        <v>56</v>
      </c>
      <c r="D620" s="8" t="s">
        <v>18</v>
      </c>
      <c r="E620" s="5">
        <f>'[5]Income Statement'!$AF$27</f>
        <v>16960.29</v>
      </c>
      <c r="F620" s="4" t="str">
        <f t="shared" ref="F620:F628" si="52">IF(VALUE(D620)&gt;2024,"Forecast","Actual")</f>
        <v>Actual</v>
      </c>
    </row>
    <row r="621" spans="1:6" x14ac:dyDescent="0.3">
      <c r="A621" s="3" t="s">
        <v>43</v>
      </c>
      <c r="B621" s="6" t="s">
        <v>48</v>
      </c>
      <c r="C621" s="4" t="s">
        <v>56</v>
      </c>
      <c r="D621" s="8" t="s">
        <v>19</v>
      </c>
      <c r="E621" s="5">
        <f>'[5]Income Statement'!$AG$27</f>
        <v>17121.34999999998</v>
      </c>
      <c r="F621" s="4" t="str">
        <f t="shared" si="52"/>
        <v>Actual</v>
      </c>
    </row>
    <row r="622" spans="1:6" x14ac:dyDescent="0.3">
      <c r="A622" s="3" t="s">
        <v>43</v>
      </c>
      <c r="B622" s="6" t="s">
        <v>48</v>
      </c>
      <c r="C622" s="4" t="s">
        <v>56</v>
      </c>
      <c r="D622" s="8" t="s">
        <v>20</v>
      </c>
      <c r="E622" s="5">
        <f>'[5]Income Statement'!$AH$27</f>
        <v>21332.250000000007</v>
      </c>
      <c r="F622" s="4" t="str">
        <f t="shared" si="52"/>
        <v>Actual</v>
      </c>
    </row>
    <row r="623" spans="1:6" x14ac:dyDescent="0.3">
      <c r="A623" s="3" t="s">
        <v>43</v>
      </c>
      <c r="B623" s="6" t="s">
        <v>48</v>
      </c>
      <c r="C623" s="4" t="s">
        <v>56</v>
      </c>
      <c r="D623" s="8" t="s">
        <v>21</v>
      </c>
      <c r="E623" s="5">
        <f>'[5]FCFF Projections (5y )'!$AR$6</f>
        <v>23306.428827337681</v>
      </c>
      <c r="F623" s="4" t="str">
        <f t="shared" si="52"/>
        <v>Forecast</v>
      </c>
    </row>
    <row r="624" spans="1:6" x14ac:dyDescent="0.3">
      <c r="A624" s="3" t="s">
        <v>43</v>
      </c>
      <c r="B624" s="6" t="s">
        <v>48</v>
      </c>
      <c r="C624" s="4" t="s">
        <v>56</v>
      </c>
      <c r="D624" s="8" t="s">
        <v>22</v>
      </c>
      <c r="E624" s="5">
        <f>'[5]FCFF Projections (5y )'!$AS$6</f>
        <v>26715.667212618217</v>
      </c>
      <c r="F624" s="4" t="str">
        <f t="shared" si="52"/>
        <v>Forecast</v>
      </c>
    </row>
    <row r="625" spans="1:6" x14ac:dyDescent="0.3">
      <c r="A625" s="3" t="s">
        <v>43</v>
      </c>
      <c r="B625" s="6" t="s">
        <v>48</v>
      </c>
      <c r="C625" s="4" t="s">
        <v>56</v>
      </c>
      <c r="D625" s="8" t="s">
        <v>23</v>
      </c>
      <c r="E625" s="5">
        <f>'[5]FCFF Projections (5y )'!$AT$6</f>
        <v>30623.605182197014</v>
      </c>
      <c r="F625" s="4" t="str">
        <f t="shared" si="52"/>
        <v>Forecast</v>
      </c>
    </row>
    <row r="626" spans="1:6" x14ac:dyDescent="0.3">
      <c r="A626" s="3" t="s">
        <v>43</v>
      </c>
      <c r="B626" s="6" t="s">
        <v>48</v>
      </c>
      <c r="C626" s="4" t="s">
        <v>56</v>
      </c>
      <c r="D626" s="8" t="s">
        <v>24</v>
      </c>
      <c r="E626" s="5">
        <f>'[5]FCFF Projections (5y )'!$AU$6</f>
        <v>35103.191954425303</v>
      </c>
      <c r="F626" s="4" t="str">
        <f t="shared" si="52"/>
        <v>Forecast</v>
      </c>
    </row>
    <row r="627" spans="1:6" x14ac:dyDescent="0.3">
      <c r="A627" s="3" t="s">
        <v>43</v>
      </c>
      <c r="B627" s="6" t="s">
        <v>48</v>
      </c>
      <c r="C627" s="4" t="s">
        <v>56</v>
      </c>
      <c r="D627" s="8" t="s">
        <v>25</v>
      </c>
      <c r="E627" s="5">
        <f>'[5]FCFF Projections (5y )'!$AV$6</f>
        <v>40238.047677860835</v>
      </c>
      <c r="F627" s="4" t="str">
        <f t="shared" si="52"/>
        <v>Forecast</v>
      </c>
    </row>
    <row r="628" spans="1:6" x14ac:dyDescent="0.3">
      <c r="A628" s="3" t="s">
        <v>43</v>
      </c>
      <c r="B628" s="6" t="s">
        <v>48</v>
      </c>
      <c r="C628" s="4" t="s">
        <v>56</v>
      </c>
      <c r="D628" s="8" t="s">
        <v>26</v>
      </c>
      <c r="E628" s="5">
        <f>'[5]FCFF Projections (5y )'!$AW$6</f>
        <v>46124.024363023447</v>
      </c>
      <c r="F628" s="4" t="str">
        <f t="shared" si="52"/>
        <v>Forecast</v>
      </c>
    </row>
    <row r="629" spans="1:6" x14ac:dyDescent="0.3">
      <c r="A629" s="3" t="s">
        <v>49</v>
      </c>
      <c r="B629" s="6" t="s">
        <v>50</v>
      </c>
      <c r="C629" s="4" t="s">
        <v>14</v>
      </c>
      <c r="D629" s="8" t="s">
        <v>16</v>
      </c>
      <c r="E629" s="5">
        <f>'[6]Income Statement'!$B$6</f>
        <v>24930.190000000002</v>
      </c>
      <c r="F629" s="4" t="str">
        <f>IF(VALUE(D629)&gt;2025,"Forecast","Actual")</f>
        <v>Actual</v>
      </c>
    </row>
    <row r="630" spans="1:6" x14ac:dyDescent="0.3">
      <c r="A630" s="3" t="s">
        <v>49</v>
      </c>
      <c r="B630" s="6" t="s">
        <v>50</v>
      </c>
      <c r="C630" s="4" t="s">
        <v>14</v>
      </c>
      <c r="D630" s="8" t="s">
        <v>17</v>
      </c>
      <c r="E630" s="5">
        <f>'[6]Income Statement'!$C$6</f>
        <v>24339.27</v>
      </c>
      <c r="F630" s="4" t="str">
        <f t="shared" ref="F630:F639" si="53">IF(VALUE(D630)&gt;2025,"Forecast","Actual")</f>
        <v>Actual</v>
      </c>
    </row>
    <row r="631" spans="1:6" x14ac:dyDescent="0.3">
      <c r="A631" s="3" t="s">
        <v>49</v>
      </c>
      <c r="B631" s="6" t="s">
        <v>50</v>
      </c>
      <c r="C631" s="4" t="s">
        <v>14</v>
      </c>
      <c r="D631" s="8" t="s">
        <v>18</v>
      </c>
      <c r="E631" s="5">
        <f>'[6]Income Statement'!$D$6</f>
        <v>31093.760000000002</v>
      </c>
      <c r="F631" s="4" t="str">
        <f t="shared" si="53"/>
        <v>Actual</v>
      </c>
    </row>
    <row r="632" spans="1:6" x14ac:dyDescent="0.3">
      <c r="A632" s="3" t="s">
        <v>49</v>
      </c>
      <c r="B632" s="6" t="s">
        <v>50</v>
      </c>
      <c r="C632" s="4" t="s">
        <v>14</v>
      </c>
      <c r="D632" s="8" t="s">
        <v>19</v>
      </c>
      <c r="E632" s="5">
        <f>'[6]Income Statement'!$E$6</f>
        <v>42968.899999999994</v>
      </c>
      <c r="F632" s="4" t="str">
        <f t="shared" si="53"/>
        <v>Actual</v>
      </c>
    </row>
    <row r="633" spans="1:6" x14ac:dyDescent="0.3">
      <c r="A633" s="3" t="s">
        <v>49</v>
      </c>
      <c r="B633" s="6" t="s">
        <v>50</v>
      </c>
      <c r="C633" s="4" t="s">
        <v>14</v>
      </c>
      <c r="D633" s="8" t="s">
        <v>20</v>
      </c>
      <c r="E633" s="5">
        <f>'[6]Income Statement'!$F$6</f>
        <v>50935.28</v>
      </c>
      <c r="F633" s="4" t="str">
        <f t="shared" si="53"/>
        <v>Actual</v>
      </c>
    </row>
    <row r="634" spans="1:6" x14ac:dyDescent="0.3">
      <c r="A634" s="3" t="s">
        <v>49</v>
      </c>
      <c r="B634" s="6" t="s">
        <v>50</v>
      </c>
      <c r="C634" s="4" t="s">
        <v>14</v>
      </c>
      <c r="D634" s="8" t="s">
        <v>21</v>
      </c>
      <c r="E634" s="5">
        <f>'[6]Income Statement'!$G$6</f>
        <v>59482.36</v>
      </c>
      <c r="F634" s="4" t="str">
        <f t="shared" si="53"/>
        <v>Actual</v>
      </c>
    </row>
    <row r="635" spans="1:6" x14ac:dyDescent="0.3">
      <c r="A635" s="3" t="s">
        <v>49</v>
      </c>
      <c r="B635" s="6" t="s">
        <v>50</v>
      </c>
      <c r="C635" s="4" t="s">
        <v>14</v>
      </c>
      <c r="D635" s="8" t="s">
        <v>22</v>
      </c>
      <c r="E635" s="5">
        <f>'[6]Income Statement Forecast'!$D$6</f>
        <v>68759.670686451544</v>
      </c>
      <c r="F635" s="4" t="str">
        <f t="shared" si="53"/>
        <v>Forecast</v>
      </c>
    </row>
    <row r="636" spans="1:6" x14ac:dyDescent="0.3">
      <c r="A636" s="3" t="s">
        <v>49</v>
      </c>
      <c r="B636" s="6" t="s">
        <v>50</v>
      </c>
      <c r="C636" s="4" t="s">
        <v>14</v>
      </c>
      <c r="D636" s="8" t="s">
        <v>23</v>
      </c>
      <c r="E636" s="5">
        <f>'[6]Income Statement Forecast'!$E$6</f>
        <v>79484.029484405692</v>
      </c>
      <c r="F636" s="4" t="str">
        <f t="shared" si="53"/>
        <v>Forecast</v>
      </c>
    </row>
    <row r="637" spans="1:6" x14ac:dyDescent="0.3">
      <c r="A637" s="3" t="s">
        <v>49</v>
      </c>
      <c r="B637" s="6" t="s">
        <v>50</v>
      </c>
      <c r="C637" s="4" t="s">
        <v>14</v>
      </c>
      <c r="D637" s="8" t="s">
        <v>24</v>
      </c>
      <c r="E637" s="5">
        <f>'[6]Income Statement Forecast'!$F$6</f>
        <v>91881.154378792766</v>
      </c>
      <c r="F637" s="4" t="str">
        <f t="shared" si="53"/>
        <v>Forecast</v>
      </c>
    </row>
    <row r="638" spans="1:6" x14ac:dyDescent="0.3">
      <c r="A638" s="3" t="s">
        <v>49</v>
      </c>
      <c r="B638" s="6" t="s">
        <v>50</v>
      </c>
      <c r="C638" s="4" t="s">
        <v>14</v>
      </c>
      <c r="D638" s="8" t="s">
        <v>25</v>
      </c>
      <c r="E638" s="5">
        <f>'[6]Income Statement Forecast'!$G$6</f>
        <v>106211.97350176869</v>
      </c>
      <c r="F638" s="4" t="str">
        <f t="shared" si="53"/>
        <v>Forecast</v>
      </c>
    </row>
    <row r="639" spans="1:6" x14ac:dyDescent="0.3">
      <c r="A639" s="3" t="s">
        <v>49</v>
      </c>
      <c r="B639" s="6" t="s">
        <v>50</v>
      </c>
      <c r="C639" s="4" t="s">
        <v>14</v>
      </c>
      <c r="D639" s="8" t="s">
        <v>26</v>
      </c>
      <c r="E639" s="5">
        <f>'[6]Income Statement Forecast'!$H$6</f>
        <v>122778.11781930229</v>
      </c>
      <c r="F639" s="4" t="str">
        <f t="shared" si="53"/>
        <v>Forecast</v>
      </c>
    </row>
    <row r="640" spans="1:6" x14ac:dyDescent="0.3">
      <c r="A640" s="3" t="s">
        <v>49</v>
      </c>
      <c r="B640" s="6" t="s">
        <v>51</v>
      </c>
      <c r="C640" s="4" t="s">
        <v>14</v>
      </c>
      <c r="D640" s="8" t="s">
        <v>16</v>
      </c>
      <c r="E640" s="5">
        <f>'[6]Income Statement'!$J$6</f>
        <v>40415</v>
      </c>
      <c r="F640" s="4" t="str">
        <f>IF(VALUE(D640)&gt;2024,"Forecast","Actual")</f>
        <v>Actual</v>
      </c>
    </row>
    <row r="641" spans="1:6" x14ac:dyDescent="0.3">
      <c r="A641" s="3" t="s">
        <v>49</v>
      </c>
      <c r="B641" s="6" t="s">
        <v>51</v>
      </c>
      <c r="C641" s="4" t="s">
        <v>14</v>
      </c>
      <c r="D641" s="8" t="s">
        <v>17</v>
      </c>
      <c r="E641" s="5">
        <f>'[6]Income Statement'!$K$6</f>
        <v>47438</v>
      </c>
      <c r="F641" s="4" t="str">
        <f t="shared" ref="F641:F650" si="54">IF(VALUE(D641)&gt;2024,"Forecast","Actual")</f>
        <v>Actual</v>
      </c>
    </row>
    <row r="642" spans="1:6" x14ac:dyDescent="0.3">
      <c r="A642" s="3" t="s">
        <v>49</v>
      </c>
      <c r="B642" s="6" t="s">
        <v>51</v>
      </c>
      <c r="C642" s="4" t="s">
        <v>14</v>
      </c>
      <c r="D642" s="8" t="s">
        <v>18</v>
      </c>
      <c r="E642" s="5">
        <f>'[6]Income Statement'!$L$6</f>
        <v>52704</v>
      </c>
      <c r="F642" s="4" t="str">
        <f t="shared" si="54"/>
        <v>Actual</v>
      </c>
    </row>
    <row r="643" spans="1:6" x14ac:dyDescent="0.3">
      <c r="A643" s="3" t="s">
        <v>49</v>
      </c>
      <c r="B643" s="6" t="s">
        <v>51</v>
      </c>
      <c r="C643" s="4" t="s">
        <v>14</v>
      </c>
      <c r="D643" s="8" t="s">
        <v>19</v>
      </c>
      <c r="E643" s="5">
        <f>'[6]Income Statement'!$M$6</f>
        <v>61092</v>
      </c>
      <c r="F643" s="4" t="str">
        <f t="shared" si="54"/>
        <v>Actual</v>
      </c>
    </row>
    <row r="644" spans="1:6" x14ac:dyDescent="0.3">
      <c r="A644" s="3" t="s">
        <v>49</v>
      </c>
      <c r="B644" s="6" t="s">
        <v>51</v>
      </c>
      <c r="C644" s="4" t="s">
        <v>14</v>
      </c>
      <c r="D644" s="8" t="s">
        <v>20</v>
      </c>
      <c r="E644" s="5">
        <f>'[6]Income Statement'!$N$6</f>
        <v>62707</v>
      </c>
      <c r="F644" s="4" t="str">
        <f t="shared" si="54"/>
        <v>Actual</v>
      </c>
    </row>
    <row r="645" spans="1:6" x14ac:dyDescent="0.3">
      <c r="A645" s="3" t="s">
        <v>49</v>
      </c>
      <c r="B645" s="6" t="s">
        <v>51</v>
      </c>
      <c r="C645" s="4" t="s">
        <v>14</v>
      </c>
      <c r="D645" s="8" t="s">
        <v>21</v>
      </c>
      <c r="E645" s="5">
        <f>'[6]Income Statement Forecast'!$M$6</f>
        <v>67473.415295990329</v>
      </c>
      <c r="F645" s="4" t="str">
        <f t="shared" si="54"/>
        <v>Forecast</v>
      </c>
    </row>
    <row r="646" spans="1:6" x14ac:dyDescent="0.3">
      <c r="A646" s="3" t="s">
        <v>49</v>
      </c>
      <c r="B646" s="6" t="s">
        <v>51</v>
      </c>
      <c r="C646" s="4" t="s">
        <v>14</v>
      </c>
      <c r="D646" s="8" t="s">
        <v>22</v>
      </c>
      <c r="E646" s="5">
        <f>'[6]Income Statement Forecast'!$N$6</f>
        <v>72603.056127397125</v>
      </c>
      <c r="F646" s="4" t="str">
        <f t="shared" si="54"/>
        <v>Forecast</v>
      </c>
    </row>
    <row r="647" spans="1:6" x14ac:dyDescent="0.3">
      <c r="A647" s="3" t="s">
        <v>49</v>
      </c>
      <c r="B647" s="6" t="s">
        <v>51</v>
      </c>
      <c r="C647" s="4" t="s">
        <v>14</v>
      </c>
      <c r="D647" s="8" t="s">
        <v>23</v>
      </c>
      <c r="E647" s="5">
        <f>'[6]Income Statement Forecast'!$O$6</f>
        <v>78123.641688896692</v>
      </c>
      <c r="F647" s="4" t="str">
        <f t="shared" si="54"/>
        <v>Forecast</v>
      </c>
    </row>
    <row r="648" spans="1:6" x14ac:dyDescent="0.3">
      <c r="A648" s="3" t="s">
        <v>49</v>
      </c>
      <c r="B648" s="6" t="s">
        <v>51</v>
      </c>
      <c r="C648" s="4" t="s">
        <v>14</v>
      </c>
      <c r="D648" s="8" t="s">
        <v>24</v>
      </c>
      <c r="E648" s="5">
        <f>'[6]Income Statement Forecast'!$P$6</f>
        <v>84065.008220783653</v>
      </c>
      <c r="F648" s="4" t="str">
        <f t="shared" si="54"/>
        <v>Forecast</v>
      </c>
    </row>
    <row r="649" spans="1:6" x14ac:dyDescent="0.3">
      <c r="A649" s="3" t="s">
        <v>49</v>
      </c>
      <c r="B649" s="6" t="s">
        <v>51</v>
      </c>
      <c r="C649" s="4" t="s">
        <v>14</v>
      </c>
      <c r="D649" s="8" t="s">
        <v>25</v>
      </c>
      <c r="E649" s="5">
        <f>'[6]Income Statement Forecast'!$Q$6</f>
        <v>90459.270769277486</v>
      </c>
      <c r="F649" s="4" t="str">
        <f t="shared" si="54"/>
        <v>Forecast</v>
      </c>
    </row>
    <row r="650" spans="1:6" x14ac:dyDescent="0.3">
      <c r="A650" s="3" t="s">
        <v>49</v>
      </c>
      <c r="B650" s="6" t="s">
        <v>51</v>
      </c>
      <c r="C650" s="4" t="s">
        <v>14</v>
      </c>
      <c r="D650" s="8" t="s">
        <v>26</v>
      </c>
      <c r="E650" s="5">
        <f>'[6]Income Statement Forecast'!$R$6</f>
        <v>97340.997309732804</v>
      </c>
      <c r="F650" s="4" t="str">
        <f t="shared" si="54"/>
        <v>Forecast</v>
      </c>
    </row>
    <row r="651" spans="1:6" x14ac:dyDescent="0.3">
      <c r="A651" s="3" t="s">
        <v>49</v>
      </c>
      <c r="B651" s="6" t="s">
        <v>52</v>
      </c>
      <c r="C651" s="4" t="s">
        <v>14</v>
      </c>
      <c r="D651" s="8" t="s">
        <v>16</v>
      </c>
      <c r="E651" s="5">
        <f>'[6]Income Statement'!$Q$6</f>
        <v>53991.360000000001</v>
      </c>
      <c r="F651" s="4" t="str">
        <f>IF(VALUE(D651)&gt;2025,"Forecast","Actual")</f>
        <v>Actual</v>
      </c>
    </row>
    <row r="652" spans="1:6" x14ac:dyDescent="0.3">
      <c r="A652" s="3" t="s">
        <v>49</v>
      </c>
      <c r="B652" s="6" t="s">
        <v>52</v>
      </c>
      <c r="C652" s="4" t="s">
        <v>14</v>
      </c>
      <c r="D652" s="8" t="s">
        <v>17</v>
      </c>
      <c r="E652" s="5">
        <f>'[6]Income Statement'!$R$6</f>
        <v>55787.68</v>
      </c>
      <c r="F652" s="4" t="str">
        <f t="shared" ref="F652:F661" si="55">IF(VALUE(D652)&gt;2025,"Forecast","Actual")</f>
        <v>Actual</v>
      </c>
    </row>
    <row r="653" spans="1:6" x14ac:dyDescent="0.3">
      <c r="A653" s="3" t="s">
        <v>49</v>
      </c>
      <c r="B653" s="6" t="s">
        <v>52</v>
      </c>
      <c r="C653" s="4" t="s">
        <v>14</v>
      </c>
      <c r="D653" s="8" t="s">
        <v>18</v>
      </c>
      <c r="E653" s="5">
        <f>'[6]Income Statement'!$S$6</f>
        <v>67041.31</v>
      </c>
      <c r="F653" s="4" t="str">
        <f t="shared" si="55"/>
        <v>Actual</v>
      </c>
    </row>
    <row r="654" spans="1:6" x14ac:dyDescent="0.3">
      <c r="A654" s="3" t="s">
        <v>49</v>
      </c>
      <c r="B654" s="6" t="s">
        <v>52</v>
      </c>
      <c r="C654" s="4" t="s">
        <v>14</v>
      </c>
      <c r="D654" s="8" t="s">
        <v>19</v>
      </c>
      <c r="E654" s="5">
        <f>'[6]Income Statement'!$T$6</f>
        <v>78498.700000000012</v>
      </c>
      <c r="F654" s="4" t="str">
        <f t="shared" si="55"/>
        <v>Actual</v>
      </c>
    </row>
    <row r="655" spans="1:6" x14ac:dyDescent="0.3">
      <c r="A655" s="3" t="s">
        <v>49</v>
      </c>
      <c r="B655" s="6" t="s">
        <v>52</v>
      </c>
      <c r="C655" s="4" t="s">
        <v>14</v>
      </c>
      <c r="D655" s="8" t="s">
        <v>20</v>
      </c>
      <c r="E655" s="5">
        <f>'[6]Income Statement'!$U$6</f>
        <v>76584.649999999994</v>
      </c>
      <c r="F655" s="4" t="str">
        <f t="shared" si="55"/>
        <v>Actual</v>
      </c>
    </row>
    <row r="656" spans="1:6" x14ac:dyDescent="0.3">
      <c r="A656" s="3" t="s">
        <v>49</v>
      </c>
      <c r="B656" s="6" t="s">
        <v>52</v>
      </c>
      <c r="C656" s="4" t="s">
        <v>14</v>
      </c>
      <c r="D656" s="8" t="s">
        <v>21</v>
      </c>
      <c r="E656" s="5">
        <f>'[6]Income Statement'!$V$6</f>
        <v>84142.47</v>
      </c>
      <c r="F656" s="4" t="str">
        <f t="shared" si="55"/>
        <v>Actual</v>
      </c>
    </row>
    <row r="657" spans="1:6" x14ac:dyDescent="0.3">
      <c r="A657" s="3" t="s">
        <v>49</v>
      </c>
      <c r="B657" s="6" t="s">
        <v>52</v>
      </c>
      <c r="C657" s="4" t="s">
        <v>14</v>
      </c>
      <c r="D657" s="8" t="s">
        <v>22</v>
      </c>
      <c r="E657" s="5">
        <f>'[6]Income Statement Forecast'!$W$6</f>
        <v>90670.70976091527</v>
      </c>
      <c r="F657" s="4" t="str">
        <f t="shared" si="55"/>
        <v>Forecast</v>
      </c>
    </row>
    <row r="658" spans="1:6" x14ac:dyDescent="0.3">
      <c r="A658" s="3" t="s">
        <v>49</v>
      </c>
      <c r="B658" s="6" t="s">
        <v>52</v>
      </c>
      <c r="C658" s="4" t="s">
        <v>14</v>
      </c>
      <c r="D658" s="8" t="s">
        <v>23</v>
      </c>
      <c r="E658" s="5">
        <f>'[6]Income Statement Forecast'!$X$6</f>
        <v>97722.987539869675</v>
      </c>
      <c r="F658" s="4" t="str">
        <f t="shared" si="55"/>
        <v>Forecast</v>
      </c>
    </row>
    <row r="659" spans="1:6" x14ac:dyDescent="0.3">
      <c r="A659" s="3" t="s">
        <v>49</v>
      </c>
      <c r="B659" s="6" t="s">
        <v>52</v>
      </c>
      <c r="C659" s="4" t="s">
        <v>14</v>
      </c>
      <c r="D659" s="8" t="s">
        <v>24</v>
      </c>
      <c r="E659" s="5">
        <f>'[6]Income Statement Forecast'!$Y$6</f>
        <v>105341.28902655539</v>
      </c>
      <c r="F659" s="4" t="str">
        <f t="shared" si="55"/>
        <v>Forecast</v>
      </c>
    </row>
    <row r="660" spans="1:6" x14ac:dyDescent="0.3">
      <c r="A660" s="3" t="s">
        <v>49</v>
      </c>
      <c r="B660" s="6" t="s">
        <v>52</v>
      </c>
      <c r="C660" s="4" t="s">
        <v>14</v>
      </c>
      <c r="D660" s="8" t="s">
        <v>25</v>
      </c>
      <c r="E660" s="5">
        <f>'[6]Income Statement Forecast'!$Z$6</f>
        <v>113570.96413910274</v>
      </c>
      <c r="F660" s="4" t="str">
        <f t="shared" si="55"/>
        <v>Forecast</v>
      </c>
    </row>
    <row r="661" spans="1:6" x14ac:dyDescent="0.3">
      <c r="A661" s="3" t="s">
        <v>49</v>
      </c>
      <c r="B661" s="6" t="s">
        <v>52</v>
      </c>
      <c r="C661" s="4" t="s">
        <v>14</v>
      </c>
      <c r="D661" s="8" t="s">
        <v>26</v>
      </c>
      <c r="E661" s="5">
        <f>'[6]Income Statement Forecast'!$AA$6</f>
        <v>122460.99659133804</v>
      </c>
      <c r="F661" s="4" t="str">
        <f t="shared" si="55"/>
        <v>Forecast</v>
      </c>
    </row>
    <row r="662" spans="1:6" x14ac:dyDescent="0.3">
      <c r="A662" s="3" t="s">
        <v>49</v>
      </c>
      <c r="B662" s="6" t="s">
        <v>53</v>
      </c>
      <c r="C662" s="4" t="s">
        <v>14</v>
      </c>
      <c r="D662" s="8" t="s">
        <v>16</v>
      </c>
      <c r="E662" s="5">
        <f>'[6]Income Statement'!$Y$6</f>
        <v>21205</v>
      </c>
      <c r="F662" s="4" t="str">
        <f>IF(VALUE(D662)&gt;2025,"Forecast","Actual")</f>
        <v>Actual</v>
      </c>
    </row>
    <row r="663" spans="1:6" x14ac:dyDescent="0.3">
      <c r="A663" s="3" t="s">
        <v>49</v>
      </c>
      <c r="B663" s="6" t="s">
        <v>53</v>
      </c>
      <c r="C663" s="4" t="s">
        <v>14</v>
      </c>
      <c r="D663" s="8" t="s">
        <v>17</v>
      </c>
      <c r="E663" s="5">
        <f>'[6]Income Statement'!$Z$6</f>
        <v>21830</v>
      </c>
      <c r="F663" s="4" t="str">
        <f t="shared" ref="F663:F672" si="56">IF(VALUE(D663)&gt;2025,"Forecast","Actual")</f>
        <v>Actual</v>
      </c>
    </row>
    <row r="664" spans="1:6" x14ac:dyDescent="0.3">
      <c r="A664" s="3" t="s">
        <v>49</v>
      </c>
      <c r="B664" s="6" t="s">
        <v>53</v>
      </c>
      <c r="C664" s="4" t="s">
        <v>14</v>
      </c>
      <c r="D664" s="8" t="s">
        <v>18</v>
      </c>
      <c r="E664" s="5">
        <f>'[6]Income Statement'!$AA$6</f>
        <v>29033</v>
      </c>
      <c r="F664" s="4" t="str">
        <f t="shared" si="56"/>
        <v>Actual</v>
      </c>
    </row>
    <row r="665" spans="1:6" x14ac:dyDescent="0.3">
      <c r="A665" s="3" t="s">
        <v>49</v>
      </c>
      <c r="B665" s="6" t="s">
        <v>53</v>
      </c>
      <c r="C665" s="4" t="s">
        <v>14</v>
      </c>
      <c r="D665" s="8" t="s">
        <v>19</v>
      </c>
      <c r="E665" s="5">
        <f>'[6]Income Statement'!$AB$6</f>
        <v>40883</v>
      </c>
      <c r="F665" s="4" t="str">
        <f t="shared" si="56"/>
        <v>Actual</v>
      </c>
    </row>
    <row r="666" spans="1:6" x14ac:dyDescent="0.3">
      <c r="A666" s="3" t="s">
        <v>49</v>
      </c>
      <c r="B666" s="6" t="s">
        <v>53</v>
      </c>
      <c r="C666" s="4" t="s">
        <v>14</v>
      </c>
      <c r="D666" s="8" t="s">
        <v>20</v>
      </c>
      <c r="E666" s="5">
        <f>'[6]Income Statement'!$AC$6</f>
        <v>51617</v>
      </c>
      <c r="F666" s="4" t="str">
        <f t="shared" si="56"/>
        <v>Actual</v>
      </c>
    </row>
    <row r="667" spans="1:6" x14ac:dyDescent="0.3">
      <c r="A667" s="3" t="s">
        <v>49</v>
      </c>
      <c r="B667" s="6" t="s">
        <v>53</v>
      </c>
      <c r="C667" s="4" t="s">
        <v>14</v>
      </c>
      <c r="D667" s="8" t="s">
        <v>21</v>
      </c>
      <c r="E667" s="5">
        <f>'[6]Income Statement'!$AD$6</f>
        <v>60942</v>
      </c>
      <c r="F667" s="4" t="str">
        <f t="shared" si="56"/>
        <v>Actual</v>
      </c>
    </row>
    <row r="668" spans="1:6" x14ac:dyDescent="0.3">
      <c r="A668" s="3" t="s">
        <v>49</v>
      </c>
      <c r="B668" s="6" t="s">
        <v>53</v>
      </c>
      <c r="C668" s="4" t="s">
        <v>14</v>
      </c>
      <c r="D668" s="8" t="s">
        <v>22</v>
      </c>
      <c r="E668" s="5">
        <f>'[6]Income Statement Forecast'!$AF$6</f>
        <v>72666.305425619386</v>
      </c>
      <c r="F668" s="4" t="str">
        <f t="shared" si="56"/>
        <v>Forecast</v>
      </c>
    </row>
    <row r="669" spans="1:6" x14ac:dyDescent="0.3">
      <c r="A669" s="3" t="s">
        <v>49</v>
      </c>
      <c r="B669" s="6" t="s">
        <v>53</v>
      </c>
      <c r="C669" s="4" t="s">
        <v>14</v>
      </c>
      <c r="D669" s="8" t="s">
        <v>23</v>
      </c>
      <c r="E669" s="5">
        <f>'[6]Income Statement Forecast'!$AG$6</f>
        <v>86646.384159711452</v>
      </c>
      <c r="F669" s="4" t="str">
        <f t="shared" si="56"/>
        <v>Forecast</v>
      </c>
    </row>
    <row r="670" spans="1:6" x14ac:dyDescent="0.3">
      <c r="A670" s="3" t="s">
        <v>49</v>
      </c>
      <c r="B670" s="6" t="s">
        <v>53</v>
      </c>
      <c r="C670" s="4" t="s">
        <v>14</v>
      </c>
      <c r="D670" s="8" t="s">
        <v>24</v>
      </c>
      <c r="E670" s="5">
        <f>'[6]Income Statement Forecast'!$AH$6</f>
        <v>103316.29203906145</v>
      </c>
      <c r="F670" s="4" t="str">
        <f t="shared" si="56"/>
        <v>Forecast</v>
      </c>
    </row>
    <row r="671" spans="1:6" x14ac:dyDescent="0.3">
      <c r="A671" s="3" t="s">
        <v>49</v>
      </c>
      <c r="B671" s="6" t="s">
        <v>53</v>
      </c>
      <c r="C671" s="4" t="s">
        <v>14</v>
      </c>
      <c r="D671" s="8" t="s">
        <v>25</v>
      </c>
      <c r="E671" s="5">
        <f>'[6]Income Statement Forecast'!$AI$6</f>
        <v>123193.61478217383</v>
      </c>
      <c r="F671" s="4" t="str">
        <f t="shared" si="56"/>
        <v>Forecast</v>
      </c>
    </row>
    <row r="672" spans="1:6" x14ac:dyDescent="0.3">
      <c r="A672" s="3" t="s">
        <v>49</v>
      </c>
      <c r="B672" s="6" t="s">
        <v>53</v>
      </c>
      <c r="C672" s="4" t="s">
        <v>14</v>
      </c>
      <c r="D672" s="8" t="s">
        <v>26</v>
      </c>
      <c r="E672" s="5">
        <f>'[6]Income Statement Forecast'!$AJ$6</f>
        <v>146895.54439597522</v>
      </c>
      <c r="F672" s="4" t="str">
        <f t="shared" si="56"/>
        <v>Forecast</v>
      </c>
    </row>
    <row r="673" spans="1:6" x14ac:dyDescent="0.3">
      <c r="A673" s="3" t="s">
        <v>49</v>
      </c>
      <c r="B673" s="6" t="s">
        <v>54</v>
      </c>
      <c r="C673" s="4" t="s">
        <v>14</v>
      </c>
      <c r="D673" s="8" t="s">
        <v>16</v>
      </c>
      <c r="E673" s="5">
        <f>'[6]Income Statement'!$AG$6</f>
        <v>3635.4</v>
      </c>
      <c r="F673" s="4" t="str">
        <f>IF(VALUE(D673)&gt;2025,"Forecast","Actual")</f>
        <v>Actual</v>
      </c>
    </row>
    <row r="674" spans="1:6" x14ac:dyDescent="0.3">
      <c r="A674" s="3" t="s">
        <v>49</v>
      </c>
      <c r="B674" s="6" t="s">
        <v>54</v>
      </c>
      <c r="C674" s="4" t="s">
        <v>14</v>
      </c>
      <c r="D674" s="8" t="s">
        <v>17</v>
      </c>
      <c r="E674" s="5">
        <f>'[6]Income Statement'!$AH$6</f>
        <v>2794.56</v>
      </c>
      <c r="F674" s="4" t="str">
        <f t="shared" ref="F674:F683" si="57">IF(VALUE(D674)&gt;2025,"Forecast","Actual")</f>
        <v>Actual</v>
      </c>
    </row>
    <row r="675" spans="1:6" x14ac:dyDescent="0.3">
      <c r="A675" s="3" t="s">
        <v>49</v>
      </c>
      <c r="B675" s="6" t="s">
        <v>54</v>
      </c>
      <c r="C675" s="4" t="s">
        <v>14</v>
      </c>
      <c r="D675" s="8" t="s">
        <v>18</v>
      </c>
      <c r="E675" s="5">
        <f>'[6]Income Statement'!$AI$6</f>
        <v>4673.2300000000005</v>
      </c>
      <c r="F675" s="4" t="str">
        <f t="shared" si="57"/>
        <v>Actual</v>
      </c>
    </row>
    <row r="676" spans="1:6" x14ac:dyDescent="0.3">
      <c r="A676" s="3" t="s">
        <v>49</v>
      </c>
      <c r="B676" s="6" t="s">
        <v>54</v>
      </c>
      <c r="C676" s="4" t="s">
        <v>14</v>
      </c>
      <c r="D676" s="8" t="s">
        <v>19</v>
      </c>
      <c r="E676" s="5">
        <f>'[6]Income Statement'!$AJ$6</f>
        <v>8502.94</v>
      </c>
      <c r="F676" s="4" t="str">
        <f t="shared" si="57"/>
        <v>Actual</v>
      </c>
    </row>
    <row r="677" spans="1:6" x14ac:dyDescent="0.3">
      <c r="A677" s="3" t="s">
        <v>49</v>
      </c>
      <c r="B677" s="6" t="s">
        <v>54</v>
      </c>
      <c r="C677" s="4" t="s">
        <v>14</v>
      </c>
      <c r="D677" s="8" t="s">
        <v>20</v>
      </c>
      <c r="E677" s="5">
        <f>'[6]Income Statement'!$AK$6</f>
        <v>12664.380000000001</v>
      </c>
      <c r="F677" s="4" t="str">
        <f t="shared" si="57"/>
        <v>Actual</v>
      </c>
    </row>
    <row r="678" spans="1:6" x14ac:dyDescent="0.3">
      <c r="A678" s="3" t="s">
        <v>49</v>
      </c>
      <c r="B678" s="6" t="s">
        <v>54</v>
      </c>
      <c r="C678" s="4" t="s">
        <v>14</v>
      </c>
      <c r="D678" s="8" t="s">
        <v>21</v>
      </c>
      <c r="E678" s="5">
        <f>'[6]Income Statement'!$AL$6</f>
        <v>17353.170000000002</v>
      </c>
      <c r="F678" s="4" t="str">
        <f t="shared" si="57"/>
        <v>Actual</v>
      </c>
    </row>
    <row r="679" spans="1:6" x14ac:dyDescent="0.3">
      <c r="A679" s="3" t="s">
        <v>49</v>
      </c>
      <c r="B679" s="6" t="s">
        <v>54</v>
      </c>
      <c r="C679" s="4" t="s">
        <v>14</v>
      </c>
      <c r="D679" s="8" t="s">
        <v>22</v>
      </c>
      <c r="E679" s="5">
        <f>'[6]Income Statement Forecast'!$AO$6</f>
        <v>22575.396445599974</v>
      </c>
      <c r="F679" s="4" t="str">
        <f t="shared" si="57"/>
        <v>Forecast</v>
      </c>
    </row>
    <row r="680" spans="1:6" x14ac:dyDescent="0.3">
      <c r="A680" s="3" t="s">
        <v>49</v>
      </c>
      <c r="B680" s="6" t="s">
        <v>54</v>
      </c>
      <c r="C680" s="4" t="s">
        <v>14</v>
      </c>
      <c r="D680" s="8" t="s">
        <v>23</v>
      </c>
      <c r="E680" s="5">
        <f>'[6]Income Statement Forecast'!$AP$6</f>
        <v>29381.465023052519</v>
      </c>
      <c r="F680" s="4" t="str">
        <f t="shared" si="57"/>
        <v>Forecast</v>
      </c>
    </row>
    <row r="681" spans="1:6" x14ac:dyDescent="0.3">
      <c r="A681" s="3" t="s">
        <v>49</v>
      </c>
      <c r="B681" s="6" t="s">
        <v>54</v>
      </c>
      <c r="C681" s="4" t="s">
        <v>14</v>
      </c>
      <c r="D681" s="8" t="s">
        <v>24</v>
      </c>
      <c r="E681" s="5">
        <f>'[6]Income Statement Forecast'!$AQ$6</f>
        <v>38252.548430859439</v>
      </c>
      <c r="F681" s="4" t="str">
        <f t="shared" si="57"/>
        <v>Forecast</v>
      </c>
    </row>
    <row r="682" spans="1:6" x14ac:dyDescent="0.3">
      <c r="A682" s="3" t="s">
        <v>49</v>
      </c>
      <c r="B682" s="6" t="s">
        <v>54</v>
      </c>
      <c r="C682" s="4" t="s">
        <v>14</v>
      </c>
      <c r="D682" s="8" t="s">
        <v>25</v>
      </c>
      <c r="E682" s="5">
        <f>'[6]Income Statement Forecast'!$AR$6</f>
        <v>49816.053279592597</v>
      </c>
      <c r="F682" s="4" t="str">
        <f t="shared" si="57"/>
        <v>Forecast</v>
      </c>
    </row>
    <row r="683" spans="1:6" x14ac:dyDescent="0.3">
      <c r="A683" s="3" t="s">
        <v>49</v>
      </c>
      <c r="B683" s="6" t="s">
        <v>54</v>
      </c>
      <c r="C683" s="4" t="s">
        <v>14</v>
      </c>
      <c r="D683" s="8" t="s">
        <v>26</v>
      </c>
      <c r="E683" s="5">
        <f>'[6]Income Statement Forecast'!$AS$6</f>
        <v>64890.065741058927</v>
      </c>
      <c r="F683" s="4" t="str">
        <f t="shared" si="57"/>
        <v>Forecast</v>
      </c>
    </row>
    <row r="684" spans="1:6" x14ac:dyDescent="0.3">
      <c r="A684" s="3" t="s">
        <v>49</v>
      </c>
      <c r="B684" s="6" t="s">
        <v>55</v>
      </c>
      <c r="C684" s="4" t="s">
        <v>14</v>
      </c>
      <c r="D684" s="8" t="s">
        <v>16</v>
      </c>
      <c r="E684" s="5">
        <f>'[6]Income Statement'!$AO$6</f>
        <v>6592.76</v>
      </c>
      <c r="F684" s="4" t="str">
        <f>IF(VALUE(D684)&gt;2024,"Forecast","Actual")</f>
        <v>Actual</v>
      </c>
    </row>
    <row r="685" spans="1:6" x14ac:dyDescent="0.3">
      <c r="A685" s="3" t="s">
        <v>49</v>
      </c>
      <c r="B685" s="6" t="s">
        <v>55</v>
      </c>
      <c r="C685" s="4" t="s">
        <v>14</v>
      </c>
      <c r="D685" s="8" t="s">
        <v>17</v>
      </c>
      <c r="E685" s="5">
        <f>'[6]Income Statement'!$AP$6</f>
        <v>9026.2159999999985</v>
      </c>
      <c r="F685" s="4" t="str">
        <f>IF(VALUE(D685)&gt;2024,"Forecast","Actual")</f>
        <v>Actual</v>
      </c>
    </row>
    <row r="686" spans="1:6" x14ac:dyDescent="0.3">
      <c r="A686" s="3" t="s">
        <v>49</v>
      </c>
      <c r="B686" s="6" t="s">
        <v>55</v>
      </c>
      <c r="C686" s="4" t="s">
        <v>14</v>
      </c>
      <c r="D686" s="8" t="s">
        <v>18</v>
      </c>
      <c r="E686" s="5">
        <f>'[6]Income Statement'!$AQ$6</f>
        <v>13429.407000000001</v>
      </c>
      <c r="F686" s="4" t="str">
        <f t="shared" ref="F686:F694" si="58">IF(VALUE(D686)&gt;2024,"Forecast","Actual")</f>
        <v>Actual</v>
      </c>
    </row>
    <row r="687" spans="1:6" x14ac:dyDescent="0.3">
      <c r="A687" s="3" t="s">
        <v>49</v>
      </c>
      <c r="B687" s="6" t="s">
        <v>55</v>
      </c>
      <c r="C687" s="4" t="s">
        <v>14</v>
      </c>
      <c r="D687" s="8" t="s">
        <v>19</v>
      </c>
      <c r="E687" s="5">
        <f>'[6]Income Statement'!$AR$6</f>
        <v>16400.421999999999</v>
      </c>
      <c r="F687" s="4" t="str">
        <f t="shared" si="58"/>
        <v>Actual</v>
      </c>
    </row>
    <row r="688" spans="1:6" x14ac:dyDescent="0.3">
      <c r="A688" s="3" t="s">
        <v>49</v>
      </c>
      <c r="B688" s="6" t="s">
        <v>55</v>
      </c>
      <c r="C688" s="4" t="s">
        <v>14</v>
      </c>
      <c r="D688" s="8" t="s">
        <v>20</v>
      </c>
      <c r="E688" s="5">
        <f>'[6]Income Statement'!$AS$6</f>
        <v>20602.596000000001</v>
      </c>
      <c r="F688" s="4" t="str">
        <f t="shared" si="58"/>
        <v>Actual</v>
      </c>
    </row>
    <row r="689" spans="1:6" x14ac:dyDescent="0.3">
      <c r="A689" s="3" t="s">
        <v>49</v>
      </c>
      <c r="B689" s="6" t="s">
        <v>55</v>
      </c>
      <c r="C689" s="4" t="s">
        <v>14</v>
      </c>
      <c r="D689" s="8" t="s">
        <v>21</v>
      </c>
      <c r="E689" s="5">
        <f>'[6]Income Statement Forecast'!$AX$6</f>
        <v>24911.40976590187</v>
      </c>
      <c r="F689" s="4" t="str">
        <f t="shared" si="58"/>
        <v>Forecast</v>
      </c>
    </row>
    <row r="690" spans="1:6" x14ac:dyDescent="0.3">
      <c r="A690" s="3" t="s">
        <v>49</v>
      </c>
      <c r="B690" s="6" t="s">
        <v>55</v>
      </c>
      <c r="C690" s="4" t="s">
        <v>14</v>
      </c>
      <c r="D690" s="8" t="s">
        <v>22</v>
      </c>
      <c r="E690" s="5">
        <f>'[6]Income Statement Forecast'!$AY$6</f>
        <v>30121.377810395818</v>
      </c>
      <c r="F690" s="4" t="str">
        <f t="shared" si="58"/>
        <v>Forecast</v>
      </c>
    </row>
    <row r="691" spans="1:6" x14ac:dyDescent="0.3">
      <c r="A691" s="3" t="s">
        <v>49</v>
      </c>
      <c r="B691" s="6" t="s">
        <v>55</v>
      </c>
      <c r="C691" s="4" t="s">
        <v>14</v>
      </c>
      <c r="D691" s="8" t="s">
        <v>23</v>
      </c>
      <c r="E691" s="5">
        <f>'[6]Income Statement Forecast'!$AZ$6</f>
        <v>36420.971980128292</v>
      </c>
      <c r="F691" s="4" t="str">
        <f t="shared" si="58"/>
        <v>Forecast</v>
      </c>
    </row>
    <row r="692" spans="1:6" x14ac:dyDescent="0.3">
      <c r="A692" s="3" t="s">
        <v>49</v>
      </c>
      <c r="B692" s="6" t="s">
        <v>55</v>
      </c>
      <c r="C692" s="4" t="s">
        <v>14</v>
      </c>
      <c r="D692" s="8" t="s">
        <v>24</v>
      </c>
      <c r="E692" s="5">
        <f>'[6]Income Statement Forecast'!$BA$6</f>
        <v>44038.082614020277</v>
      </c>
      <c r="F692" s="4" t="str">
        <f t="shared" si="58"/>
        <v>Forecast</v>
      </c>
    </row>
    <row r="693" spans="1:6" x14ac:dyDescent="0.3">
      <c r="A693" s="3" t="s">
        <v>49</v>
      </c>
      <c r="B693" s="6" t="s">
        <v>55</v>
      </c>
      <c r="C693" s="4" t="s">
        <v>14</v>
      </c>
      <c r="D693" s="8" t="s">
        <v>25</v>
      </c>
      <c r="E693" s="5">
        <f>'[6]Income Statement Forecast'!$BB$6</f>
        <v>53248.262961324101</v>
      </c>
      <c r="F693" s="4" t="str">
        <f t="shared" si="58"/>
        <v>Forecast</v>
      </c>
    </row>
    <row r="694" spans="1:6" x14ac:dyDescent="0.3">
      <c r="A694" s="3" t="s">
        <v>49</v>
      </c>
      <c r="B694" s="6" t="s">
        <v>55</v>
      </c>
      <c r="C694" s="4" t="s">
        <v>14</v>
      </c>
      <c r="D694" s="8" t="s">
        <v>26</v>
      </c>
      <c r="E694" s="5">
        <f>'[6]Income Statement Forecast'!$BC$6</f>
        <v>64384.697955064534</v>
      </c>
      <c r="F694" s="4" t="str">
        <f t="shared" si="58"/>
        <v>Forecast</v>
      </c>
    </row>
    <row r="695" spans="1:6" x14ac:dyDescent="0.3">
      <c r="A695" s="3" t="s">
        <v>49</v>
      </c>
      <c r="B695" s="6" t="s">
        <v>50</v>
      </c>
      <c r="C695" s="4" t="s">
        <v>56</v>
      </c>
      <c r="D695" s="8" t="s">
        <v>16</v>
      </c>
      <c r="E695" s="5">
        <f>'[6]Income Statement'!$B$21</f>
        <v>1300.9800000000041</v>
      </c>
      <c r="F695" s="4" t="str">
        <f>IF(VALUE(D695)&gt;2025,"Forecast","Actual")</f>
        <v>Actual</v>
      </c>
    </row>
    <row r="696" spans="1:6" x14ac:dyDescent="0.3">
      <c r="A696" s="3" t="s">
        <v>49</v>
      </c>
      <c r="B696" s="6" t="s">
        <v>50</v>
      </c>
      <c r="C696" s="4" t="s">
        <v>56</v>
      </c>
      <c r="D696" s="8" t="s">
        <v>17</v>
      </c>
      <c r="E696" s="5">
        <f>'[6]Income Statement'!$C$21</f>
        <v>1099.4300000000007</v>
      </c>
      <c r="F696" s="4" t="str">
        <f t="shared" ref="F696:F705" si="59">IF(VALUE(D696)&gt;2025,"Forecast","Actual")</f>
        <v>Actual</v>
      </c>
    </row>
    <row r="697" spans="1:6" x14ac:dyDescent="0.3">
      <c r="A697" s="3" t="s">
        <v>49</v>
      </c>
      <c r="B697" s="6" t="s">
        <v>50</v>
      </c>
      <c r="C697" s="4" t="s">
        <v>56</v>
      </c>
      <c r="D697" s="8" t="s">
        <v>18</v>
      </c>
      <c r="E697" s="5">
        <f>'[6]Income Statement'!$D$21</f>
        <v>1492.4000000000026</v>
      </c>
      <c r="F697" s="4" t="str">
        <f t="shared" si="59"/>
        <v>Actual</v>
      </c>
    </row>
    <row r="698" spans="1:6" x14ac:dyDescent="0.3">
      <c r="A698" s="3" t="s">
        <v>49</v>
      </c>
      <c r="B698" s="6" t="s">
        <v>50</v>
      </c>
      <c r="C698" s="4" t="s">
        <v>56</v>
      </c>
      <c r="D698" s="8" t="s">
        <v>19</v>
      </c>
      <c r="E698" s="5">
        <f>'[6]Income Statement'!$E$21</f>
        <v>2378.3399999999892</v>
      </c>
      <c r="F698" s="4" t="str">
        <f t="shared" si="59"/>
        <v>Actual</v>
      </c>
    </row>
    <row r="699" spans="1:6" x14ac:dyDescent="0.3">
      <c r="A699" s="3" t="s">
        <v>49</v>
      </c>
      <c r="B699" s="6" t="s">
        <v>50</v>
      </c>
      <c r="C699" s="4" t="s">
        <v>56</v>
      </c>
      <c r="D699" s="8" t="s">
        <v>20</v>
      </c>
      <c r="E699" s="5">
        <f>'[6]Income Statement'!$F$21</f>
        <v>2535.6099999999942</v>
      </c>
      <c r="F699" s="4" t="str">
        <f t="shared" si="59"/>
        <v>Actual</v>
      </c>
    </row>
    <row r="700" spans="1:6" x14ac:dyDescent="0.3">
      <c r="A700" s="3" t="s">
        <v>49</v>
      </c>
      <c r="B700" s="6" t="s">
        <v>50</v>
      </c>
      <c r="C700" s="4" t="s">
        <v>56</v>
      </c>
      <c r="D700" s="8" t="s">
        <v>21</v>
      </c>
      <c r="E700" s="5">
        <f>'[6]Income Statement'!$G$21</f>
        <v>2707.449999999998</v>
      </c>
      <c r="F700" s="4" t="str">
        <f t="shared" si="59"/>
        <v>Actual</v>
      </c>
    </row>
    <row r="701" spans="1:6" x14ac:dyDescent="0.3">
      <c r="A701" s="3" t="s">
        <v>49</v>
      </c>
      <c r="B701" s="6" t="s">
        <v>50</v>
      </c>
      <c r="C701" s="4" t="s">
        <v>56</v>
      </c>
      <c r="D701" s="8" t="s">
        <v>22</v>
      </c>
      <c r="E701" s="5">
        <f>'[6]Income Statement Forecast'!$D$18</f>
        <v>2632.8514078304079</v>
      </c>
      <c r="F701" s="4" t="str">
        <f t="shared" si="59"/>
        <v>Forecast</v>
      </c>
    </row>
    <row r="702" spans="1:6" x14ac:dyDescent="0.3">
      <c r="A702" s="3" t="s">
        <v>49</v>
      </c>
      <c r="B702" s="6" t="s">
        <v>50</v>
      </c>
      <c r="C702" s="4" t="s">
        <v>56</v>
      </c>
      <c r="D702" s="8" t="s">
        <v>23</v>
      </c>
      <c r="E702" s="5">
        <f>'[6]Income Statement Forecast'!$E$18</f>
        <v>2965.0561592331183</v>
      </c>
      <c r="F702" s="4" t="str">
        <f t="shared" si="59"/>
        <v>Forecast</v>
      </c>
    </row>
    <row r="703" spans="1:6" x14ac:dyDescent="0.3">
      <c r="A703" s="3" t="s">
        <v>49</v>
      </c>
      <c r="B703" s="6" t="s">
        <v>50</v>
      </c>
      <c r="C703" s="4" t="s">
        <v>56</v>
      </c>
      <c r="D703" s="8" t="s">
        <v>24</v>
      </c>
      <c r="E703" s="5">
        <f>'[6]Income Statement Forecast'!$F$18</f>
        <v>3350.9216849407585</v>
      </c>
      <c r="F703" s="4" t="str">
        <f t="shared" si="59"/>
        <v>Forecast</v>
      </c>
    </row>
    <row r="704" spans="1:6" x14ac:dyDescent="0.3">
      <c r="A704" s="3" t="s">
        <v>49</v>
      </c>
      <c r="B704" s="6" t="s">
        <v>50</v>
      </c>
      <c r="C704" s="4" t="s">
        <v>56</v>
      </c>
      <c r="D704" s="8" t="s">
        <v>25</v>
      </c>
      <c r="E704" s="5">
        <f>'[6]Income Statement Forecast'!$G$18</f>
        <v>3798.1351010950484</v>
      </c>
      <c r="F704" s="4" t="str">
        <f t="shared" si="59"/>
        <v>Forecast</v>
      </c>
    </row>
    <row r="705" spans="1:6" x14ac:dyDescent="0.3">
      <c r="A705" s="3" t="s">
        <v>49</v>
      </c>
      <c r="B705" s="6" t="s">
        <v>50</v>
      </c>
      <c r="C705" s="4" t="s">
        <v>56</v>
      </c>
      <c r="D705" s="8" t="s">
        <v>26</v>
      </c>
      <c r="E705" s="5">
        <f>'[6]Income Statement Forecast'!$H$18</f>
        <v>4315.5328542022826</v>
      </c>
      <c r="F705" s="4" t="str">
        <f t="shared" si="59"/>
        <v>Forecast</v>
      </c>
    </row>
    <row r="706" spans="1:6" x14ac:dyDescent="0.3">
      <c r="A706" s="3" t="s">
        <v>49</v>
      </c>
      <c r="B706" s="6" t="s">
        <v>51</v>
      </c>
      <c r="C706" s="4" t="s">
        <v>56</v>
      </c>
      <c r="D706" s="8" t="s">
        <v>16</v>
      </c>
      <c r="E706" s="5">
        <f>'[6]Income Statement'!$J$27</f>
        <v>6756</v>
      </c>
      <c r="F706" s="4" t="str">
        <f>IF(VALUE(D706)&gt;2024,"Forecast","Actual")</f>
        <v>Actual</v>
      </c>
    </row>
    <row r="707" spans="1:6" x14ac:dyDescent="0.3">
      <c r="A707" s="3" t="s">
        <v>49</v>
      </c>
      <c r="B707" s="6" t="s">
        <v>51</v>
      </c>
      <c r="C707" s="4" t="s">
        <v>56</v>
      </c>
      <c r="D707" s="8" t="s">
        <v>17</v>
      </c>
      <c r="E707" s="5">
        <f>'[6]Income Statement'!$K$27</f>
        <v>7999</v>
      </c>
      <c r="F707" s="4" t="str">
        <f t="shared" ref="F707:F716" si="60">IF(VALUE(D707)&gt;2024,"Forecast","Actual")</f>
        <v>Actual</v>
      </c>
    </row>
    <row r="708" spans="1:6" x14ac:dyDescent="0.3">
      <c r="A708" s="3" t="s">
        <v>49</v>
      </c>
      <c r="B708" s="6" t="s">
        <v>51</v>
      </c>
      <c r="C708" s="4" t="s">
        <v>56</v>
      </c>
      <c r="D708" s="8" t="s">
        <v>18</v>
      </c>
      <c r="E708" s="5">
        <f>'[6]Income Statement'!$L$27</f>
        <v>8892</v>
      </c>
      <c r="F708" s="4" t="str">
        <f t="shared" si="60"/>
        <v>Actual</v>
      </c>
    </row>
    <row r="709" spans="1:6" x14ac:dyDescent="0.3">
      <c r="A709" s="3" t="s">
        <v>49</v>
      </c>
      <c r="B709" s="6" t="s">
        <v>51</v>
      </c>
      <c r="C709" s="4" t="s">
        <v>56</v>
      </c>
      <c r="D709" s="8" t="s">
        <v>19</v>
      </c>
      <c r="E709" s="5">
        <f>'[6]Income Statement'!$M$27</f>
        <v>10143</v>
      </c>
      <c r="F709" s="4" t="str">
        <f t="shared" si="60"/>
        <v>Actual</v>
      </c>
    </row>
    <row r="710" spans="1:6" x14ac:dyDescent="0.3">
      <c r="A710" s="3" t="s">
        <v>49</v>
      </c>
      <c r="B710" s="6" t="s">
        <v>51</v>
      </c>
      <c r="C710" s="4" t="s">
        <v>56</v>
      </c>
      <c r="D710" s="8" t="s">
        <v>20</v>
      </c>
      <c r="E710" s="5">
        <f>'[6]Income Statement'!$N$27</f>
        <v>10282</v>
      </c>
      <c r="F710" s="4" t="str">
        <f t="shared" si="60"/>
        <v>Actual</v>
      </c>
    </row>
    <row r="711" spans="1:6" x14ac:dyDescent="0.3">
      <c r="A711" s="3" t="s">
        <v>49</v>
      </c>
      <c r="B711" s="6" t="s">
        <v>51</v>
      </c>
      <c r="C711" s="4" t="s">
        <v>56</v>
      </c>
      <c r="D711" s="8" t="s">
        <v>21</v>
      </c>
      <c r="E711" s="5">
        <f>'[6]Income Statement Forecast'!$M$18</f>
        <v>14602.832648797412</v>
      </c>
      <c r="F711" s="4" t="str">
        <f t="shared" si="60"/>
        <v>Forecast</v>
      </c>
    </row>
    <row r="712" spans="1:6" x14ac:dyDescent="0.3">
      <c r="A712" s="3" t="s">
        <v>49</v>
      </c>
      <c r="B712" s="6" t="s">
        <v>51</v>
      </c>
      <c r="C712" s="4" t="s">
        <v>56</v>
      </c>
      <c r="D712" s="8" t="s">
        <v>22</v>
      </c>
      <c r="E712" s="5">
        <f>'[6]Income Statement Forecast'!$N$18</f>
        <v>11942.974649995596</v>
      </c>
      <c r="F712" s="4" t="str">
        <f t="shared" si="60"/>
        <v>Forecast</v>
      </c>
    </row>
    <row r="713" spans="1:6" x14ac:dyDescent="0.3">
      <c r="A713" s="3" t="s">
        <v>49</v>
      </c>
      <c r="B713" s="6" t="s">
        <v>51</v>
      </c>
      <c r="C713" s="4" t="s">
        <v>56</v>
      </c>
      <c r="D713" s="8" t="s">
        <v>23</v>
      </c>
      <c r="E713" s="5">
        <f>'[6]Income Statement Forecast'!$O$18</f>
        <v>13021.884239470137</v>
      </c>
      <c r="F713" s="4" t="str">
        <f t="shared" si="60"/>
        <v>Forecast</v>
      </c>
    </row>
    <row r="714" spans="1:6" x14ac:dyDescent="0.3">
      <c r="A714" s="3" t="s">
        <v>49</v>
      </c>
      <c r="B714" s="6" t="s">
        <v>51</v>
      </c>
      <c r="C714" s="4" t="s">
        <v>56</v>
      </c>
      <c r="D714" s="8" t="s">
        <v>24</v>
      </c>
      <c r="E714" s="5">
        <f>'[6]Income Statement Forecast'!$P$18</f>
        <v>14169.150201183322</v>
      </c>
      <c r="F714" s="4" t="str">
        <f t="shared" si="60"/>
        <v>Forecast</v>
      </c>
    </row>
    <row r="715" spans="1:6" x14ac:dyDescent="0.3">
      <c r="A715" s="3" t="s">
        <v>49</v>
      </c>
      <c r="B715" s="6" t="s">
        <v>51</v>
      </c>
      <c r="C715" s="4" t="s">
        <v>56</v>
      </c>
      <c r="D715" s="8" t="s">
        <v>25</v>
      </c>
      <c r="E715" s="5">
        <f>'[6]Income Statement Forecast'!$Q$18</f>
        <v>15393.52767704432</v>
      </c>
      <c r="F715" s="4" t="str">
        <f t="shared" si="60"/>
        <v>Forecast</v>
      </c>
    </row>
    <row r="716" spans="1:6" x14ac:dyDescent="0.3">
      <c r="A716" s="3" t="s">
        <v>49</v>
      </c>
      <c r="B716" s="6" t="s">
        <v>51</v>
      </c>
      <c r="C716" s="4" t="s">
        <v>56</v>
      </c>
      <c r="D716" s="8" t="s">
        <v>26</v>
      </c>
      <c r="E716" s="5">
        <f>'[6]Income Statement Forecast'!$R$18</f>
        <v>16703.753341066884</v>
      </c>
      <c r="F716" s="4" t="str">
        <f t="shared" si="60"/>
        <v>Forecast</v>
      </c>
    </row>
    <row r="717" spans="1:6" x14ac:dyDescent="0.3">
      <c r="A717" s="3" t="s">
        <v>49</v>
      </c>
      <c r="B717" s="6" t="s">
        <v>52</v>
      </c>
      <c r="C717" s="4" t="s">
        <v>56</v>
      </c>
      <c r="D717" s="8" t="s">
        <v>16</v>
      </c>
      <c r="E717" s="5">
        <f>'[6]Income Statement'!$Q$30</f>
        <v>15592.779999999999</v>
      </c>
      <c r="F717" s="4" t="str">
        <f>IF(VALUE(D717)&gt;2025,"Forecast","Actual")</f>
        <v>Actual</v>
      </c>
    </row>
    <row r="718" spans="1:6" x14ac:dyDescent="0.3">
      <c r="A718" s="3" t="s">
        <v>49</v>
      </c>
      <c r="B718" s="6" t="s">
        <v>52</v>
      </c>
      <c r="C718" s="4" t="s">
        <v>56</v>
      </c>
      <c r="D718" s="8" t="s">
        <v>17</v>
      </c>
      <c r="E718" s="5">
        <f>'[6]Income Statement'!$R$30</f>
        <v>13382.879999999997</v>
      </c>
      <c r="F718" s="4" t="str">
        <f t="shared" ref="F718:F727" si="61">IF(VALUE(D718)&gt;2025,"Forecast","Actual")</f>
        <v>Actual</v>
      </c>
    </row>
    <row r="719" spans="1:6" x14ac:dyDescent="0.3">
      <c r="A719" s="3" t="s">
        <v>49</v>
      </c>
      <c r="B719" s="6" t="s">
        <v>52</v>
      </c>
      <c r="C719" s="4" t="s">
        <v>56</v>
      </c>
      <c r="D719" s="8" t="s">
        <v>18</v>
      </c>
      <c r="E719" s="5">
        <f>'[6]Income Statement'!$S$30</f>
        <v>15503.129999999997</v>
      </c>
      <c r="F719" s="4" t="str">
        <f t="shared" si="61"/>
        <v>Actual</v>
      </c>
    </row>
    <row r="720" spans="1:6" x14ac:dyDescent="0.3">
      <c r="A720" s="3" t="s">
        <v>49</v>
      </c>
      <c r="B720" s="6" t="s">
        <v>52</v>
      </c>
      <c r="C720" s="4" t="s">
        <v>56</v>
      </c>
      <c r="D720" s="8" t="s">
        <v>19</v>
      </c>
      <c r="E720" s="5">
        <f>'[6]Income Statement'!$T$30</f>
        <v>19476.720000000016</v>
      </c>
      <c r="F720" s="4" t="str">
        <f t="shared" si="61"/>
        <v>Actual</v>
      </c>
    </row>
    <row r="721" spans="1:6" x14ac:dyDescent="0.3">
      <c r="A721" s="3" t="s">
        <v>49</v>
      </c>
      <c r="B721" s="6" t="s">
        <v>52</v>
      </c>
      <c r="C721" s="4" t="s">
        <v>56</v>
      </c>
      <c r="D721" s="8" t="s">
        <v>20</v>
      </c>
      <c r="E721" s="5">
        <f>'[6]Income Statement'!$U$30</f>
        <v>20751.359999999993</v>
      </c>
      <c r="F721" s="4" t="str">
        <f t="shared" si="61"/>
        <v>Actual</v>
      </c>
    </row>
    <row r="722" spans="1:6" x14ac:dyDescent="0.3">
      <c r="A722" s="3" t="s">
        <v>49</v>
      </c>
      <c r="B722" s="6" t="s">
        <v>52</v>
      </c>
      <c r="C722" s="4" t="s">
        <v>56</v>
      </c>
      <c r="D722" s="8" t="s">
        <v>21</v>
      </c>
      <c r="E722" s="5">
        <f>'[6]Income Statement'!$V$30</f>
        <v>35052.480000000003</v>
      </c>
      <c r="F722" s="4" t="str">
        <f t="shared" si="61"/>
        <v>Actual</v>
      </c>
    </row>
    <row r="723" spans="1:6" x14ac:dyDescent="0.3">
      <c r="A723" s="3" t="s">
        <v>49</v>
      </c>
      <c r="B723" s="6" t="s">
        <v>52</v>
      </c>
      <c r="C723" s="4" t="s">
        <v>56</v>
      </c>
      <c r="D723" s="8" t="s">
        <v>22</v>
      </c>
      <c r="E723" s="5">
        <f>'[6]Income Statement Forecast'!$W$18</f>
        <v>30948.524159080207</v>
      </c>
      <c r="F723" s="4" t="str">
        <f t="shared" si="61"/>
        <v>Forecast</v>
      </c>
    </row>
    <row r="724" spans="1:6" x14ac:dyDescent="0.3">
      <c r="A724" s="3" t="s">
        <v>49</v>
      </c>
      <c r="B724" s="6" t="s">
        <v>52</v>
      </c>
      <c r="C724" s="4" t="s">
        <v>56</v>
      </c>
      <c r="D724" s="8" t="s">
        <v>23</v>
      </c>
      <c r="E724" s="5">
        <f>'[6]Income Statement Forecast'!$X$18</f>
        <v>25159.06259820464</v>
      </c>
      <c r="F724" s="4" t="str">
        <f t="shared" si="61"/>
        <v>Forecast</v>
      </c>
    </row>
    <row r="725" spans="1:6" x14ac:dyDescent="0.3">
      <c r="A725" s="3" t="s">
        <v>49</v>
      </c>
      <c r="B725" s="6" t="s">
        <v>52</v>
      </c>
      <c r="C725" s="4" t="s">
        <v>56</v>
      </c>
      <c r="D725" s="8" t="s">
        <v>24</v>
      </c>
      <c r="E725" s="5">
        <f>'[6]Income Statement Forecast'!$Y$18</f>
        <v>27092.186879449051</v>
      </c>
      <c r="F725" s="4" t="str">
        <f t="shared" si="61"/>
        <v>Forecast</v>
      </c>
    </row>
    <row r="726" spans="1:6" x14ac:dyDescent="0.3">
      <c r="A726" s="3" t="s">
        <v>49</v>
      </c>
      <c r="B726" s="6" t="s">
        <v>52</v>
      </c>
      <c r="C726" s="4" t="s">
        <v>56</v>
      </c>
      <c r="D726" s="8" t="s">
        <v>25</v>
      </c>
      <c r="E726" s="5">
        <f>'[6]Income Statement Forecast'!$Z$18</f>
        <v>29183.086379645669</v>
      </c>
      <c r="F726" s="4" t="str">
        <f t="shared" si="61"/>
        <v>Forecast</v>
      </c>
    </row>
    <row r="727" spans="1:6" x14ac:dyDescent="0.3">
      <c r="A727" s="3" t="s">
        <v>49</v>
      </c>
      <c r="B727" s="6" t="s">
        <v>52</v>
      </c>
      <c r="C727" s="4" t="s">
        <v>56</v>
      </c>
      <c r="D727" s="8" t="s">
        <v>26</v>
      </c>
      <c r="E727" s="5">
        <f>'[6]Income Statement Forecast'!$AA$18</f>
        <v>31444.18058496009</v>
      </c>
      <c r="F727" s="4" t="str">
        <f t="shared" si="61"/>
        <v>Forecast</v>
      </c>
    </row>
    <row r="728" spans="1:6" x14ac:dyDescent="0.3">
      <c r="A728" s="3" t="s">
        <v>49</v>
      </c>
      <c r="B728" s="6" t="s">
        <v>53</v>
      </c>
      <c r="C728" s="4" t="s">
        <v>56</v>
      </c>
      <c r="D728" s="8" t="s">
        <v>16</v>
      </c>
      <c r="E728" s="5">
        <f>'[6]Income Statement'!$Y$28</f>
        <v>1493</v>
      </c>
      <c r="F728" s="4" t="str">
        <f>IF(VALUE(D728)&gt;2025,"Forecast","Actual")</f>
        <v>Actual</v>
      </c>
    </row>
    <row r="729" spans="1:6" x14ac:dyDescent="0.3">
      <c r="A729" s="3" t="s">
        <v>49</v>
      </c>
      <c r="B729" s="6" t="s">
        <v>53</v>
      </c>
      <c r="C729" s="4" t="s">
        <v>56</v>
      </c>
      <c r="D729" s="8" t="s">
        <v>17</v>
      </c>
      <c r="E729" s="5">
        <f>'[6]Income Statement'!$Z$28</f>
        <v>974</v>
      </c>
      <c r="F729" s="4" t="str">
        <f t="shared" ref="F729:F738" si="62">IF(VALUE(D729)&gt;2025,"Forecast","Actual")</f>
        <v>Actual</v>
      </c>
    </row>
    <row r="730" spans="1:6" x14ac:dyDescent="0.3">
      <c r="A730" s="3" t="s">
        <v>49</v>
      </c>
      <c r="B730" s="6" t="s">
        <v>53</v>
      </c>
      <c r="C730" s="4" t="s">
        <v>56</v>
      </c>
      <c r="D730" s="8" t="s">
        <v>18</v>
      </c>
      <c r="E730" s="5">
        <f>'[6]Income Statement'!$AA$28</f>
        <v>2198</v>
      </c>
      <c r="F730" s="4" t="str">
        <f t="shared" si="62"/>
        <v>Actual</v>
      </c>
    </row>
    <row r="731" spans="1:6" x14ac:dyDescent="0.3">
      <c r="A731" s="3" t="s">
        <v>49</v>
      </c>
      <c r="B731" s="6" t="s">
        <v>53</v>
      </c>
      <c r="C731" s="4" t="s">
        <v>56</v>
      </c>
      <c r="D731" s="8" t="s">
        <v>19</v>
      </c>
      <c r="E731" s="5">
        <f>'[6]Income Statement'!$AB$28</f>
        <v>3274</v>
      </c>
      <c r="F731" s="4" t="str">
        <f t="shared" si="62"/>
        <v>Actual</v>
      </c>
    </row>
    <row r="732" spans="1:6" x14ac:dyDescent="0.3">
      <c r="A732" s="3" t="s">
        <v>49</v>
      </c>
      <c r="B732" s="6" t="s">
        <v>53</v>
      </c>
      <c r="C732" s="4" t="s">
        <v>56</v>
      </c>
      <c r="D732" s="8" t="s">
        <v>20</v>
      </c>
      <c r="E732" s="5">
        <f>'[6]Income Statement'!$AC$28</f>
        <v>3496</v>
      </c>
      <c r="F732" s="4" t="str">
        <f t="shared" si="62"/>
        <v>Actual</v>
      </c>
    </row>
    <row r="733" spans="1:6" x14ac:dyDescent="0.3">
      <c r="A733" s="3" t="s">
        <v>49</v>
      </c>
      <c r="B733" s="6" t="s">
        <v>53</v>
      </c>
      <c r="C733" s="4" t="s">
        <v>56</v>
      </c>
      <c r="D733" s="8" t="s">
        <v>21</v>
      </c>
      <c r="E733" s="5">
        <f>'[6]Income Statement'!$AD$28</f>
        <v>3337</v>
      </c>
      <c r="F733" s="4" t="str">
        <f t="shared" si="62"/>
        <v>Actual</v>
      </c>
    </row>
    <row r="734" spans="1:6" x14ac:dyDescent="0.3">
      <c r="A734" s="3" t="s">
        <v>49</v>
      </c>
      <c r="B734" s="6" t="s">
        <v>53</v>
      </c>
      <c r="C734" s="4" t="s">
        <v>56</v>
      </c>
      <c r="D734" s="8" t="s">
        <v>22</v>
      </c>
      <c r="E734" s="5">
        <f>'[6]Income Statement Forecast'!$AF$18</f>
        <v>5173.7367941589082</v>
      </c>
      <c r="F734" s="4" t="str">
        <f t="shared" si="62"/>
        <v>Forecast</v>
      </c>
    </row>
    <row r="735" spans="1:6" x14ac:dyDescent="0.3">
      <c r="A735" s="3" t="s">
        <v>49</v>
      </c>
      <c r="B735" s="6" t="s">
        <v>53</v>
      </c>
      <c r="C735" s="4" t="s">
        <v>56</v>
      </c>
      <c r="D735" s="8" t="s">
        <v>23</v>
      </c>
      <c r="E735" s="5">
        <f>'[6]Income Statement Forecast'!$AG$18</f>
        <v>6215.2794681760861</v>
      </c>
      <c r="F735" s="4" t="str">
        <f t="shared" si="62"/>
        <v>Forecast</v>
      </c>
    </row>
    <row r="736" spans="1:6" x14ac:dyDescent="0.3">
      <c r="A736" s="3" t="s">
        <v>49</v>
      </c>
      <c r="B736" s="6" t="s">
        <v>53</v>
      </c>
      <c r="C736" s="4" t="s">
        <v>56</v>
      </c>
      <c r="D736" s="8" t="s">
        <v>24</v>
      </c>
      <c r="E736" s="5">
        <f>'[6]Income Statement Forecast'!$AH$18</f>
        <v>7442.2486463629821</v>
      </c>
      <c r="F736" s="4" t="str">
        <f t="shared" si="62"/>
        <v>Forecast</v>
      </c>
    </row>
    <row r="737" spans="1:6" x14ac:dyDescent="0.3">
      <c r="A737" s="3" t="s">
        <v>49</v>
      </c>
      <c r="B737" s="6" t="s">
        <v>53</v>
      </c>
      <c r="C737" s="4" t="s">
        <v>56</v>
      </c>
      <c r="D737" s="8" t="s">
        <v>25</v>
      </c>
      <c r="E737" s="5">
        <f>'[6]Income Statement Forecast'!$AI$18</f>
        <v>8895.1785998287032</v>
      </c>
      <c r="F737" s="4" t="str">
        <f t="shared" si="62"/>
        <v>Forecast</v>
      </c>
    </row>
    <row r="738" spans="1:6" x14ac:dyDescent="0.3">
      <c r="A738" s="3" t="s">
        <v>49</v>
      </c>
      <c r="B738" s="6" t="s">
        <v>53</v>
      </c>
      <c r="C738" s="4" t="s">
        <v>56</v>
      </c>
      <c r="D738" s="8" t="s">
        <v>26</v>
      </c>
      <c r="E738" s="5">
        <f>'[6]Income Statement Forecast'!$AJ$18</f>
        <v>10620.830567815176</v>
      </c>
      <c r="F738" s="4" t="str">
        <f t="shared" si="62"/>
        <v>Forecast</v>
      </c>
    </row>
    <row r="739" spans="1:6" x14ac:dyDescent="0.3">
      <c r="A739" s="3" t="s">
        <v>49</v>
      </c>
      <c r="B739" s="6" t="s">
        <v>54</v>
      </c>
      <c r="C739" s="4" t="s">
        <v>56</v>
      </c>
      <c r="D739" s="8" t="s">
        <v>16</v>
      </c>
      <c r="E739" s="5">
        <f>'[6]Income Statement'!$AG$25</f>
        <v>105.97999999999961</v>
      </c>
      <c r="F739" s="4" t="str">
        <f>IF(VALUE(D739)&gt;2025,"Forecast","Actual")</f>
        <v>Actual</v>
      </c>
    </row>
    <row r="740" spans="1:6" x14ac:dyDescent="0.3">
      <c r="A740" s="3" t="s">
        <v>49</v>
      </c>
      <c r="B740" s="6" t="s">
        <v>54</v>
      </c>
      <c r="C740" s="4" t="s">
        <v>56</v>
      </c>
      <c r="D740" s="8" t="s">
        <v>17</v>
      </c>
      <c r="E740" s="5">
        <f>'[6]Income Statement'!$AH$25</f>
        <v>-181.13000000000028</v>
      </c>
      <c r="F740" s="4" t="str">
        <f t="shared" ref="F740:F749" si="63">IF(VALUE(D740)&gt;2025,"Forecast","Actual")</f>
        <v>Actual</v>
      </c>
    </row>
    <row r="741" spans="1:6" x14ac:dyDescent="0.3">
      <c r="A741" s="3" t="s">
        <v>49</v>
      </c>
      <c r="B741" s="6" t="s">
        <v>54</v>
      </c>
      <c r="C741" s="4" t="s">
        <v>56</v>
      </c>
      <c r="D741" s="8" t="s">
        <v>18</v>
      </c>
      <c r="E741" s="5">
        <f>'[6]Income Statement'!$AI$25</f>
        <v>34.600000000000435</v>
      </c>
      <c r="F741" s="4" t="str">
        <f t="shared" si="63"/>
        <v>Actual</v>
      </c>
    </row>
    <row r="742" spans="1:6" x14ac:dyDescent="0.3">
      <c r="A742" s="3" t="s">
        <v>49</v>
      </c>
      <c r="B742" s="6" t="s">
        <v>54</v>
      </c>
      <c r="C742" s="4" t="s">
        <v>56</v>
      </c>
      <c r="D742" s="8" t="s">
        <v>19</v>
      </c>
      <c r="E742" s="5">
        <f>'[6]Income Statement'!$AJ$25</f>
        <v>393.6900000000017</v>
      </c>
      <c r="F742" s="4" t="str">
        <f t="shared" si="63"/>
        <v>Actual</v>
      </c>
    </row>
    <row r="743" spans="1:6" x14ac:dyDescent="0.3">
      <c r="A743" s="3" t="s">
        <v>49</v>
      </c>
      <c r="B743" s="6" t="s">
        <v>54</v>
      </c>
      <c r="C743" s="4" t="s">
        <v>56</v>
      </c>
      <c r="D743" s="8" t="s">
        <v>20</v>
      </c>
      <c r="E743" s="5">
        <f>'[6]Income Statement'!$AK$25</f>
        <v>1477.3899999999987</v>
      </c>
      <c r="F743" s="4" t="str">
        <f t="shared" si="63"/>
        <v>Actual</v>
      </c>
    </row>
    <row r="744" spans="1:6" x14ac:dyDescent="0.3">
      <c r="A744" s="3" t="s">
        <v>49</v>
      </c>
      <c r="B744" s="6" t="s">
        <v>54</v>
      </c>
      <c r="C744" s="4" t="s">
        <v>56</v>
      </c>
      <c r="D744" s="8" t="s">
        <v>21</v>
      </c>
      <c r="E744" s="5">
        <f>'[6]Income Statement'!$AL$25</f>
        <v>1534.4100000000017</v>
      </c>
      <c r="F744" s="4" t="str">
        <f t="shared" si="63"/>
        <v>Actual</v>
      </c>
    </row>
    <row r="745" spans="1:6" x14ac:dyDescent="0.3">
      <c r="A745" s="3" t="s">
        <v>49</v>
      </c>
      <c r="B745" s="6" t="s">
        <v>54</v>
      </c>
      <c r="C745" s="4" t="s">
        <v>56</v>
      </c>
      <c r="D745" s="8" t="s">
        <v>22</v>
      </c>
      <c r="E745" s="5">
        <f>'[6]Income Statement Forecast'!$AO$18</f>
        <v>1477.9383905970849</v>
      </c>
      <c r="F745" s="4" t="str">
        <f t="shared" si="63"/>
        <v>Forecast</v>
      </c>
    </row>
    <row r="746" spans="1:6" x14ac:dyDescent="0.3">
      <c r="A746" s="3" t="s">
        <v>49</v>
      </c>
      <c r="B746" s="6" t="s">
        <v>54</v>
      </c>
      <c r="C746" s="4" t="s">
        <v>56</v>
      </c>
      <c r="D746" s="8" t="s">
        <v>23</v>
      </c>
      <c r="E746" s="5">
        <f>'[6]Income Statement Forecast'!$AP$18</f>
        <v>2039.1123445042776</v>
      </c>
      <c r="F746" s="4" t="str">
        <f t="shared" si="63"/>
        <v>Forecast</v>
      </c>
    </row>
    <row r="747" spans="1:6" x14ac:dyDescent="0.3">
      <c r="A747" s="3" t="s">
        <v>49</v>
      </c>
      <c r="B747" s="6" t="s">
        <v>54</v>
      </c>
      <c r="C747" s="4" t="s">
        <v>56</v>
      </c>
      <c r="D747" s="8" t="s">
        <v>24</v>
      </c>
      <c r="E747" s="5">
        <f>'[6]Income Statement Forecast'!$AQ$18</f>
        <v>2716.9239302327505</v>
      </c>
      <c r="F747" s="4" t="str">
        <f t="shared" si="63"/>
        <v>Forecast</v>
      </c>
    </row>
    <row r="748" spans="1:6" x14ac:dyDescent="0.3">
      <c r="A748" s="3" t="s">
        <v>49</v>
      </c>
      <c r="B748" s="6" t="s">
        <v>54</v>
      </c>
      <c r="C748" s="4" t="s">
        <v>56</v>
      </c>
      <c r="D748" s="8" t="s">
        <v>25</v>
      </c>
      <c r="E748" s="5">
        <f>'[6]Income Statement Forecast'!$AR$18</f>
        <v>3571.8102398798401</v>
      </c>
      <c r="F748" s="4" t="str">
        <f t="shared" si="63"/>
        <v>Forecast</v>
      </c>
    </row>
    <row r="749" spans="1:6" x14ac:dyDescent="0.3">
      <c r="A749" s="3" t="s">
        <v>49</v>
      </c>
      <c r="B749" s="6" t="s">
        <v>54</v>
      </c>
      <c r="C749" s="4" t="s">
        <v>56</v>
      </c>
      <c r="D749" s="8" t="s">
        <v>26</v>
      </c>
      <c r="E749" s="5">
        <f>'[6]Income Statement Forecast'!$AS$18</f>
        <v>4670.9384411365327</v>
      </c>
      <c r="F749" s="4" t="str">
        <f t="shared" si="63"/>
        <v>Forecast</v>
      </c>
    </row>
    <row r="750" spans="1:6" x14ac:dyDescent="0.3">
      <c r="A750" s="3" t="s">
        <v>49</v>
      </c>
      <c r="B750" s="6" t="s">
        <v>55</v>
      </c>
      <c r="C750" s="4" t="s">
        <v>56</v>
      </c>
      <c r="D750" s="8" t="s">
        <v>16</v>
      </c>
      <c r="E750" s="5">
        <f>'[6]Income Statement'!$AO$27</f>
        <v>357.26800000000088</v>
      </c>
      <c r="F750" s="4" t="str">
        <f>IF(VALUE(D750)&gt;2024,"Forecast","Actual")</f>
        <v>Actual</v>
      </c>
    </row>
    <row r="751" spans="1:6" x14ac:dyDescent="0.3">
      <c r="A751" s="3" t="s">
        <v>49</v>
      </c>
      <c r="B751" s="6" t="s">
        <v>55</v>
      </c>
      <c r="C751" s="4" t="s">
        <v>56</v>
      </c>
      <c r="D751" s="8" t="s">
        <v>17</v>
      </c>
      <c r="E751" s="5">
        <f>'[6]Income Statement'!$AP$27</f>
        <v>746.05199999999832</v>
      </c>
      <c r="F751" s="4" t="str">
        <f>IF(VALUE(D751)&gt;2024,"Forecast","Actual")</f>
        <v>Actual</v>
      </c>
    </row>
    <row r="752" spans="1:6" x14ac:dyDescent="0.3">
      <c r="A752" s="3" t="s">
        <v>49</v>
      </c>
      <c r="B752" s="6" t="s">
        <v>55</v>
      </c>
      <c r="C752" s="4" t="s">
        <v>56</v>
      </c>
      <c r="D752" s="8" t="s">
        <v>18</v>
      </c>
      <c r="E752" s="5">
        <f>'[6]Income Statement'!$AQ$27</f>
        <v>1550.1140000000019</v>
      </c>
      <c r="F752" s="4" t="str">
        <f t="shared" ref="F752:F760" si="64">IF(VALUE(D752)&gt;2024,"Forecast","Actual")</f>
        <v>Actual</v>
      </c>
    </row>
    <row r="753" spans="1:6" x14ac:dyDescent="0.3">
      <c r="A753" s="3" t="s">
        <v>49</v>
      </c>
      <c r="B753" s="6" t="s">
        <v>55</v>
      </c>
      <c r="C753" s="4" t="s">
        <v>56</v>
      </c>
      <c r="D753" s="8" t="s">
        <v>19</v>
      </c>
      <c r="E753" s="5">
        <f>'[6]Income Statement'!$AR$27</f>
        <v>2101.8130000000001</v>
      </c>
      <c r="F753" s="4" t="str">
        <f t="shared" si="64"/>
        <v>Actual</v>
      </c>
    </row>
    <row r="754" spans="1:6" x14ac:dyDescent="0.3">
      <c r="A754" s="3" t="s">
        <v>49</v>
      </c>
      <c r="B754" s="6" t="s">
        <v>55</v>
      </c>
      <c r="C754" s="4" t="s">
        <v>56</v>
      </c>
      <c r="D754" s="8" t="s">
        <v>20</v>
      </c>
      <c r="E754" s="5">
        <f>'[6]Income Statement'!$AS$27</f>
        <v>2634.2839999999992</v>
      </c>
      <c r="F754" s="4" t="str">
        <f t="shared" si="64"/>
        <v>Actual</v>
      </c>
    </row>
    <row r="755" spans="1:6" x14ac:dyDescent="0.3">
      <c r="A755" s="3" t="s">
        <v>49</v>
      </c>
      <c r="B755" s="6" t="s">
        <v>55</v>
      </c>
      <c r="C755" s="4" t="s">
        <v>56</v>
      </c>
      <c r="D755" s="8" t="s">
        <v>21</v>
      </c>
      <c r="E755" s="5">
        <f>'[6]Income Statement Forecast'!$AX$18</f>
        <v>4306.8034684782306</v>
      </c>
      <c r="F755" s="4" t="str">
        <f t="shared" si="64"/>
        <v>Forecast</v>
      </c>
    </row>
    <row r="756" spans="1:6" x14ac:dyDescent="0.3">
      <c r="A756" s="3" t="s">
        <v>49</v>
      </c>
      <c r="B756" s="6" t="s">
        <v>55</v>
      </c>
      <c r="C756" s="4" t="s">
        <v>56</v>
      </c>
      <c r="D756" s="8" t="s">
        <v>22</v>
      </c>
      <c r="E756" s="5">
        <f>'[6]Income Statement Forecast'!$AY$18</f>
        <v>4009.370830859727</v>
      </c>
      <c r="F756" s="4" t="str">
        <f t="shared" si="64"/>
        <v>Forecast</v>
      </c>
    </row>
    <row r="757" spans="1:6" x14ac:dyDescent="0.3">
      <c r="A757" s="3" t="s">
        <v>49</v>
      </c>
      <c r="B757" s="6" t="s">
        <v>55</v>
      </c>
      <c r="C757" s="4" t="s">
        <v>56</v>
      </c>
      <c r="D757" s="8" t="s">
        <v>23</v>
      </c>
      <c r="E757" s="5">
        <f>'[6]Income Statement Forecast'!$AZ$18</f>
        <v>4835.386770190169</v>
      </c>
      <c r="F757" s="4" t="str">
        <f t="shared" si="64"/>
        <v>Forecast</v>
      </c>
    </row>
    <row r="758" spans="1:6" x14ac:dyDescent="0.3">
      <c r="A758" s="3" t="s">
        <v>49</v>
      </c>
      <c r="B758" s="6" t="s">
        <v>55</v>
      </c>
      <c r="C758" s="4" t="s">
        <v>56</v>
      </c>
      <c r="D758" s="8" t="s">
        <v>24</v>
      </c>
      <c r="E758" s="5">
        <f>'[6]Income Statement Forecast'!$BA$18</f>
        <v>5835.4005346973318</v>
      </c>
      <c r="F758" s="4" t="str">
        <f t="shared" si="64"/>
        <v>Forecast</v>
      </c>
    </row>
    <row r="759" spans="1:6" x14ac:dyDescent="0.3">
      <c r="A759" s="3" t="s">
        <v>49</v>
      </c>
      <c r="B759" s="6" t="s">
        <v>55</v>
      </c>
      <c r="C759" s="4" t="s">
        <v>56</v>
      </c>
      <c r="D759" s="8" t="s">
        <v>25</v>
      </c>
      <c r="E759" s="5">
        <f>'[6]Income Statement Forecast'!$BB$18</f>
        <v>7045.6798407418637</v>
      </c>
      <c r="F759" s="4" t="str">
        <f t="shared" si="64"/>
        <v>Forecast</v>
      </c>
    </row>
    <row r="760" spans="1:6" x14ac:dyDescent="0.3">
      <c r="A760" s="3" t="s">
        <v>49</v>
      </c>
      <c r="B760" s="6" t="s">
        <v>55</v>
      </c>
      <c r="C760" s="4" t="s">
        <v>56</v>
      </c>
      <c r="D760" s="8" t="s">
        <v>26</v>
      </c>
      <c r="E760" s="5">
        <f>'[6]Income Statement Forecast'!$BC$18</f>
        <v>8510.0900256920431</v>
      </c>
      <c r="F760" s="4" t="str">
        <f t="shared" si="64"/>
        <v>Forecast</v>
      </c>
    </row>
    <row r="761" spans="1:6" x14ac:dyDescent="0.3">
      <c r="A761" s="3" t="s">
        <v>40</v>
      </c>
      <c r="B761" s="6" t="s">
        <v>57</v>
      </c>
      <c r="C761" s="4" t="s">
        <v>14</v>
      </c>
      <c r="D761" s="7">
        <v>2020</v>
      </c>
      <c r="E761" s="5">
        <f>'[4]Income Statement'!$W$6</f>
        <v>3192.9222999999997</v>
      </c>
      <c r="F761" s="4" t="str">
        <f>IF(VALUE(D761)&gt;2024,"Forecast","Actual")</f>
        <v>Actual</v>
      </c>
    </row>
    <row r="762" spans="1:6" x14ac:dyDescent="0.3">
      <c r="A762" s="3" t="s">
        <v>40</v>
      </c>
      <c r="B762" s="6" t="s">
        <v>57</v>
      </c>
      <c r="C762" s="4" t="s">
        <v>14</v>
      </c>
      <c r="D762" s="8" t="s">
        <v>17</v>
      </c>
      <c r="E762" s="5">
        <f>'[4]Income Statement'!$X$6</f>
        <v>2008.3730999999998</v>
      </c>
      <c r="F762" s="4" t="str">
        <f>IF(VALUE(D762)&gt;2024,"Forecast","Actual")</f>
        <v>Actual</v>
      </c>
    </row>
    <row r="763" spans="1:6" x14ac:dyDescent="0.3">
      <c r="A763" s="3" t="s">
        <v>40</v>
      </c>
      <c r="B763" s="6" t="s">
        <v>57</v>
      </c>
      <c r="C763" s="4" t="s">
        <v>14</v>
      </c>
      <c r="D763" s="8" t="s">
        <v>18</v>
      </c>
      <c r="E763" s="5">
        <f>'[4]Income Statement'!$Y$6</f>
        <v>2928.6131999999998</v>
      </c>
      <c r="F763" s="4" t="str">
        <f>IF(VALUE(D763)&gt;2024,"Forecast","Actual")</f>
        <v>Actual</v>
      </c>
    </row>
    <row r="764" spans="1:6" x14ac:dyDescent="0.3">
      <c r="A764" s="3" t="s">
        <v>40</v>
      </c>
      <c r="B764" s="6" t="s">
        <v>57</v>
      </c>
      <c r="C764" s="4" t="s">
        <v>14</v>
      </c>
      <c r="D764" s="8" t="s">
        <v>19</v>
      </c>
      <c r="E764" s="5">
        <f>'[4]Income Statement'!$Z$6</f>
        <v>2644.7946999999999</v>
      </c>
      <c r="F764" s="4" t="str">
        <f>IF(VALUE(D764)&gt;2024,"Forecast","Actual")</f>
        <v>Actual</v>
      </c>
    </row>
    <row r="765" spans="1:6" x14ac:dyDescent="0.3">
      <c r="A765" s="3" t="s">
        <v>40</v>
      </c>
      <c r="B765" s="6" t="s">
        <v>57</v>
      </c>
      <c r="C765" s="4" t="s">
        <v>14</v>
      </c>
      <c r="D765" s="8" t="s">
        <v>20</v>
      </c>
      <c r="E765" s="5">
        <f>'[4]Income Statement'!$AA$6</f>
        <v>2731.1043999999997</v>
      </c>
      <c r="F765" s="4" t="str">
        <f t="shared" ref="F765:F771" si="65">IF(VALUE(D765)&gt;2024,"Forecast","Actual")</f>
        <v>Actual</v>
      </c>
    </row>
    <row r="766" spans="1:6" x14ac:dyDescent="0.3">
      <c r="A766" s="3" t="s">
        <v>40</v>
      </c>
      <c r="B766" s="6" t="s">
        <v>57</v>
      </c>
      <c r="C766" s="4" t="s">
        <v>14</v>
      </c>
      <c r="D766" s="8" t="s">
        <v>21</v>
      </c>
      <c r="E766" s="5">
        <f>[4]DCF!$X$4</f>
        <v>2949.2512927154135</v>
      </c>
      <c r="F766" s="4" t="str">
        <f t="shared" si="65"/>
        <v>Forecast</v>
      </c>
    </row>
    <row r="767" spans="1:6" x14ac:dyDescent="0.3">
      <c r="A767" s="3" t="s">
        <v>40</v>
      </c>
      <c r="B767" s="6" t="s">
        <v>57</v>
      </c>
      <c r="C767" s="4" t="s">
        <v>14</v>
      </c>
      <c r="D767" s="8" t="s">
        <v>22</v>
      </c>
      <c r="E767" s="5">
        <f>[4]DCF!$Y$4</f>
        <v>3184.8226627966105</v>
      </c>
      <c r="F767" s="4" t="str">
        <f t="shared" si="65"/>
        <v>Forecast</v>
      </c>
    </row>
    <row r="768" spans="1:6" x14ac:dyDescent="0.3">
      <c r="A768" s="3" t="s">
        <v>40</v>
      </c>
      <c r="B768" s="6" t="s">
        <v>57</v>
      </c>
      <c r="C768" s="4" t="s">
        <v>14</v>
      </c>
      <c r="D768" s="8" t="s">
        <v>23</v>
      </c>
      <c r="E768" s="5">
        <f>[4]DCF!$Z$4</f>
        <v>3439.2102899187048</v>
      </c>
      <c r="F768" s="4" t="str">
        <f t="shared" si="65"/>
        <v>Forecast</v>
      </c>
    </row>
    <row r="769" spans="1:6" x14ac:dyDescent="0.3">
      <c r="A769" s="3" t="s">
        <v>40</v>
      </c>
      <c r="B769" s="6" t="s">
        <v>57</v>
      </c>
      <c r="C769" s="4" t="s">
        <v>14</v>
      </c>
      <c r="D769" s="8" t="s">
        <v>24</v>
      </c>
      <c r="E769" s="5">
        <f>[4]DCF!$AA$4</f>
        <v>3713.9171221220595</v>
      </c>
      <c r="F769" s="4" t="str">
        <f t="shared" si="65"/>
        <v>Forecast</v>
      </c>
    </row>
    <row r="770" spans="1:6" x14ac:dyDescent="0.3">
      <c r="A770" s="3" t="s">
        <v>40</v>
      </c>
      <c r="B770" s="6" t="s">
        <v>57</v>
      </c>
      <c r="C770" s="4" t="s">
        <v>14</v>
      </c>
      <c r="D770" s="8" t="s">
        <v>25</v>
      </c>
      <c r="E770" s="5">
        <f>[4]DCF!$AB$4</f>
        <v>4010.5661553825603</v>
      </c>
      <c r="F770" s="4" t="str">
        <f t="shared" si="65"/>
        <v>Forecast</v>
      </c>
    </row>
    <row r="771" spans="1:6" x14ac:dyDescent="0.3">
      <c r="A771" s="3" t="s">
        <v>40</v>
      </c>
      <c r="B771" s="6" t="s">
        <v>57</v>
      </c>
      <c r="C771" s="4" t="s">
        <v>14</v>
      </c>
      <c r="D771" s="8" t="s">
        <v>26</v>
      </c>
      <c r="E771" s="5">
        <f>[4]DCF!$AC$4</f>
        <v>4330.9100224373351</v>
      </c>
      <c r="F771" s="4" t="str">
        <f t="shared" si="65"/>
        <v>Forecast</v>
      </c>
    </row>
    <row r="772" spans="1:6" x14ac:dyDescent="0.3">
      <c r="A772" s="3" t="s">
        <v>40</v>
      </c>
      <c r="B772" s="6" t="s">
        <v>59</v>
      </c>
      <c r="C772" s="4" t="s">
        <v>14</v>
      </c>
      <c r="D772" s="7">
        <v>2020</v>
      </c>
      <c r="E772" s="5">
        <f>'[4]Income Statement'!$P$6</f>
        <v>1658.7946999999999</v>
      </c>
      <c r="F772" s="4" t="str">
        <f t="shared" ref="F772:F782" si="66">IF(VALUE(D772)&gt;2024,"Forecast","Actual")</f>
        <v>Actual</v>
      </c>
    </row>
    <row r="773" spans="1:6" x14ac:dyDescent="0.3">
      <c r="A773" s="3" t="s">
        <v>40</v>
      </c>
      <c r="B773" s="6" t="s">
        <v>59</v>
      </c>
      <c r="C773" s="4" t="s">
        <v>14</v>
      </c>
      <c r="D773" s="7" t="s">
        <v>17</v>
      </c>
      <c r="E773" s="5">
        <f>'[4]Income Statement'!$Q$6</f>
        <v>1328.4308999999998</v>
      </c>
      <c r="F773" s="4" t="str">
        <f t="shared" si="66"/>
        <v>Actual</v>
      </c>
    </row>
    <row r="774" spans="1:6" x14ac:dyDescent="0.3">
      <c r="A774" s="3" t="s">
        <v>40</v>
      </c>
      <c r="B774" s="6" t="s">
        <v>59</v>
      </c>
      <c r="C774" s="4" t="s">
        <v>14</v>
      </c>
      <c r="D774" s="7" t="s">
        <v>18</v>
      </c>
      <c r="E774" s="5">
        <f>'[4]Income Statement'!$R$6</f>
        <v>1918.16</v>
      </c>
      <c r="F774" s="4" t="str">
        <f t="shared" si="66"/>
        <v>Actual</v>
      </c>
    </row>
    <row r="775" spans="1:6" x14ac:dyDescent="0.3">
      <c r="A775" s="3" t="s">
        <v>40</v>
      </c>
      <c r="B775" s="6" t="s">
        <v>59</v>
      </c>
      <c r="C775" s="4" t="s">
        <v>14</v>
      </c>
      <c r="D775" s="7" t="s">
        <v>19</v>
      </c>
      <c r="E775" s="5">
        <f>'[4]Income Statement'!$S$6</f>
        <v>2762.9806000000003</v>
      </c>
      <c r="F775" s="4" t="str">
        <f t="shared" si="66"/>
        <v>Actual</v>
      </c>
    </row>
    <row r="776" spans="1:6" x14ac:dyDescent="0.3">
      <c r="A776" s="3" t="s">
        <v>40</v>
      </c>
      <c r="B776" s="6" t="s">
        <v>59</v>
      </c>
      <c r="C776" s="4" t="s">
        <v>14</v>
      </c>
      <c r="D776" s="7" t="s">
        <v>20</v>
      </c>
      <c r="E776" s="5">
        <f>'[4]Income Statement'!$T$6</f>
        <v>3892.2642000000001</v>
      </c>
      <c r="F776" s="4" t="str">
        <f t="shared" si="66"/>
        <v>Actual</v>
      </c>
    </row>
    <row r="777" spans="1:6" x14ac:dyDescent="0.3">
      <c r="A777" s="3" t="s">
        <v>40</v>
      </c>
      <c r="B777" s="6" t="s">
        <v>59</v>
      </c>
      <c r="C777" s="4" t="s">
        <v>14</v>
      </c>
      <c r="D777" s="7" t="s">
        <v>21</v>
      </c>
      <c r="E777" s="5">
        <f>[4]DCF!$AH$4</f>
        <v>4616.1960630447638</v>
      </c>
      <c r="F777" s="4" t="str">
        <f t="shared" si="66"/>
        <v>Forecast</v>
      </c>
    </row>
    <row r="778" spans="1:6" x14ac:dyDescent="0.3">
      <c r="A778" s="3" t="s">
        <v>40</v>
      </c>
      <c r="B778" s="6" t="s">
        <v>59</v>
      </c>
      <c r="C778" s="4" t="s">
        <v>14</v>
      </c>
      <c r="D778" s="7" t="s">
        <v>22</v>
      </c>
      <c r="E778" s="5">
        <f>[4]DCF!$AI$4</f>
        <v>5474.7738070992136</v>
      </c>
      <c r="F778" s="4" t="str">
        <f t="shared" si="66"/>
        <v>Forecast</v>
      </c>
    </row>
    <row r="779" spans="1:6" x14ac:dyDescent="0.3">
      <c r="A779" s="3" t="s">
        <v>40</v>
      </c>
      <c r="B779" s="6" t="s">
        <v>59</v>
      </c>
      <c r="C779" s="4" t="s">
        <v>14</v>
      </c>
      <c r="D779" s="7" t="s">
        <v>23</v>
      </c>
      <c r="E779" s="5">
        <f>[4]DCF!$AJ$4</f>
        <v>6493.0405532060186</v>
      </c>
      <c r="F779" s="4" t="str">
        <f t="shared" si="66"/>
        <v>Forecast</v>
      </c>
    </row>
    <row r="780" spans="1:6" x14ac:dyDescent="0.3">
      <c r="A780" s="3" t="s">
        <v>40</v>
      </c>
      <c r="B780" s="6" t="s">
        <v>59</v>
      </c>
      <c r="C780" s="4" t="s">
        <v>14</v>
      </c>
      <c r="D780" s="7" t="s">
        <v>24</v>
      </c>
      <c r="E780" s="5">
        <f>[4]DCF!$AK$4</f>
        <v>7700.6972545439276</v>
      </c>
      <c r="F780" s="4" t="str">
        <f t="shared" si="66"/>
        <v>Forecast</v>
      </c>
    </row>
    <row r="781" spans="1:6" x14ac:dyDescent="0.3">
      <c r="A781" s="3" t="s">
        <v>40</v>
      </c>
      <c r="B781" s="6" t="s">
        <v>59</v>
      </c>
      <c r="C781" s="4" t="s">
        <v>14</v>
      </c>
      <c r="D781" s="7" t="s">
        <v>25</v>
      </c>
      <c r="E781" s="5">
        <f>[4]DCF!$AL$4</f>
        <v>9132.9690181682163</v>
      </c>
      <c r="F781" s="4" t="str">
        <f t="shared" si="66"/>
        <v>Forecast</v>
      </c>
    </row>
    <row r="782" spans="1:6" x14ac:dyDescent="0.3">
      <c r="A782" s="3" t="s">
        <v>40</v>
      </c>
      <c r="B782" s="6" t="s">
        <v>59</v>
      </c>
      <c r="C782" s="4" t="s">
        <v>14</v>
      </c>
      <c r="D782" s="7" t="s">
        <v>26</v>
      </c>
      <c r="E782" s="5">
        <f>[4]DCF!$AM$4</f>
        <v>10831.632556078264</v>
      </c>
      <c r="F782" s="4" t="str">
        <f t="shared" si="66"/>
        <v>Forecast</v>
      </c>
    </row>
    <row r="783" spans="1:6" x14ac:dyDescent="0.3">
      <c r="A783" s="3" t="s">
        <v>40</v>
      </c>
      <c r="B783" s="6" t="s">
        <v>58</v>
      </c>
      <c r="C783" s="4" t="s">
        <v>14</v>
      </c>
      <c r="D783" s="7">
        <v>2020</v>
      </c>
      <c r="E783" s="5">
        <f>'[4]Income Statement'!$AD$6</f>
        <v>21741.73</v>
      </c>
      <c r="F783" s="4" t="str">
        <f>IF(VALUE(D783)&gt;2025,"Forecast","Actual")</f>
        <v>Actual</v>
      </c>
    </row>
    <row r="784" spans="1:6" x14ac:dyDescent="0.3">
      <c r="A784" s="3" t="s">
        <v>40</v>
      </c>
      <c r="B784" s="6" t="s">
        <v>58</v>
      </c>
      <c r="C784" s="4" t="s">
        <v>14</v>
      </c>
      <c r="D784" s="7" t="s">
        <v>17</v>
      </c>
      <c r="E784" s="5">
        <f>'[4]Income Statement'!$AE$6</f>
        <v>23112.77</v>
      </c>
      <c r="F784" s="4" t="str">
        <f t="shared" ref="F784:F793" si="67">IF(VALUE(D784)&gt;2025,"Forecast","Actual")</f>
        <v>Actual</v>
      </c>
    </row>
    <row r="785" spans="1:6" x14ac:dyDescent="0.3">
      <c r="A785" s="3" t="s">
        <v>40</v>
      </c>
      <c r="B785" s="6" t="s">
        <v>58</v>
      </c>
      <c r="C785" s="4" t="s">
        <v>14</v>
      </c>
      <c r="D785" s="7" t="s">
        <v>18</v>
      </c>
      <c r="E785" s="5">
        <f>'[4]Income Statement'!$AF$6</f>
        <v>25604.95</v>
      </c>
      <c r="F785" s="4" t="str">
        <f t="shared" si="67"/>
        <v>Actual</v>
      </c>
    </row>
    <row r="786" spans="1:6" x14ac:dyDescent="0.3">
      <c r="A786" s="3" t="s">
        <v>40</v>
      </c>
      <c r="B786" s="6" t="s">
        <v>58</v>
      </c>
      <c r="C786" s="4" t="s">
        <v>14</v>
      </c>
      <c r="D786" s="7" t="s">
        <v>19</v>
      </c>
      <c r="E786" s="5">
        <f>'[4]Income Statement'!$AG$6</f>
        <v>28597.579999999998</v>
      </c>
      <c r="F786" s="4" t="str">
        <f t="shared" si="67"/>
        <v>Actual</v>
      </c>
    </row>
    <row r="787" spans="1:6" x14ac:dyDescent="0.3">
      <c r="A787" s="3" t="s">
        <v>40</v>
      </c>
      <c r="B787" s="6" t="s">
        <v>58</v>
      </c>
      <c r="C787" s="4" t="s">
        <v>14</v>
      </c>
      <c r="D787" s="7" t="s">
        <v>20</v>
      </c>
      <c r="E787" s="5">
        <f>'[4]Income Statement'!$AH$6</f>
        <v>32277.68</v>
      </c>
      <c r="F787" s="4" t="str">
        <f t="shared" si="67"/>
        <v>Actual</v>
      </c>
    </row>
    <row r="788" spans="1:6" x14ac:dyDescent="0.3">
      <c r="A788" s="3" t="s">
        <v>40</v>
      </c>
      <c r="B788" s="6" t="s">
        <v>58</v>
      </c>
      <c r="C788" s="4" t="s">
        <v>14</v>
      </c>
      <c r="D788" s="7" t="s">
        <v>21</v>
      </c>
      <c r="E788" s="5">
        <f>'[4]Income Statement'!$AI$6</f>
        <v>33542.639999999999</v>
      </c>
      <c r="F788" s="4" t="str">
        <f t="shared" si="67"/>
        <v>Actual</v>
      </c>
    </row>
    <row r="789" spans="1:6" x14ac:dyDescent="0.3">
      <c r="A789" s="3" t="s">
        <v>40</v>
      </c>
      <c r="B789" s="6" t="s">
        <v>58</v>
      </c>
      <c r="C789" s="4" t="s">
        <v>14</v>
      </c>
      <c r="D789" s="7" t="s">
        <v>22</v>
      </c>
      <c r="E789" s="5">
        <f>[4]DCF!$AR$4</f>
        <v>36056.294995220873</v>
      </c>
      <c r="F789" s="4" t="str">
        <f t="shared" si="67"/>
        <v>Forecast</v>
      </c>
    </row>
    <row r="790" spans="1:6" x14ac:dyDescent="0.3">
      <c r="A790" s="3" t="s">
        <v>40</v>
      </c>
      <c r="B790" s="6" t="s">
        <v>58</v>
      </c>
      <c r="C790" s="4" t="s">
        <v>14</v>
      </c>
      <c r="D790" s="7" t="s">
        <v>23</v>
      </c>
      <c r="E790" s="5">
        <f>[4]DCF!$AS$4</f>
        <v>38758.321014159585</v>
      </c>
      <c r="F790" s="4" t="str">
        <f t="shared" si="67"/>
        <v>Forecast</v>
      </c>
    </row>
    <row r="791" spans="1:6" x14ac:dyDescent="0.3">
      <c r="A791" s="3" t="s">
        <v>40</v>
      </c>
      <c r="B791" s="6" t="s">
        <v>58</v>
      </c>
      <c r="C791" s="4" t="s">
        <v>14</v>
      </c>
      <c r="D791" s="7" t="s">
        <v>24</v>
      </c>
      <c r="E791" s="5">
        <f>[4]DCF!$AT$4</f>
        <v>41662.834410350712</v>
      </c>
      <c r="F791" s="4" t="str">
        <f t="shared" si="67"/>
        <v>Forecast</v>
      </c>
    </row>
    <row r="792" spans="1:6" x14ac:dyDescent="0.3">
      <c r="A792" s="3" t="s">
        <v>40</v>
      </c>
      <c r="B792" s="6" t="s">
        <v>58</v>
      </c>
      <c r="C792" s="4" t="s">
        <v>14</v>
      </c>
      <c r="D792" s="7" t="s">
        <v>25</v>
      </c>
      <c r="E792" s="5">
        <f>[4]DCF!$AU$4</f>
        <v>44785.009404049422</v>
      </c>
      <c r="F792" s="4" t="str">
        <f t="shared" si="67"/>
        <v>Forecast</v>
      </c>
    </row>
    <row r="793" spans="1:6" x14ac:dyDescent="0.3">
      <c r="A793" s="3" t="s">
        <v>40</v>
      </c>
      <c r="B793" s="6" t="s">
        <v>58</v>
      </c>
      <c r="C793" s="4" t="s">
        <v>14</v>
      </c>
      <c r="D793" s="7" t="s">
        <v>26</v>
      </c>
      <c r="E793" s="5">
        <f>[4]DCF!$AV$4</f>
        <v>48141.157357803291</v>
      </c>
      <c r="F793" s="4" t="str">
        <f t="shared" si="67"/>
        <v>Forecast</v>
      </c>
    </row>
    <row r="794" spans="1:6" x14ac:dyDescent="0.3">
      <c r="A794" s="3" t="s">
        <v>40</v>
      </c>
      <c r="B794" s="6" t="s">
        <v>57</v>
      </c>
      <c r="C794" s="4" t="s">
        <v>56</v>
      </c>
      <c r="D794" s="7">
        <v>2020</v>
      </c>
      <c r="E794" s="5">
        <f>'[4]Income Statement'!$W$22</f>
        <v>534.90079999999966</v>
      </c>
      <c r="F794" s="4" t="str">
        <f>IF(VALUE(D794)&gt;2024,"Forecast","Actual")</f>
        <v>Actual</v>
      </c>
    </row>
    <row r="795" spans="1:6" x14ac:dyDescent="0.3">
      <c r="A795" s="3" t="s">
        <v>40</v>
      </c>
      <c r="B795" s="6" t="s">
        <v>57</v>
      </c>
      <c r="C795" s="4" t="s">
        <v>56</v>
      </c>
      <c r="D795" s="7" t="s">
        <v>17</v>
      </c>
      <c r="E795" s="5">
        <f>'[4]Income Statement'!$X$22</f>
        <v>257.76520000000005</v>
      </c>
      <c r="F795" s="4" t="str">
        <f>IF(VALUE(D795)&gt;2024,"Forecast","Actual")</f>
        <v>Actual</v>
      </c>
    </row>
    <row r="796" spans="1:6" x14ac:dyDescent="0.3">
      <c r="A796" s="3" t="s">
        <v>40</v>
      </c>
      <c r="B796" s="6" t="s">
        <v>57</v>
      </c>
      <c r="C796" s="4" t="s">
        <v>56</v>
      </c>
      <c r="D796" s="7" t="s">
        <v>18</v>
      </c>
      <c r="E796" s="5">
        <f>'[4]Income Statement'!$Y$22</f>
        <v>499.92440000000005</v>
      </c>
      <c r="F796" s="4" t="str">
        <f>IF(VALUE(D796)&gt;2024,"Forecast","Actual")</f>
        <v>Actual</v>
      </c>
    </row>
    <row r="797" spans="1:6" x14ac:dyDescent="0.3">
      <c r="A797" s="3" t="s">
        <v>40</v>
      </c>
      <c r="B797" s="6" t="s">
        <v>57</v>
      </c>
      <c r="C797" s="4" t="s">
        <v>56</v>
      </c>
      <c r="D797" s="7" t="s">
        <v>19</v>
      </c>
      <c r="E797" s="5">
        <f>'[4]Income Statement'!$Z$22</f>
        <v>354.04989999999998</v>
      </c>
      <c r="F797" s="4" t="str">
        <f>IF(VALUE(D797)&gt;2024,"Forecast","Actual")</f>
        <v>Actual</v>
      </c>
    </row>
    <row r="798" spans="1:6" x14ac:dyDescent="0.3">
      <c r="A798" s="3" t="s">
        <v>40</v>
      </c>
      <c r="B798" s="6" t="s">
        <v>57</v>
      </c>
      <c r="C798" s="4" t="s">
        <v>56</v>
      </c>
      <c r="D798" s="7" t="s">
        <v>20</v>
      </c>
      <c r="E798" s="5">
        <f>'[4]Income Statement'!$AA$22</f>
        <v>612.7207999999996</v>
      </c>
      <c r="F798" s="4" t="str">
        <f t="shared" ref="F798:F815" si="68">IF(VALUE(D798)&gt;2024,"Forecast","Actual")</f>
        <v>Actual</v>
      </c>
    </row>
    <row r="799" spans="1:6" x14ac:dyDescent="0.3">
      <c r="A799" s="3" t="s">
        <v>40</v>
      </c>
      <c r="B799" s="6" t="s">
        <v>57</v>
      </c>
      <c r="C799" s="4" t="s">
        <v>56</v>
      </c>
      <c r="D799" s="7" t="s">
        <v>21</v>
      </c>
      <c r="E799" s="5">
        <f>[4]DCF!$X$7</f>
        <v>776.95364440989238</v>
      </c>
      <c r="F799" s="4" t="str">
        <f t="shared" si="68"/>
        <v>Forecast</v>
      </c>
    </row>
    <row r="800" spans="1:6" x14ac:dyDescent="0.3">
      <c r="A800" s="3" t="s">
        <v>40</v>
      </c>
      <c r="B800" s="6" t="s">
        <v>57</v>
      </c>
      <c r="C800" s="4" t="s">
        <v>56</v>
      </c>
      <c r="D800" s="7" t="s">
        <v>22</v>
      </c>
      <c r="E800" s="5">
        <f>[4]DCF!$Y$7</f>
        <v>968.16630161262242</v>
      </c>
      <c r="F800" s="4" t="str">
        <f t="shared" si="68"/>
        <v>Forecast</v>
      </c>
    </row>
    <row r="801" spans="1:6" x14ac:dyDescent="0.3">
      <c r="A801" s="3" t="s">
        <v>40</v>
      </c>
      <c r="B801" s="6" t="s">
        <v>57</v>
      </c>
      <c r="C801" s="4" t="s">
        <v>56</v>
      </c>
      <c r="D801" s="7" t="s">
        <v>23</v>
      </c>
      <c r="E801" s="5">
        <f>[4]DCF!$Z$7</f>
        <v>1206.4374680811122</v>
      </c>
      <c r="F801" s="4" t="str">
        <f t="shared" si="68"/>
        <v>Forecast</v>
      </c>
    </row>
    <row r="802" spans="1:6" x14ac:dyDescent="0.3">
      <c r="A802" s="3" t="s">
        <v>40</v>
      </c>
      <c r="B802" s="6" t="s">
        <v>57</v>
      </c>
      <c r="C802" s="4" t="s">
        <v>56</v>
      </c>
      <c r="D802" s="7" t="s">
        <v>24</v>
      </c>
      <c r="E802" s="5">
        <f>[4]DCF!$AA$7</f>
        <v>1503.3485073438635</v>
      </c>
      <c r="F802" s="4" t="str">
        <f t="shared" si="68"/>
        <v>Forecast</v>
      </c>
    </row>
    <row r="803" spans="1:6" x14ac:dyDescent="0.3">
      <c r="A803" s="3" t="s">
        <v>40</v>
      </c>
      <c r="B803" s="6" t="s">
        <v>57</v>
      </c>
      <c r="C803" s="4" t="s">
        <v>56</v>
      </c>
      <c r="D803" s="7" t="s">
        <v>25</v>
      </c>
      <c r="E803" s="5">
        <f>[4]DCF!$AB$7</f>
        <v>1873.3310215636243</v>
      </c>
      <c r="F803" s="4" t="str">
        <f t="shared" si="68"/>
        <v>Forecast</v>
      </c>
    </row>
    <row r="804" spans="1:6" x14ac:dyDescent="0.3">
      <c r="A804" s="3" t="s">
        <v>40</v>
      </c>
      <c r="B804" s="6" t="s">
        <v>57</v>
      </c>
      <c r="C804" s="4" t="s">
        <v>56</v>
      </c>
      <c r="D804" s="7" t="s">
        <v>26</v>
      </c>
      <c r="E804" s="5">
        <f>[4]DCF!$AC$7</f>
        <v>2334.3683112793406</v>
      </c>
      <c r="F804" s="4" t="str">
        <f t="shared" si="68"/>
        <v>Forecast</v>
      </c>
    </row>
    <row r="805" spans="1:6" x14ac:dyDescent="0.3">
      <c r="A805" s="3" t="s">
        <v>40</v>
      </c>
      <c r="B805" s="6" t="s">
        <v>59</v>
      </c>
      <c r="C805" s="4" t="s">
        <v>56</v>
      </c>
      <c r="D805" s="7">
        <v>2020</v>
      </c>
      <c r="E805" s="5">
        <f>'[4]Income Statement'!$P$25</f>
        <v>163.48170000000007</v>
      </c>
      <c r="F805" s="4" t="str">
        <f t="shared" si="68"/>
        <v>Actual</v>
      </c>
    </row>
    <row r="806" spans="1:6" x14ac:dyDescent="0.3">
      <c r="A806" s="3" t="s">
        <v>40</v>
      </c>
      <c r="B806" s="6" t="s">
        <v>59</v>
      </c>
      <c r="C806" s="4" t="s">
        <v>56</v>
      </c>
      <c r="D806" s="7" t="s">
        <v>17</v>
      </c>
      <c r="E806" s="5">
        <f>'[4]Income Statement'!$Q$25</f>
        <v>153.47119999999978</v>
      </c>
      <c r="F806" s="4" t="str">
        <f t="shared" si="68"/>
        <v>Actual</v>
      </c>
    </row>
    <row r="807" spans="1:6" x14ac:dyDescent="0.3">
      <c r="A807" s="3" t="s">
        <v>40</v>
      </c>
      <c r="B807" s="6" t="s">
        <v>59</v>
      </c>
      <c r="C807" s="4" t="s">
        <v>56</v>
      </c>
      <c r="D807" s="7" t="s">
        <v>18</v>
      </c>
      <c r="E807" s="5">
        <f>'[4]Income Statement'!$R$25</f>
        <v>189.51929999999973</v>
      </c>
      <c r="F807" s="4" t="str">
        <f t="shared" si="68"/>
        <v>Actual</v>
      </c>
    </row>
    <row r="808" spans="1:6" x14ac:dyDescent="0.3">
      <c r="A808" s="3" t="s">
        <v>40</v>
      </c>
      <c r="B808" s="6" t="s">
        <v>59</v>
      </c>
      <c r="C808" s="4" t="s">
        <v>56</v>
      </c>
      <c r="D808" s="7" t="s">
        <v>19</v>
      </c>
      <c r="E808" s="5">
        <f>'[4]Income Statement'!$S$25</f>
        <v>228.12400000000008</v>
      </c>
      <c r="F808" s="4" t="str">
        <f t="shared" si="68"/>
        <v>Actual</v>
      </c>
    </row>
    <row r="809" spans="1:6" x14ac:dyDescent="0.3">
      <c r="A809" s="3" t="s">
        <v>40</v>
      </c>
      <c r="B809" s="6" t="s">
        <v>59</v>
      </c>
      <c r="C809" s="4" t="s">
        <v>56</v>
      </c>
      <c r="D809" s="7" t="s">
        <v>20</v>
      </c>
      <c r="E809" s="5">
        <f>'[4]Income Statement'!$T$25</f>
        <v>357.2677000000001</v>
      </c>
      <c r="F809" s="4" t="str">
        <f t="shared" si="68"/>
        <v>Actual</v>
      </c>
    </row>
    <row r="810" spans="1:6" x14ac:dyDescent="0.3">
      <c r="A810" s="3" t="s">
        <v>40</v>
      </c>
      <c r="B810" s="6" t="s">
        <v>59</v>
      </c>
      <c r="C810" s="4" t="s">
        <v>56</v>
      </c>
      <c r="D810" s="7" t="s">
        <v>21</v>
      </c>
      <c r="E810" s="5">
        <f>[4]DCF!$AH$7</f>
        <v>427.89758609149351</v>
      </c>
      <c r="F810" s="4" t="str">
        <f t="shared" si="68"/>
        <v>Forecast</v>
      </c>
    </row>
    <row r="811" spans="1:6" x14ac:dyDescent="0.3">
      <c r="A811" s="3" t="s">
        <v>40</v>
      </c>
      <c r="B811" s="6" t="s">
        <v>59</v>
      </c>
      <c r="C811" s="4" t="s">
        <v>56</v>
      </c>
      <c r="D811" s="7" t="s">
        <v>22</v>
      </c>
      <c r="E811" s="5">
        <f>[4]DCF!$AI$7</f>
        <v>495.78280159275658</v>
      </c>
      <c r="F811" s="4" t="str">
        <f t="shared" si="68"/>
        <v>Forecast</v>
      </c>
    </row>
    <row r="812" spans="1:6" x14ac:dyDescent="0.3">
      <c r="A812" s="3" t="s">
        <v>40</v>
      </c>
      <c r="B812" s="6" t="s">
        <v>59</v>
      </c>
      <c r="C812" s="4" t="s">
        <v>56</v>
      </c>
      <c r="D812" s="7" t="s">
        <v>23</v>
      </c>
      <c r="E812" s="5">
        <f>[4]DCF!$AJ$7</f>
        <v>574.43788968373678</v>
      </c>
      <c r="F812" s="4" t="str">
        <f t="shared" si="68"/>
        <v>Forecast</v>
      </c>
    </row>
    <row r="813" spans="1:6" x14ac:dyDescent="0.3">
      <c r="A813" s="3" t="s">
        <v>40</v>
      </c>
      <c r="B813" s="6" t="s">
        <v>59</v>
      </c>
      <c r="C813" s="4" t="s">
        <v>56</v>
      </c>
      <c r="D813" s="7" t="s">
        <v>24</v>
      </c>
      <c r="E813" s="5">
        <f>[4]DCF!$AK$7</f>
        <v>665.57147211281153</v>
      </c>
      <c r="F813" s="4" t="str">
        <f t="shared" si="68"/>
        <v>Forecast</v>
      </c>
    </row>
    <row r="814" spans="1:6" x14ac:dyDescent="0.3">
      <c r="A814" s="3" t="s">
        <v>40</v>
      </c>
      <c r="B814" s="6" t="s">
        <v>59</v>
      </c>
      <c r="C814" s="4" t="s">
        <v>56</v>
      </c>
      <c r="D814" s="7" t="s">
        <v>25</v>
      </c>
      <c r="E814" s="5">
        <f>[4]DCF!$AL$7</f>
        <v>771.16324052771961</v>
      </c>
      <c r="F814" s="4" t="str">
        <f t="shared" si="68"/>
        <v>Forecast</v>
      </c>
    </row>
    <row r="815" spans="1:6" x14ac:dyDescent="0.3">
      <c r="A815" s="3" t="s">
        <v>40</v>
      </c>
      <c r="B815" s="6" t="s">
        <v>59</v>
      </c>
      <c r="C815" s="4" t="s">
        <v>56</v>
      </c>
      <c r="D815" s="7" t="s">
        <v>26</v>
      </c>
      <c r="E815" s="5">
        <f>[4]DCF!$AM$7</f>
        <v>893.50696124850651</v>
      </c>
      <c r="F815" s="4" t="str">
        <f t="shared" si="68"/>
        <v>Forecast</v>
      </c>
    </row>
    <row r="816" spans="1:6" x14ac:dyDescent="0.3">
      <c r="A816" s="3" t="s">
        <v>40</v>
      </c>
      <c r="B816" s="6" t="s">
        <v>58</v>
      </c>
      <c r="C816" s="4" t="s">
        <v>56</v>
      </c>
      <c r="D816" s="7">
        <v>2020</v>
      </c>
      <c r="E816" s="5">
        <f>'[4]Income Statement'!$AD$35</f>
        <v>2882.6500000000005</v>
      </c>
      <c r="F816" s="4" t="str">
        <f>IF(VALUE(D816)&gt;2025,"Forecast","Actual")</f>
        <v>Actual</v>
      </c>
    </row>
    <row r="817" spans="1:6" x14ac:dyDescent="0.3">
      <c r="A817" s="3" t="s">
        <v>40</v>
      </c>
      <c r="B817" s="6" t="s">
        <v>58</v>
      </c>
      <c r="C817" s="4" t="s">
        <v>56</v>
      </c>
      <c r="D817" s="7" t="s">
        <v>17</v>
      </c>
      <c r="E817" s="5">
        <f>'[4]Income Statement'!$AE$35</f>
        <v>3239.0600000000045</v>
      </c>
      <c r="F817" s="4" t="str">
        <f t="shared" ref="F817:F826" si="69">IF(VALUE(D817)&gt;2025,"Forecast","Actual")</f>
        <v>Actual</v>
      </c>
    </row>
    <row r="818" spans="1:6" x14ac:dyDescent="0.3">
      <c r="A818" s="3" t="s">
        <v>40</v>
      </c>
      <c r="B818" s="6" t="s">
        <v>58</v>
      </c>
      <c r="C818" s="4" t="s">
        <v>56</v>
      </c>
      <c r="D818" s="7" t="s">
        <v>18</v>
      </c>
      <c r="E818" s="5">
        <f>'[4]Income Statement'!$AF$35</f>
        <v>5079.8799999999992</v>
      </c>
      <c r="F818" s="4" t="str">
        <f t="shared" si="69"/>
        <v>Actual</v>
      </c>
    </row>
    <row r="819" spans="1:6" x14ac:dyDescent="0.3">
      <c r="A819" s="3" t="s">
        <v>40</v>
      </c>
      <c r="B819" s="6" t="s">
        <v>58</v>
      </c>
      <c r="C819" s="4" t="s">
        <v>56</v>
      </c>
      <c r="D819" s="7" t="s">
        <v>19</v>
      </c>
      <c r="E819" s="5">
        <f>'[4]Income Statement'!$AG$35</f>
        <v>5827.7300000000014</v>
      </c>
      <c r="F819" s="4" t="str">
        <f t="shared" si="69"/>
        <v>Actual</v>
      </c>
    </row>
    <row r="820" spans="1:6" x14ac:dyDescent="0.3">
      <c r="A820" s="3" t="s">
        <v>40</v>
      </c>
      <c r="B820" s="6" t="s">
        <v>58</v>
      </c>
      <c r="C820" s="4" t="s">
        <v>56</v>
      </c>
      <c r="D820" s="7" t="s">
        <v>20</v>
      </c>
      <c r="E820" s="5">
        <f>'[4]Income Statement'!$AH$35</f>
        <v>7620.9500000000007</v>
      </c>
      <c r="F820" s="4" t="str">
        <f t="shared" si="69"/>
        <v>Actual</v>
      </c>
    </row>
    <row r="821" spans="1:6" x14ac:dyDescent="0.3">
      <c r="A821" s="3" t="s">
        <v>40</v>
      </c>
      <c r="B821" s="6" t="s">
        <v>58</v>
      </c>
      <c r="C821" s="4" t="s">
        <v>56</v>
      </c>
      <c r="D821" s="7" t="s">
        <v>21</v>
      </c>
      <c r="E821" s="5">
        <f>'[4]Income Statement'!$AI$35</f>
        <v>8364.0400000000009</v>
      </c>
      <c r="F821" s="4" t="str">
        <f t="shared" si="69"/>
        <v>Actual</v>
      </c>
    </row>
    <row r="822" spans="1:6" x14ac:dyDescent="0.3">
      <c r="A822" s="3" t="s">
        <v>40</v>
      </c>
      <c r="B822" s="6" t="s">
        <v>58</v>
      </c>
      <c r="C822" s="4" t="s">
        <v>56</v>
      </c>
      <c r="D822" s="7" t="s">
        <v>22</v>
      </c>
      <c r="E822" s="5">
        <f>[4]DCF!$AR$7</f>
        <v>9510.5226984478886</v>
      </c>
      <c r="F822" s="4" t="str">
        <f t="shared" si="69"/>
        <v>Forecast</v>
      </c>
    </row>
    <row r="823" spans="1:6" x14ac:dyDescent="0.3">
      <c r="A823" s="3" t="s">
        <v>40</v>
      </c>
      <c r="B823" s="6" t="s">
        <v>58</v>
      </c>
      <c r="C823" s="4" t="s">
        <v>56</v>
      </c>
      <c r="D823" s="7" t="s">
        <v>23</v>
      </c>
      <c r="E823" s="5">
        <f>[4]DCF!$AS$7</f>
        <v>11136.366498659972</v>
      </c>
      <c r="F823" s="4" t="str">
        <f t="shared" si="69"/>
        <v>Forecast</v>
      </c>
    </row>
    <row r="824" spans="1:6" x14ac:dyDescent="0.3">
      <c r="A824" s="3" t="s">
        <v>40</v>
      </c>
      <c r="B824" s="6" t="s">
        <v>58</v>
      </c>
      <c r="C824" s="4" t="s">
        <v>56</v>
      </c>
      <c r="D824" s="7" t="s">
        <v>24</v>
      </c>
      <c r="E824" s="5">
        <f>[4]DCF!$AT$7</f>
        <v>13040.151706142919</v>
      </c>
      <c r="F824" s="4" t="str">
        <f t="shared" si="69"/>
        <v>Forecast</v>
      </c>
    </row>
    <row r="825" spans="1:6" x14ac:dyDescent="0.3">
      <c r="A825" s="3" t="s">
        <v>40</v>
      </c>
      <c r="B825" s="6" t="s">
        <v>58</v>
      </c>
      <c r="C825" s="4" t="s">
        <v>56</v>
      </c>
      <c r="D825" s="7" t="s">
        <v>25</v>
      </c>
      <c r="E825" s="5">
        <f>[4]DCF!$AU$7</f>
        <v>15269.392987352156</v>
      </c>
      <c r="F825" s="4" t="str">
        <f t="shared" si="69"/>
        <v>Forecast</v>
      </c>
    </row>
    <row r="826" spans="1:6" x14ac:dyDescent="0.3">
      <c r="A826" s="3" t="s">
        <v>40</v>
      </c>
      <c r="B826" s="6" t="s">
        <v>58</v>
      </c>
      <c r="C826" s="4" t="s">
        <v>56</v>
      </c>
      <c r="D826" s="7" t="s">
        <v>26</v>
      </c>
      <c r="E826" s="5">
        <f>[4]DCF!$AV$7</f>
        <v>17879.727740618648</v>
      </c>
      <c r="F826" s="4" t="str">
        <f t="shared" si="69"/>
        <v>Forecast</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A725-3BF5-4167-AA50-78263D46E9E4}">
  <dimension ref="A1:S53"/>
  <sheetViews>
    <sheetView topLeftCell="J1" workbookViewId="0">
      <selection activeCell="S13" sqref="S13"/>
    </sheetView>
  </sheetViews>
  <sheetFormatPr defaultRowHeight="14.4" x14ac:dyDescent="0.3"/>
  <cols>
    <col min="1" max="1" width="9.6640625" style="1" bestFit="1" customWidth="1"/>
    <col min="2" max="5" width="12.33203125" style="1" bestFit="1" customWidth="1"/>
    <col min="6" max="6" width="13" style="1" bestFit="1" customWidth="1"/>
    <col min="7" max="7" width="8.88671875" style="1"/>
    <col min="8" max="8" width="9.6640625" style="1" bestFit="1" customWidth="1"/>
    <col min="9" max="9" width="13" style="1" bestFit="1" customWidth="1"/>
    <col min="10" max="14" width="12.33203125" style="1" bestFit="1" customWidth="1"/>
    <col min="15" max="16" width="8.88671875" style="1"/>
    <col min="17" max="17" width="11.6640625" style="1" bestFit="1" customWidth="1"/>
    <col min="18" max="16384" width="8.88671875" style="1"/>
  </cols>
  <sheetData>
    <row r="1" spans="1:19" x14ac:dyDescent="0.3">
      <c r="A1" s="14" t="s">
        <v>60</v>
      </c>
      <c r="B1" s="15" t="s">
        <v>16</v>
      </c>
      <c r="C1" s="15" t="s">
        <v>17</v>
      </c>
      <c r="D1" s="15" t="s">
        <v>18</v>
      </c>
      <c r="E1" s="15" t="s">
        <v>19</v>
      </c>
      <c r="F1" s="16" t="s">
        <v>20</v>
      </c>
      <c r="H1" s="29" t="s">
        <v>60</v>
      </c>
      <c r="I1" s="30" t="s">
        <v>21</v>
      </c>
      <c r="J1" s="30" t="s">
        <v>22</v>
      </c>
      <c r="K1" s="30" t="s">
        <v>23</v>
      </c>
      <c r="L1" s="30" t="s">
        <v>24</v>
      </c>
      <c r="M1" s="30" t="s">
        <v>25</v>
      </c>
      <c r="N1" s="30" t="s">
        <v>26</v>
      </c>
    </row>
    <row r="2" spans="1:19" x14ac:dyDescent="0.3">
      <c r="A2" s="11" t="s">
        <v>61</v>
      </c>
      <c r="B2" s="12">
        <f>'[7]Balance Sheet-Banks'!G75</f>
        <v>1043670.83</v>
      </c>
      <c r="C2" s="12">
        <f>'[7]Balance Sheet-Banks'!H75</f>
        <v>1185283.4889999998</v>
      </c>
      <c r="D2" s="12">
        <f>'[7]Balance Sheet-Banks'!I75</f>
        <v>1420942.2800000003</v>
      </c>
      <c r="E2" s="12">
        <f>'[7]Balance Sheet-Banks'!J75</f>
        <v>1661949.29</v>
      </c>
      <c r="F2" s="12">
        <f>'[7]Balance Sheet-Banks'!K75</f>
        <v>2565891.4</v>
      </c>
      <c r="H2" s="27" t="s">
        <v>61</v>
      </c>
      <c r="I2" s="21">
        <f>'[7]Financial Projections'!M5</f>
        <v>3071660.5237216875</v>
      </c>
      <c r="J2" s="21">
        <f>'[7]Financial Projections'!N5</f>
        <v>3677123.0352890976</v>
      </c>
      <c r="K2" s="21">
        <f>'[7]Financial Projections'!O5</f>
        <v>4401929.741985647</v>
      </c>
      <c r="L2" s="21">
        <f>'[7]Financial Projections'!P5</f>
        <v>5269604.8697359934</v>
      </c>
      <c r="M2" s="21">
        <f>'[7]Financial Projections'!Q5</f>
        <v>6308309.5621192763</v>
      </c>
      <c r="N2" s="21">
        <f>'[7]Financial Projections'!R5</f>
        <v>7551755.8745385045</v>
      </c>
      <c r="Q2" s="1" t="s">
        <v>227</v>
      </c>
      <c r="R2" s="52">
        <f>(N3-I3)/I3</f>
        <v>0.98672200754669637</v>
      </c>
      <c r="S2" s="1">
        <f>(N3/I3)^(1/6)-1</f>
        <v>0.12121659506340987</v>
      </c>
    </row>
    <row r="3" spans="1:19" x14ac:dyDescent="0.3">
      <c r="A3" s="11" t="s">
        <v>62</v>
      </c>
      <c r="B3" s="12">
        <f>'[7]Balance Sheet-Banks'!G13</f>
        <v>1146207.1300000001</v>
      </c>
      <c r="C3" s="12">
        <f>'[7]Balance Sheet-Banks'!H13</f>
        <v>1333720.8699999999</v>
      </c>
      <c r="D3" s="12">
        <f>'[7]Balance Sheet-Banks'!I13</f>
        <v>1558003.03</v>
      </c>
      <c r="E3" s="12">
        <f>'[7]Balance Sheet-Banks'!J13</f>
        <v>1882663.25</v>
      </c>
      <c r="F3" s="12">
        <f>'[7]Balance Sheet-Banks'!K13</f>
        <v>2376887.2799999998</v>
      </c>
      <c r="H3" s="28" t="s">
        <v>68</v>
      </c>
      <c r="I3" s="24">
        <f>'[7]Financial Projections'!M14</f>
        <v>82628.654285693992</v>
      </c>
      <c r="J3" s="24">
        <f>'[7]Financial Projections'!N14</f>
        <v>94913.598853867443</v>
      </c>
      <c r="K3" s="24">
        <f>'[7]Financial Projections'!O14</f>
        <v>108199.58645988026</v>
      </c>
      <c r="L3" s="24">
        <f>'[7]Financial Projections'!P14</f>
        <v>123663.11313525234</v>
      </c>
      <c r="M3" s="24">
        <f>'[7]Financial Projections'!Q14</f>
        <v>141977.34992507857</v>
      </c>
      <c r="N3" s="24">
        <f>'[7]Financial Projections'!R14</f>
        <v>164160.1659233559</v>
      </c>
      <c r="Q3" s="1" t="s">
        <v>2</v>
      </c>
      <c r="R3" s="52">
        <f>(N9-I9)/I9</f>
        <v>1.2874009772962329</v>
      </c>
      <c r="S3" s="1">
        <f>(N9/I9)^(1/6)-1</f>
        <v>0.14786386316178546</v>
      </c>
    </row>
    <row r="4" spans="1:19" x14ac:dyDescent="0.3">
      <c r="A4" s="11" t="s">
        <v>63</v>
      </c>
      <c r="B4" s="13">
        <f>'[7]Financial Ratios-Banks'!H5</f>
        <v>4.1907401010159537E-2</v>
      </c>
      <c r="C4" s="13">
        <f>'[7]Financial Ratios-Banks'!I5</f>
        <v>4.2672577479119844E-2</v>
      </c>
      <c r="D4" s="13">
        <f>'[7]Financial Ratios-Banks'!J5</f>
        <v>4.1360189310468198E-2</v>
      </c>
      <c r="E4" s="13">
        <f>'[7]Financial Ratios-Banks'!K5</f>
        <v>4.2775607985347339E-2</v>
      </c>
      <c r="F4" s="13">
        <f>'[7]Financial Ratios-Banks'!L5</f>
        <v>3.6261464881763884E-2</v>
      </c>
      <c r="H4" s="27" t="s">
        <v>14</v>
      </c>
      <c r="I4" s="34">
        <f>'[7]Financial Projections'!M8</f>
        <v>322579.03726990544</v>
      </c>
      <c r="J4" s="34">
        <f>'[7]Financial Projections'!N8</f>
        <v>412796.9389600954</v>
      </c>
      <c r="K4" s="34">
        <f>'[7]Financial Projections'!O8</f>
        <v>531906.6750605742</v>
      </c>
      <c r="L4" s="34">
        <f>'[7]Financial Projections'!P8</f>
        <v>689986.14179837157</v>
      </c>
      <c r="M4" s="34">
        <f>'[7]Financial Projections'!Q8</f>
        <v>900791.12977349851</v>
      </c>
      <c r="N4" s="34">
        <f>'[7]Financial Projections'!R8</f>
        <v>1183126.957374325</v>
      </c>
      <c r="Q4" s="1" t="s">
        <v>4</v>
      </c>
      <c r="R4" s="52">
        <f>(N15-I15)/I15</f>
        <v>0.3443333765278902</v>
      </c>
      <c r="S4" s="1">
        <f>(N15/I15)^(1/6)-1</f>
        <v>5.0552668406767864E-2</v>
      </c>
    </row>
    <row r="5" spans="1:19" x14ac:dyDescent="0.3">
      <c r="A5" s="11" t="s">
        <v>64</v>
      </c>
      <c r="B5" s="13">
        <f>'[7]Financial Ratios-Banks'!H13</f>
        <v>4.0000000000000001E-3</v>
      </c>
      <c r="C5" s="13">
        <f>'[7]Financial Ratios-Banks'!I13</f>
        <v>3.2000000000000002E-3</v>
      </c>
      <c r="D5" s="13">
        <f>'[7]Financial Ratios-Banks'!J13</f>
        <v>2.7000000000000001E-3</v>
      </c>
      <c r="E5" s="13">
        <f>'[7]Financial Ratios-Banks'!K13</f>
        <v>3.3E-3</v>
      </c>
      <c r="F5" s="13">
        <f>'[7]Financial Ratios-Banks'!L13</f>
        <v>4.3E-3</v>
      </c>
      <c r="H5" s="11" t="s">
        <v>221</v>
      </c>
      <c r="I5" s="146">
        <f>'[7]Financial Projections'!M12</f>
        <v>110421.8285255833</v>
      </c>
      <c r="J5" s="146">
        <f>'[7]Financial Projections'!N12</f>
        <v>126838.96679656213</v>
      </c>
      <c r="K5" s="146">
        <f>'[7]Financial Projections'!O12</f>
        <v>144593.86136560238</v>
      </c>
      <c r="L5" s="146">
        <f>'[7]Financial Projections'!P12</f>
        <v>165258.73731825783</v>
      </c>
      <c r="M5" s="146">
        <f>'[7]Financial Projections'!Q12</f>
        <v>189733.19514242758</v>
      </c>
      <c r="N5" s="146">
        <f>'[7]Financial Projections'!R12</f>
        <v>219377.47684532392</v>
      </c>
      <c r="Q5" s="1" t="s">
        <v>228</v>
      </c>
      <c r="R5" s="52">
        <f>(N21-I21)/I21</f>
        <v>0.95399722652420837</v>
      </c>
      <c r="S5" s="1">
        <f>(N21/I21)^(1/6)-1</f>
        <v>0.11811718853596886</v>
      </c>
    </row>
    <row r="6" spans="1:19" x14ac:dyDescent="0.3">
      <c r="A6" s="11" t="s">
        <v>65</v>
      </c>
      <c r="B6" s="13">
        <f>'[7]Financial Ratios-Banks'!H6</f>
        <v>1.797209365726261E-2</v>
      </c>
      <c r="C6" s="13">
        <f>'[7]Financial Ratios-Banks'!I6</f>
        <v>1.8238548077406255E-2</v>
      </c>
      <c r="D6" s="13">
        <f>'[7]Financial Ratios-Banks'!J6</f>
        <v>1.6239043564711553E-2</v>
      </c>
      <c r="E6" s="13">
        <f>'[7]Financial Ratios-Banks'!K6</f>
        <v>8.1503899691041763E-3</v>
      </c>
      <c r="F6" s="13">
        <f>'[7]Financial Ratios-Banks'!L6</f>
        <v>1.3160155833003616E-2</v>
      </c>
      <c r="Q6" s="1" t="s">
        <v>229</v>
      </c>
      <c r="R6" s="52">
        <f>(N27-I27)/I27</f>
        <v>0.88887761186412506</v>
      </c>
      <c r="S6" s="1">
        <f>(N27/I27)^(1/6)-1</f>
        <v>0.11181868864215927</v>
      </c>
    </row>
    <row r="7" spans="1:19" x14ac:dyDescent="0.3">
      <c r="A7" s="11" t="s">
        <v>66</v>
      </c>
      <c r="B7" s="13">
        <f>'[7]Financial Ratios-Banks'!H7</f>
        <v>0.15427255427166531</v>
      </c>
      <c r="C7" s="13">
        <f>'[7]Financial Ratios-Banks'!I7</f>
        <v>0.15137960009492352</v>
      </c>
      <c r="D7" s="13">
        <f>'[7]Financial Ratios-Banks'!J7</f>
        <v>0.1538053860690197</v>
      </c>
      <c r="E7" s="13">
        <f>'[7]Financial Ratios-Banks'!K7</f>
        <v>0.15897022422770324</v>
      </c>
      <c r="F7" s="13">
        <f>'[7]Financial Ratios-Banks'!L7</f>
        <v>0.13931348306271474</v>
      </c>
      <c r="H7" s="29" t="s">
        <v>60</v>
      </c>
      <c r="I7" s="30" t="s">
        <v>21</v>
      </c>
      <c r="J7" s="30" t="s">
        <v>22</v>
      </c>
      <c r="K7" s="30" t="s">
        <v>23</v>
      </c>
      <c r="L7" s="30" t="s">
        <v>24</v>
      </c>
      <c r="M7" s="30" t="s">
        <v>25</v>
      </c>
      <c r="N7" s="30" t="s">
        <v>26</v>
      </c>
      <c r="Q7" s="1" t="s">
        <v>230</v>
      </c>
      <c r="R7" s="52">
        <f>(N33-I33)/I33</f>
        <v>1.240853583898365</v>
      </c>
      <c r="S7" s="1">
        <f>(N33/I33)^(1/6)-1</f>
        <v>0.14393736767169885</v>
      </c>
    </row>
    <row r="8" spans="1:19" x14ac:dyDescent="0.3">
      <c r="A8" s="11" t="s">
        <v>67</v>
      </c>
      <c r="B8" s="13">
        <f>'[7]Financial Ratios-Banks'!H16</f>
        <v>0.18523668882529196</v>
      </c>
      <c r="C8" s="13">
        <f>'[7]Financial Ratios-Banks'!I16</f>
        <v>0.18790385887956182</v>
      </c>
      <c r="D8" s="13">
        <f>'[7]Financial Ratios-Banks'!J16</f>
        <v>0.18894159585052456</v>
      </c>
      <c r="E8" s="13">
        <f>'[7]Financial Ratios-Banks'!K16</f>
        <v>0.19258673715345337</v>
      </c>
      <c r="F8" s="13">
        <f>'[7]Financial Ratios-Banks'!L16</f>
        <v>0.18800548807374581</v>
      </c>
      <c r="H8" s="27" t="s">
        <v>61</v>
      </c>
      <c r="I8" s="21">
        <f>'[7]Financial Projections'!V5</f>
        <v>1415710.2588467074</v>
      </c>
      <c r="J8" s="21">
        <f>'[7]Financial Projections'!W5</f>
        <v>1589683.8667277566</v>
      </c>
      <c r="K8" s="21">
        <f>'[7]Financial Projections'!X5</f>
        <v>1785036.7194436956</v>
      </c>
      <c r="L8" s="21">
        <f>'[7]Financial Projections'!Y5</f>
        <v>2004396.0666979549</v>
      </c>
      <c r="M8" s="21">
        <f>'[7]Financial Projections'!Z5</f>
        <v>2250712.0152947404</v>
      </c>
      <c r="N8" s="21">
        <f>'[7]Financial Projections'!AA5</f>
        <v>2527297.2043580995</v>
      </c>
      <c r="Q8" s="1" t="s">
        <v>231</v>
      </c>
      <c r="R8" s="52">
        <f>(N39-I39)/I39</f>
        <v>1.6061921564243642</v>
      </c>
      <c r="S8" s="1">
        <f>(N39/I39)^(1/6)-1</f>
        <v>0.17309830036776086</v>
      </c>
    </row>
    <row r="9" spans="1:19" x14ac:dyDescent="0.3">
      <c r="H9" s="28" t="s">
        <v>68</v>
      </c>
      <c r="I9" s="24">
        <f>'[7]Financial Projections'!V14</f>
        <v>52473.032651342655</v>
      </c>
      <c r="J9" s="24">
        <f>'[7]Financial Projections'!W14</f>
        <v>63887.541905793521</v>
      </c>
      <c r="K9" s="24">
        <f>'[7]Financial Projections'!X14</f>
        <v>74552.19086281216</v>
      </c>
      <c r="L9" s="24">
        <f>'[7]Financial Projections'!Y14</f>
        <v>87219.295613881462</v>
      </c>
      <c r="M9" s="24">
        <f>'[7]Financial Projections'!Z14</f>
        <v>102240.5487189046</v>
      </c>
      <c r="N9" s="24">
        <f>'[7]Financial Projections'!AA14</f>
        <v>120026.86616837833</v>
      </c>
      <c r="R9" s="42">
        <f>AVERAGE(R2:R8)</f>
        <v>1.0440538485831259</v>
      </c>
      <c r="S9" s="42">
        <f>AVERAGE(S2:S8)</f>
        <v>0.12380066740707872</v>
      </c>
    </row>
    <row r="10" spans="1:19" x14ac:dyDescent="0.3">
      <c r="A10" s="14" t="s">
        <v>60</v>
      </c>
      <c r="B10" s="15" t="s">
        <v>16</v>
      </c>
      <c r="C10" s="15" t="s">
        <v>17</v>
      </c>
      <c r="D10" s="15" t="s">
        <v>18</v>
      </c>
      <c r="E10" s="15" t="s">
        <v>19</v>
      </c>
      <c r="F10" s="16" t="s">
        <v>20</v>
      </c>
      <c r="H10" s="27" t="s">
        <v>14</v>
      </c>
      <c r="I10" s="34">
        <f>'[7]Financial Projections'!V8</f>
        <v>178387.82998757449</v>
      </c>
      <c r="J10" s="34">
        <f>'[7]Financial Projections'!W8</f>
        <v>197195.76538546989</v>
      </c>
      <c r="K10" s="34">
        <f>'[7]Financial Projections'!X8</f>
        <v>218724.97078884928</v>
      </c>
      <c r="L10" s="34">
        <f>'[7]Financial Projections'!Y8</f>
        <v>243407.1892042929</v>
      </c>
      <c r="M10" s="34">
        <f>'[7]Financial Projections'!Z8</f>
        <v>271744.08776030689</v>
      </c>
      <c r="N10" s="34">
        <f>'[7]Financial Projections'!AA8</f>
        <v>304318.63124557206</v>
      </c>
    </row>
    <row r="11" spans="1:19" x14ac:dyDescent="0.3">
      <c r="A11" s="11" t="s">
        <v>61</v>
      </c>
      <c r="B11" s="12">
        <f>'[7]Balance Sheet-Banks'!L75</f>
        <v>706246.08569999994</v>
      </c>
      <c r="C11" s="12">
        <f>'[7]Balance Sheet-Banks'!M75</f>
        <v>733729.03999999992</v>
      </c>
      <c r="D11" s="12">
        <f>'[7]Balance Sheet-Banks'!N75</f>
        <v>859020.4</v>
      </c>
      <c r="E11" s="12">
        <f>'[7]Balance Sheet-Banks'!O75</f>
        <v>1083866.26</v>
      </c>
      <c r="F11" s="12">
        <f>'[7]Balance Sheet-Banks'!P75</f>
        <v>1260776.17</v>
      </c>
      <c r="H11" s="11" t="s">
        <v>221</v>
      </c>
      <c r="I11" s="12">
        <f>'[7]Financial Projections'!V12</f>
        <v>70122.988976804292</v>
      </c>
      <c r="J11" s="12">
        <f>'[7]Financial Projections'!W12</f>
        <v>85376.910204187516</v>
      </c>
      <c r="K11" s="12">
        <f>'[7]Financial Projections'!X12</f>
        <v>99628.746308715956</v>
      </c>
      <c r="L11" s="12">
        <f>'[7]Financial Projections'!Y12</f>
        <v>116556.58908710605</v>
      </c>
      <c r="M11" s="12">
        <f>'[7]Financial Projections'!Z12</f>
        <v>136630.42726032954</v>
      </c>
      <c r="N11" s="12">
        <f>'[7]Financial Projections'!AA12</f>
        <v>160399.3935164751</v>
      </c>
    </row>
    <row r="12" spans="1:19" x14ac:dyDescent="0.3">
      <c r="A12" s="11" t="s">
        <v>62</v>
      </c>
      <c r="B12" s="12">
        <f>'[7]Balance Sheet-Banks'!L13</f>
        <v>800784.45</v>
      </c>
      <c r="C12" s="12">
        <f>'[7]Balance Sheet-Banks'!M13</f>
        <v>932522.15</v>
      </c>
      <c r="D12" s="12">
        <f>'[7]Balance Sheet-Banks'!N13</f>
        <v>1064571.6099999999</v>
      </c>
      <c r="E12" s="12">
        <f>'[7]Balance Sheet-Banks'!O13</f>
        <v>1210832.1399999999</v>
      </c>
      <c r="F12" s="12">
        <f>'[7]Balance Sheet-Banks'!P13</f>
        <v>1443579.94</v>
      </c>
    </row>
    <row r="13" spans="1:19" x14ac:dyDescent="0.3">
      <c r="A13" s="11" t="s">
        <v>63</v>
      </c>
      <c r="B13" s="13">
        <f>'[7]Financial Ratios-Banks'!N5</f>
        <v>3.4939199751295828E-2</v>
      </c>
      <c r="C13" s="13">
        <f>'[7]Financial Ratios-Banks'!O5</f>
        <v>3.8412646584576958E-2</v>
      </c>
      <c r="D13" s="13">
        <f>'[7]Financial Ratios-Banks'!P5</f>
        <v>4.0594939783180718E-2</v>
      </c>
      <c r="E13" s="13">
        <f>'[7]Financial Ratios-Banks'!Q5</f>
        <v>4.0920667026265983E-2</v>
      </c>
      <c r="F13" s="13">
        <f>'[7]Financial Ratios-Banks'!R5</f>
        <v>4.0905303093127787E-2</v>
      </c>
      <c r="H13" s="17" t="s">
        <v>60</v>
      </c>
      <c r="I13" s="18" t="s">
        <v>21</v>
      </c>
      <c r="J13" s="18" t="s">
        <v>22</v>
      </c>
      <c r="K13" s="18" t="s">
        <v>23</v>
      </c>
      <c r="L13" s="18" t="s">
        <v>24</v>
      </c>
      <c r="M13" s="18" t="s">
        <v>25</v>
      </c>
      <c r="N13" s="19" t="s">
        <v>26</v>
      </c>
    </row>
    <row r="14" spans="1:19" x14ac:dyDescent="0.3">
      <c r="A14" s="11" t="s">
        <v>64</v>
      </c>
      <c r="B14" s="13">
        <f>'[7]Financial Ratios-Banks'!N13</f>
        <v>1.14E-2</v>
      </c>
      <c r="C14" s="13">
        <f>'[7]Financial Ratios-Banks'!O13</f>
        <v>7.6E-3</v>
      </c>
      <c r="D14" s="13">
        <f>'[7]Financial Ratios-Banks'!P13</f>
        <v>4.7999999999999996E-3</v>
      </c>
      <c r="E14" s="13">
        <f>'[7]Financial Ratios-Banks'!Q13</f>
        <v>4.1999999999999997E-3</v>
      </c>
      <c r="F14" s="13">
        <f>'[7]Financial Ratios-Banks'!R13</f>
        <v>3.8999999999999998E-3</v>
      </c>
      <c r="H14" s="20" t="s">
        <v>61</v>
      </c>
      <c r="I14" s="21">
        <f>'[7]Financial Projections'!AE5</f>
        <v>4154046.7403928745</v>
      </c>
      <c r="J14" s="21">
        <f>'[7]Financial Projections'!AF5</f>
        <v>4559952.6876356276</v>
      </c>
      <c r="K14" s="21">
        <f>'[7]Financial Projections'!AG5</f>
        <v>5005521.0769026736</v>
      </c>
      <c r="L14" s="21">
        <f>'[7]Financial Projections'!AH5</f>
        <v>5494627.4594590692</v>
      </c>
      <c r="M14" s="21">
        <f>'[7]Financial Projections'!AI5</f>
        <v>6031526.0797829321</v>
      </c>
      <c r="N14" s="22">
        <f>'[7]Financial Projections'!AJ5</f>
        <v>6620886.8789592348</v>
      </c>
    </row>
    <row r="15" spans="1:19" x14ac:dyDescent="0.3">
      <c r="A15" s="11" t="s">
        <v>65</v>
      </c>
      <c r="B15" s="13">
        <f>'[7]Financial Ratios-Banks'!N6</f>
        <v>1.6537610755695868E-2</v>
      </c>
      <c r="C15" s="13">
        <f>'[7]Financial Ratios-Banks'!O6</f>
        <v>1.7596730653264288E-2</v>
      </c>
      <c r="D15" s="13">
        <f>'[7]Financial Ratios-Banks'!P6</f>
        <v>1.9037879694638233E-2</v>
      </c>
      <c r="E15" s="13">
        <f>'[7]Financial Ratios-Banks'!Q6</f>
        <v>4.3304004742145772E-3</v>
      </c>
      <c r="F15" s="13">
        <f>'[7]Financial Ratios-Banks'!R6</f>
        <v>5.0106544021304919E-3</v>
      </c>
      <c r="H15" s="23" t="s">
        <v>68</v>
      </c>
      <c r="I15" s="24">
        <f>'[7]Financial Projections'!AE14</f>
        <v>65752.222358490893</v>
      </c>
      <c r="J15" s="24">
        <f>'[7]Financial Projections'!AF14</f>
        <v>78715.148775338923</v>
      </c>
      <c r="K15" s="24">
        <f>'[7]Financial Projections'!AG14</f>
        <v>81703.994020219237</v>
      </c>
      <c r="L15" s="24">
        <f>'[7]Financial Projections'!AH14</f>
        <v>84386.945375224182</v>
      </c>
      <c r="M15" s="24">
        <f>'[7]Financial Projections'!AI14</f>
        <v>86658.405363091806</v>
      </c>
      <c r="N15" s="25">
        <f>'[7]Financial Projections'!AJ14</f>
        <v>88392.907097402698</v>
      </c>
    </row>
    <row r="16" spans="1:19" x14ac:dyDescent="0.3">
      <c r="A16" s="11" t="s">
        <v>66</v>
      </c>
      <c r="B16" s="13">
        <f>'[7]Financial Ratios-Banks'!N7</f>
        <v>8.651293054283922E-2</v>
      </c>
      <c r="C16" s="13">
        <f>'[7]Financial Ratios-Banks'!O7</f>
        <v>0.10977407711167543</v>
      </c>
      <c r="D16" s="13">
        <f>'[7]Financial Ratios-Banks'!P7</f>
        <v>0.13687890691069401</v>
      </c>
      <c r="E16" s="13">
        <f>'[7]Financial Ratios-Banks'!Q7</f>
        <v>0.15581120686022695</v>
      </c>
      <c r="F16" s="13">
        <f>'[7]Financial Ratios-Banks'!R7</f>
        <v>0.16667175754063712</v>
      </c>
      <c r="H16" s="26" t="s">
        <v>14</v>
      </c>
      <c r="I16" s="36">
        <f>'[7]Financial Projections'!AE8</f>
        <v>368705.0113425405</v>
      </c>
      <c r="J16" s="36">
        <f>'[7]Financial Projections'!AF8</f>
        <v>406003.47632396268</v>
      </c>
      <c r="K16" s="36">
        <f>'[7]Financial Projections'!AG8</f>
        <v>447082.81850027276</v>
      </c>
      <c r="L16" s="36">
        <f>'[7]Financial Projections'!AH8</f>
        <v>492327.07420673873</v>
      </c>
      <c r="M16" s="36">
        <f>'[7]Financial Projections'!AI8</f>
        <v>542159.36524411011</v>
      </c>
      <c r="N16" s="35">
        <f>'[7]Financial Projections'!AJ8</f>
        <v>597045.88456818729</v>
      </c>
    </row>
    <row r="17" spans="1:14" x14ac:dyDescent="0.3">
      <c r="A17" s="11" t="s">
        <v>67</v>
      </c>
      <c r="B17" s="13">
        <f>'[7]Financial Ratios-Banks'!N16</f>
        <v>0</v>
      </c>
      <c r="C17" s="13">
        <f>'[7]Financial Ratios-Banks'!O16</f>
        <v>0.19120000000000004</v>
      </c>
      <c r="D17" s="13">
        <f>'[7]Financial Ratios-Banks'!P16</f>
        <v>0.19159999999999999</v>
      </c>
      <c r="E17" s="13">
        <f>'[7]Financial Ratios-Banks'!Q16</f>
        <v>0</v>
      </c>
      <c r="F17" s="13">
        <f>'[7]Financial Ratios-Banks'!R16</f>
        <v>0</v>
      </c>
      <c r="H17" s="11" t="s">
        <v>221</v>
      </c>
      <c r="I17" s="12">
        <f>'[7]Financial Projections'!AE12</f>
        <v>87669.629811321181</v>
      </c>
      <c r="J17" s="12">
        <f>'[7]Financial Projections'!AF12</f>
        <v>104953.5317004519</v>
      </c>
      <c r="K17" s="12">
        <f>'[7]Financial Projections'!AG12</f>
        <v>108938.65869362565</v>
      </c>
      <c r="L17" s="12">
        <f>'[7]Financial Projections'!AH12</f>
        <v>112515.92716696557</v>
      </c>
      <c r="M17" s="12">
        <f>'[7]Financial Projections'!AI12</f>
        <v>115544.54048412241</v>
      </c>
      <c r="N17" s="12">
        <f>'[7]Financial Projections'!AJ12</f>
        <v>117857.2094632036</v>
      </c>
    </row>
    <row r="19" spans="1:14" x14ac:dyDescent="0.3">
      <c r="A19" s="14" t="s">
        <v>60</v>
      </c>
      <c r="B19" s="15" t="s">
        <v>16</v>
      </c>
      <c r="C19" s="15" t="s">
        <v>17</v>
      </c>
      <c r="D19" s="15" t="s">
        <v>18</v>
      </c>
      <c r="E19" s="15" t="s">
        <v>19</v>
      </c>
      <c r="F19" s="16" t="s">
        <v>20</v>
      </c>
      <c r="H19" s="17" t="s">
        <v>60</v>
      </c>
      <c r="I19" s="18" t="s">
        <v>21</v>
      </c>
      <c r="J19" s="18" t="s">
        <v>22</v>
      </c>
      <c r="K19" s="18" t="s">
        <v>23</v>
      </c>
      <c r="L19" s="18" t="s">
        <v>24</v>
      </c>
      <c r="M19" s="18" t="s">
        <v>25</v>
      </c>
      <c r="N19" s="19" t="s">
        <v>26</v>
      </c>
    </row>
    <row r="20" spans="1:14" x14ac:dyDescent="0.3">
      <c r="A20" s="11" t="s">
        <v>61</v>
      </c>
      <c r="B20" s="12">
        <f>'[7]Balance Sheet-Banks'!Q75</f>
        <v>2374311.1500000004</v>
      </c>
      <c r="C20" s="12">
        <f>'[7]Balance Sheet-Banks'!R75</f>
        <v>2500598.9677999998</v>
      </c>
      <c r="D20" s="12">
        <f>'[7]Balance Sheet-Banks'!S75</f>
        <v>2794075.9758000001</v>
      </c>
      <c r="E20" s="12">
        <f>'[7]Balance Sheet-Banks'!T75</f>
        <v>3267902.1236</v>
      </c>
      <c r="F20" s="12">
        <f>'[7]Balance Sheet-Banks'!U75</f>
        <v>3784272.6676000003</v>
      </c>
      <c r="H20" s="20" t="s">
        <v>61</v>
      </c>
      <c r="I20" s="21">
        <f>'[7]Financial Projections'!D5</f>
        <v>1113076.3431270414</v>
      </c>
      <c r="J20" s="21">
        <f>'[7]Financial Projections'!E5</f>
        <v>1239765.2739794801</v>
      </c>
      <c r="K20" s="21">
        <f>'[7]Financial Projections'!F5</f>
        <v>1380873.7774871453</v>
      </c>
      <c r="L20" s="21">
        <f>'[7]Financial Projections'!G5</f>
        <v>1538043.0710331206</v>
      </c>
      <c r="M20" s="21">
        <f>'[7]Financial Projections'!H5</f>
        <v>1713101.1732714393</v>
      </c>
      <c r="N20" s="22">
        <f>'[7]Financial Projections'!I5</f>
        <v>1908084.1656096801</v>
      </c>
    </row>
    <row r="21" spans="1:14" x14ac:dyDescent="0.3">
      <c r="A21" s="11" t="s">
        <v>62</v>
      </c>
      <c r="B21" s="12">
        <f>'[7]Balance Sheet-Banks'!Q13</f>
        <v>3274160.6100000003</v>
      </c>
      <c r="C21" s="12">
        <f>'[7]Balance Sheet-Banks'!R13</f>
        <v>3715331.23</v>
      </c>
      <c r="D21" s="12">
        <f>'[7]Balance Sheet-Banks'!S13</f>
        <v>4087410.5971999997</v>
      </c>
      <c r="E21" s="12">
        <f>'[7]Balance Sheet-Banks'!T13</f>
        <v>4468535.4899999993</v>
      </c>
      <c r="F21" s="12">
        <f>'[7]Balance Sheet-Banks'!U13</f>
        <v>4966537.47</v>
      </c>
      <c r="H21" s="23" t="s">
        <v>68</v>
      </c>
      <c r="I21" s="24">
        <f>'[7]Financial Projections'!D14</f>
        <v>26450.450082333453</v>
      </c>
      <c r="J21" s="24">
        <f>'[7]Financial Projections'!E14</f>
        <v>34713.369050721674</v>
      </c>
      <c r="K21" s="24">
        <f>'[7]Financial Projections'!F14</f>
        <v>38340.122318173781</v>
      </c>
      <c r="L21" s="24">
        <f>'[7]Financial Projections'!G14</f>
        <v>42350.052180478684</v>
      </c>
      <c r="M21" s="24">
        <f>'[7]Financial Projections'!H14</f>
        <v>46783.317540727912</v>
      </c>
      <c r="N21" s="25">
        <f>'[7]Financial Projections'!I14</f>
        <v>51684.106101196587</v>
      </c>
    </row>
    <row r="22" spans="1:14" x14ac:dyDescent="0.3">
      <c r="A22" s="11" t="s">
        <v>63</v>
      </c>
      <c r="B22" s="13">
        <f>'[7]Financial Ratios-Banks'!T5</f>
        <v>3.0180422704034003E-2</v>
      </c>
      <c r="C22" s="13">
        <f>'[7]Financial Ratios-Banks'!U5</f>
        <v>2.9813056023339241E-2</v>
      </c>
      <c r="D22" s="13">
        <f>'[7]Financial Ratios-Banks'!V5</f>
        <v>2.9269536184298714E-2</v>
      </c>
      <c r="E22" s="13">
        <f>'[7]Financial Ratios-Banks'!W5</f>
        <v>3.1048727043004602E-2</v>
      </c>
      <c r="F22" s="13">
        <f>'[7]Financial Ratios-Banks'!X5</f>
        <v>3.0442394818105532E-2</v>
      </c>
      <c r="H22" s="26" t="s">
        <v>14</v>
      </c>
      <c r="I22" s="36">
        <f>'[7]Financial Projections'!D8</f>
        <v>86510.209591432169</v>
      </c>
      <c r="J22" s="36">
        <f>'[7]Financial Projections'!E8</f>
        <v>97760.527157166594</v>
      </c>
      <c r="K22" s="36">
        <f>'[7]Financial Projections'!F8</f>
        <v>110536.23905754853</v>
      </c>
      <c r="L22" s="36">
        <f>'[7]Financial Projections'!G8</f>
        <v>125050.62262987698</v>
      </c>
      <c r="M22" s="36">
        <f>'[7]Financial Projections'!H8</f>
        <v>141547.41612594799</v>
      </c>
      <c r="N22" s="35">
        <f>'[7]Financial Projections'!I8</f>
        <v>160305.23095632804</v>
      </c>
    </row>
    <row r="23" spans="1:14" x14ac:dyDescent="0.3">
      <c r="A23" s="11" t="s">
        <v>64</v>
      </c>
      <c r="B23" s="13">
        <f>'[7]Financial Ratios-Banks'!T13</f>
        <v>1.4999999999999999E-2</v>
      </c>
      <c r="C23" s="13">
        <f>'[7]Financial Ratios-Banks'!U13</f>
        <v>1.0200000000000001E-2</v>
      </c>
      <c r="D23" s="13">
        <f>'[7]Financial Ratios-Banks'!V13</f>
        <v>6.7000000000000002E-3</v>
      </c>
      <c r="E23" s="13">
        <f>'[7]Financial Ratios-Banks'!W13</f>
        <v>5.7000000000000002E-3</v>
      </c>
      <c r="F23" s="13">
        <f>'[7]Financial Ratios-Banks'!X13</f>
        <v>4.7000000000000002E-3</v>
      </c>
      <c r="H23" s="11" t="s">
        <v>221</v>
      </c>
      <c r="I23" s="12">
        <f>'[7]Financial Projections'!D12</f>
        <v>35347.387521493321</v>
      </c>
      <c r="J23" s="12">
        <f>'[7]Financial Projections'!E12</f>
        <v>46389.64192265358</v>
      </c>
      <c r="K23" s="12">
        <f>'[7]Financial Projections'!F12</f>
        <v>51236.29870128796</v>
      </c>
      <c r="L23" s="12">
        <f>'[7]Financial Projections'!G12</f>
        <v>56595.018282077624</v>
      </c>
      <c r="M23" s="12">
        <f>'[7]Financial Projections'!H12</f>
        <v>62519.467514002288</v>
      </c>
      <c r="N23" s="12">
        <f>'[7]Financial Projections'!I12</f>
        <v>69068.697181874362</v>
      </c>
    </row>
    <row r="24" spans="1:14" x14ac:dyDescent="0.3">
      <c r="A24" s="11" t="s">
        <v>65</v>
      </c>
      <c r="B24" s="13">
        <f>'[7]Financial Ratios-Banks'!T6</f>
        <v>6.7817500515936742E-3</v>
      </c>
      <c r="C24" s="13">
        <f>'[7]Financial Ratios-Banks'!U6</f>
        <v>9.49856518904235E-3</v>
      </c>
      <c r="D24" s="13">
        <f>'[7]Financial Ratios-Banks'!V6</f>
        <v>1.0118874332278593E-2</v>
      </c>
      <c r="E24" s="13">
        <f>'[7]Financial Ratios-Banks'!W6</f>
        <v>9.49856518904235E-3</v>
      </c>
      <c r="F24" s="13">
        <f>'[7]Financial Ratios-Banks'!X6</f>
        <v>1.0118874332278593E-2</v>
      </c>
    </row>
    <row r="25" spans="1:14" x14ac:dyDescent="0.3">
      <c r="A25" s="11" t="s">
        <v>66</v>
      </c>
      <c r="B25" s="13">
        <f>'[7]Financial Ratios-Banks'!T7</f>
        <v>7.0179713482350886E-2</v>
      </c>
      <c r="C25" s="13">
        <f>'[7]Financial Ratios-Banks'!U7</f>
        <v>8.513599931778186E-2</v>
      </c>
      <c r="D25" s="13">
        <f>'[7]Financial Ratios-Banks'!V7</f>
        <v>0.11476228668176004</v>
      </c>
      <c r="E25" s="13">
        <f>'[7]Financial Ratios-Banks'!W7</f>
        <v>0.15213370185356512</v>
      </c>
      <c r="F25" s="13">
        <f>'[7]Financial Ratios-Banks'!X7</f>
        <v>0.15825602725473359</v>
      </c>
      <c r="H25" s="29" t="s">
        <v>60</v>
      </c>
      <c r="I25" s="30" t="s">
        <v>21</v>
      </c>
      <c r="J25" s="30" t="s">
        <v>22</v>
      </c>
      <c r="K25" s="30" t="s">
        <v>23</v>
      </c>
      <c r="L25" s="30" t="s">
        <v>24</v>
      </c>
      <c r="M25" s="30" t="s">
        <v>25</v>
      </c>
      <c r="N25" s="30" t="s">
        <v>26</v>
      </c>
    </row>
    <row r="26" spans="1:14" x14ac:dyDescent="0.3">
      <c r="A26" s="11" t="s">
        <v>67</v>
      </c>
      <c r="B26" s="13">
        <f>'[7]Financial Ratios-Banks'!T16</f>
        <v>0</v>
      </c>
      <c r="C26" s="13">
        <f>'[7]Financial Ratios-Banks'!U16</f>
        <v>0</v>
      </c>
      <c r="D26" s="13">
        <f>'[7]Financial Ratios-Banks'!V16</f>
        <v>0</v>
      </c>
      <c r="E26" s="13">
        <f>'[7]Financial Ratios-Banks'!W16</f>
        <v>0</v>
      </c>
      <c r="F26" s="13">
        <f>'[7]Financial Ratios-Banks'!X16</f>
        <v>0</v>
      </c>
      <c r="H26" s="27" t="s">
        <v>61</v>
      </c>
      <c r="I26" s="21">
        <f>'[7]Financial Projections'!BF5</f>
        <v>999866.04930453282</v>
      </c>
      <c r="J26" s="21">
        <f>'[7]Financial Projections'!BG5</f>
        <v>1133648.0184309967</v>
      </c>
      <c r="K26" s="21">
        <f>'[7]Financial Projections'!BH5</f>
        <v>1285330.0005400025</v>
      </c>
      <c r="L26" s="21">
        <f>'[7]Financial Projections'!BI5</f>
        <v>1457307.0154303117</v>
      </c>
      <c r="M26" s="21">
        <f>'[7]Financial Projections'!BJ5</f>
        <v>1652294.5362904153</v>
      </c>
      <c r="N26" s="21">
        <f>'[7]Financial Projections'!BK5</f>
        <v>1873371.3663273796</v>
      </c>
    </row>
    <row r="27" spans="1:14" x14ac:dyDescent="0.3">
      <c r="H27" s="28" t="s">
        <v>68</v>
      </c>
      <c r="I27" s="24">
        <f>'[7]Financial Projections'!BF14</f>
        <v>70110.224540334835</v>
      </c>
      <c r="J27" s="24">
        <f>'[7]Financial Projections'!BG14</f>
        <v>79613.82846189657</v>
      </c>
      <c r="K27" s="24">
        <f>'[7]Financial Projections'!BH14</f>
        <v>90409.087715849499</v>
      </c>
      <c r="L27" s="24">
        <f>'[7]Financial Projections'!BI14</f>
        <v>102672.10547967436</v>
      </c>
      <c r="M27" s="24">
        <f>'[7]Financial Projections'!BJ14</f>
        <v>116603.08339549002</v>
      </c>
      <c r="N27" s="24">
        <f>'[7]Financial Projections'!BK14</f>
        <v>132429.63349700524</v>
      </c>
    </row>
    <row r="28" spans="1:14" x14ac:dyDescent="0.3">
      <c r="A28" s="14" t="s">
        <v>60</v>
      </c>
      <c r="B28" s="15" t="s">
        <v>16</v>
      </c>
      <c r="C28" s="15" t="s">
        <v>17</v>
      </c>
      <c r="D28" s="15" t="s">
        <v>18</v>
      </c>
      <c r="E28" s="15" t="s">
        <v>19</v>
      </c>
      <c r="F28" s="16" t="s">
        <v>20</v>
      </c>
      <c r="H28" s="27" t="s">
        <v>14</v>
      </c>
      <c r="I28" s="34">
        <f>'[7]Financial Projections'!BF8</f>
        <v>121936.10218944657</v>
      </c>
      <c r="J28" s="34">
        <f>'[7]Financial Projections'!BG8</f>
        <v>138463.52452090735</v>
      </c>
      <c r="K28" s="34">
        <f>'[7]Financial Projections'!BH8</f>
        <v>157237.01489204139</v>
      </c>
      <c r="L28" s="34">
        <f>'[7]Financial Projections'!BI8</f>
        <v>178562.76657142013</v>
      </c>
      <c r="M28" s="34">
        <f>'[7]Financial Projections'!BJ8</f>
        <v>202788.86778772809</v>
      </c>
      <c r="N28" s="34">
        <f>'[7]Financial Projections'!BK8</f>
        <v>230311.05862077858</v>
      </c>
    </row>
    <row r="29" spans="1:14" x14ac:dyDescent="0.3">
      <c r="A29" s="11" t="s">
        <v>61</v>
      </c>
      <c r="B29" s="12">
        <f>'[7]Balance Sheet-Banks'!B75</f>
        <v>582958.80000000005</v>
      </c>
      <c r="C29" s="12">
        <f>'[7]Balance Sheet-Banks'!C75</f>
        <v>625749.9</v>
      </c>
      <c r="D29" s="12">
        <f>'[7]Balance Sheet-Banks'!D75</f>
        <v>725125.5</v>
      </c>
      <c r="E29" s="12">
        <f>'[7]Balance Sheet-Banks'!E75</f>
        <v>868387.54</v>
      </c>
      <c r="F29" s="12">
        <f>'[7]Balance Sheet-Banks'!F75</f>
        <v>999333.47999999986</v>
      </c>
      <c r="H29" s="11" t="s">
        <v>221</v>
      </c>
      <c r="I29" s="12">
        <f>'[7]Financial Projections'!BF12</f>
        <v>93692.669437838878</v>
      </c>
      <c r="J29" s="12">
        <f>'[7]Financial Projections'!BG12</f>
        <v>106392.92858732669</v>
      </c>
      <c r="K29" s="12">
        <f>'[7]Financial Projections'!BH12</f>
        <v>120819.30738453762</v>
      </c>
      <c r="L29" s="12">
        <f>'[7]Financial Projections'!BI12</f>
        <v>137207.14349816163</v>
      </c>
      <c r="M29" s="12">
        <f>'[7]Financial Projections'!BJ12</f>
        <v>155823.97887944677</v>
      </c>
      <c r="N29" s="12">
        <f>'[7]Financial Projections'!BK12</f>
        <v>176973.98569691999</v>
      </c>
    </row>
    <row r="30" spans="1:14" x14ac:dyDescent="0.3">
      <c r="A30" s="11" t="s">
        <v>62</v>
      </c>
      <c r="B30" s="12">
        <f>'[7]Balance Sheet-Banks'!B13</f>
        <v>642157.20000000007</v>
      </c>
      <c r="C30" s="12">
        <f>'[7]Balance Sheet-Banks'!C13</f>
        <v>698302.63</v>
      </c>
      <c r="D30" s="12">
        <f>'[7]Balance Sheet-Banks'!D13</f>
        <v>820914.16</v>
      </c>
      <c r="E30" s="12">
        <f>'[7]Balance Sheet-Banks'!E13</f>
        <v>945824.72</v>
      </c>
      <c r="F30" s="12">
        <f>'[7]Balance Sheet-Banks'!F13</f>
        <v>1067102.4000000001</v>
      </c>
    </row>
    <row r="31" spans="1:14" x14ac:dyDescent="0.3">
      <c r="A31" s="11" t="s">
        <v>63</v>
      </c>
      <c r="B31" s="13">
        <f>'[7]Financial Ratios-Banks'!B5</f>
        <v>3.4839247014397376E-2</v>
      </c>
      <c r="C31" s="13">
        <f>'[7]Financial Ratios-Banks'!C5</f>
        <v>3.4978828864548971E-2</v>
      </c>
      <c r="D31" s="13">
        <f>'[7]Financial Ratios-Banks'!D5</f>
        <v>3.3932438583665528E-2</v>
      </c>
      <c r="E31" s="13">
        <f>'[7]Financial Ratios-Banks'!E5</f>
        <v>3.8097614925163094E-2</v>
      </c>
      <c r="F31" s="13">
        <f>'[7]Financial Ratios-Banks'!F5</f>
        <v>3.8573855203025836E-2</v>
      </c>
      <c r="H31" s="29" t="s">
        <v>60</v>
      </c>
      <c r="I31" s="30" t="s">
        <v>21</v>
      </c>
      <c r="J31" s="30" t="s">
        <v>22</v>
      </c>
      <c r="K31" s="30" t="s">
        <v>23</v>
      </c>
      <c r="L31" s="30" t="s">
        <v>24</v>
      </c>
      <c r="M31" s="30" t="s">
        <v>25</v>
      </c>
      <c r="N31" s="30" t="s">
        <v>26</v>
      </c>
    </row>
    <row r="32" spans="1:14" x14ac:dyDescent="0.3">
      <c r="A32" s="11" t="s">
        <v>64</v>
      </c>
      <c r="B32" s="13">
        <f>'[7]Financial Ratios-Banks'!B13</f>
        <v>1.5599999999999999E-2</v>
      </c>
      <c r="C32" s="13">
        <f>'[7]Financial Ratios-Banks'!C13</f>
        <v>1.0500000000000001E-2</v>
      </c>
      <c r="D32" s="13">
        <f>'[7]Financial Ratios-Banks'!D13</f>
        <v>7.3000000000000001E-3</v>
      </c>
      <c r="E32" s="13">
        <f>'[7]Financial Ratios-Banks'!E13</f>
        <v>3.8999999999999998E-3</v>
      </c>
      <c r="F32" s="13">
        <f>'[7]Financial Ratios-Banks'!F13</f>
        <v>3.0999999999999999E-3</v>
      </c>
      <c r="H32" s="27" t="s">
        <v>61</v>
      </c>
      <c r="I32" s="21">
        <f>'[7]Financial Projections'!AW5</f>
        <v>385704.45108491846</v>
      </c>
      <c r="J32" s="21">
        <f>'[7]Financial Projections'!AX5</f>
        <v>455933.09598467493</v>
      </c>
      <c r="K32" s="21">
        <f>'[7]Financial Projections'!AY5</f>
        <v>538948.89579172654</v>
      </c>
      <c r="L32" s="21">
        <f>'[7]Financial Projections'!AZ5</f>
        <v>637080.12169593538</v>
      </c>
      <c r="M32" s="21">
        <f>'[7]Financial Projections'!BA5</f>
        <v>753078.97396074119</v>
      </c>
      <c r="N32" s="21">
        <f>'[7]Financial Projections'!BB5</f>
        <v>890198.77046554699</v>
      </c>
    </row>
    <row r="33" spans="1:14" x14ac:dyDescent="0.3">
      <c r="A33" s="11" t="s">
        <v>65</v>
      </c>
      <c r="B33" s="13">
        <f>'[7]Financial Ratios-Banks'!B6</f>
        <v>1.1847772664158384E-2</v>
      </c>
      <c r="C33" s="13">
        <f>'[7]Financial Ratios-Banks'!C6</f>
        <v>8.0723854656032639E-3</v>
      </c>
      <c r="D33" s="13">
        <f>'[7]Financial Ratios-Banks'!D6</f>
        <v>1.7404076815255114E-2</v>
      </c>
      <c r="E33" s="13">
        <f>'[7]Financial Ratios-Banks'!E6</f>
        <v>1.7267152457068325E-2</v>
      </c>
      <c r="F33" s="13">
        <f>'[7]Financial Ratios-Banks'!F6</f>
        <v>1.7703057507999886E-2</v>
      </c>
      <c r="H33" s="28" t="s">
        <v>68</v>
      </c>
      <c r="I33" s="24">
        <f>'[7]Financial Projections'!AW14</f>
        <v>19512.44148055806</v>
      </c>
      <c r="J33" s="24">
        <f>'[7]Financial Projections'!AX14</f>
        <v>22922.014361005356</v>
      </c>
      <c r="K33" s="24">
        <f>'[7]Financial Projections'!AY14</f>
        <v>26931.851785541548</v>
      </c>
      <c r="L33" s="24">
        <f>'[7]Financial Projections'!AZ14</f>
        <v>31648.301797394175</v>
      </c>
      <c r="M33" s="24">
        <f>'[7]Financial Projections'!BA14</f>
        <v>37196.653355654264</v>
      </c>
      <c r="N33" s="24">
        <f>'[7]Financial Projections'!BB14</f>
        <v>43724.524422315648</v>
      </c>
    </row>
    <row r="34" spans="1:14" x14ac:dyDescent="0.3">
      <c r="A34" s="11" t="s">
        <v>66</v>
      </c>
      <c r="B34" s="13">
        <f>'[7]Financial Ratios-Banks'!B7</f>
        <v>2.1731233395065531E-2</v>
      </c>
      <c r="C34" s="13">
        <f>'[7]Financial Ratios-Banks'!C7</f>
        <v>6.9890799089695269E-2</v>
      </c>
      <c r="D34" s="13">
        <f>'[7]Financial Ratios-Banks'!D7</f>
        <v>0.11950818248863654</v>
      </c>
      <c r="E34" s="13">
        <f>'[7]Financial Ratios-Banks'!E7</f>
        <v>8.3369707417163416E-2</v>
      </c>
      <c r="F34" s="13">
        <f>'[7]Financial Ratios-Banks'!F7</f>
        <v>0.16774405458099576</v>
      </c>
      <c r="H34" s="27" t="s">
        <v>14</v>
      </c>
      <c r="I34" s="34">
        <f>'[7]Financial Projections'!AW8</f>
        <v>40392.275745855201</v>
      </c>
      <c r="J34" s="34">
        <f>'[7]Financial Projections'!AX8</f>
        <v>47451.993742223669</v>
      </c>
      <c r="K34" s="34">
        <f>'[7]Financial Projections'!AY8</f>
        <v>55754.838796928147</v>
      </c>
      <c r="L34" s="34">
        <f>'[7]Financial Projections'!AZ8</f>
        <v>65521.090306009763</v>
      </c>
      <c r="M34" s="34">
        <f>'[7]Financial Projections'!BA8</f>
        <v>77010.265457692352</v>
      </c>
      <c r="N34" s="34">
        <f>'[7]Financial Projections'!BB8</f>
        <v>90528.138740616807</v>
      </c>
    </row>
    <row r="35" spans="1:14" x14ac:dyDescent="0.3">
      <c r="A35" s="11" t="s">
        <v>67</v>
      </c>
      <c r="B35" s="13">
        <f>'[7]Financial Ratios-Banks'!B16</f>
        <v>0.17526661392534645</v>
      </c>
      <c r="C35" s="13">
        <f>'[7]Financial Ratios-Banks'!C16</f>
        <v>0.19119999119307146</v>
      </c>
      <c r="D35" s="13">
        <f>'[7]Financial Ratios-Banks'!D16</f>
        <v>0.18539112449331538</v>
      </c>
      <c r="E35" s="13">
        <f>'[7]Financial Ratios-Banks'!E16</f>
        <v>0.17638649885180335</v>
      </c>
      <c r="F35" s="13">
        <f>'[7]Financial Ratios-Banks'!F16</f>
        <v>0.1663252552407215</v>
      </c>
      <c r="H35" s="11" t="s">
        <v>221</v>
      </c>
      <c r="I35" s="12">
        <f>'[7]Financial Projections'!AW12</f>
        <v>26075.693546115275</v>
      </c>
      <c r="J35" s="12">
        <f>'[7]Financial Projections'!AX12</f>
        <v>30632.118616872049</v>
      </c>
      <c r="K35" s="12">
        <f>'[7]Financial Projections'!AY12</f>
        <v>35990.714667301283</v>
      </c>
      <c r="L35" s="12">
        <f>'[7]Financial Projections'!AZ12</f>
        <v>42293.601225971099</v>
      </c>
      <c r="M35" s="12">
        <f>'[7]Financial Projections'!BA12</f>
        <v>49708.209749638198</v>
      </c>
      <c r="N35" s="12">
        <f>'[7]Financial Projections'!BB12</f>
        <v>58431.811335447877</v>
      </c>
    </row>
    <row r="37" spans="1:14" x14ac:dyDescent="0.3">
      <c r="A37" s="14" t="s">
        <v>60</v>
      </c>
      <c r="B37" s="15" t="s">
        <v>16</v>
      </c>
      <c r="C37" s="15" t="s">
        <v>17</v>
      </c>
      <c r="D37" s="15" t="s">
        <v>18</v>
      </c>
      <c r="E37" s="15" t="s">
        <v>19</v>
      </c>
      <c r="F37" s="16" t="s">
        <v>20</v>
      </c>
      <c r="H37" s="29" t="s">
        <v>60</v>
      </c>
      <c r="I37" s="30" t="s">
        <v>70</v>
      </c>
      <c r="J37" s="30" t="s">
        <v>22</v>
      </c>
      <c r="K37" s="30" t="s">
        <v>23</v>
      </c>
      <c r="L37" s="30" t="s">
        <v>24</v>
      </c>
      <c r="M37" s="30" t="s">
        <v>25</v>
      </c>
      <c r="N37" s="30" t="s">
        <v>26</v>
      </c>
    </row>
    <row r="38" spans="1:14" x14ac:dyDescent="0.3">
      <c r="A38" s="11" t="s">
        <v>61</v>
      </c>
      <c r="B38" s="12">
        <f>'[7]Balance Sheet-NBFCs'!L27</f>
        <v>470677.41</v>
      </c>
      <c r="C38" s="12">
        <f>'[7]Balance Sheet-NBFCs'!M27</f>
        <v>588085.17000000004</v>
      </c>
      <c r="D38" s="12">
        <f>'[7]Balance Sheet-NBFCs'!N27</f>
        <v>645276.41</v>
      </c>
      <c r="E38" s="12">
        <f>'[7]Balance Sheet-NBFCs'!O27</f>
        <v>705543.84</v>
      </c>
      <c r="F38" s="12">
        <f>'[7]Balance Sheet-NBFCs'!P27</f>
        <v>881871.71</v>
      </c>
      <c r="H38" s="27" t="s">
        <v>61</v>
      </c>
      <c r="I38" s="32">
        <f>'[7]Financial Projections'!AN5</f>
        <v>97673.659974016409</v>
      </c>
      <c r="J38" s="32">
        <f>'[7]Financial Projections'!AO5</f>
        <v>120303.32440386471</v>
      </c>
      <c r="K38" s="32">
        <f>'[7]Financial Projections'!AP5</f>
        <v>148175.97565681121</v>
      </c>
      <c r="L38" s="32">
        <f>'[7]Financial Projections'!AQ5</f>
        <v>182506.34278517554</v>
      </c>
      <c r="M38" s="32">
        <f>'[7]Financial Projections'!AR5</f>
        <v>224790.59111421416</v>
      </c>
      <c r="N38" s="32">
        <f>'[7]Financial Projections'!AS5</f>
        <v>276871.52721566829</v>
      </c>
    </row>
    <row r="39" spans="1:14" x14ac:dyDescent="0.3">
      <c r="A39" s="11" t="s">
        <v>62</v>
      </c>
      <c r="B39" s="12">
        <f>'[7]Balance Sheet-NBFCs'!L14</f>
        <v>2560.06</v>
      </c>
      <c r="C39" s="12">
        <f>'[7]Balance Sheet-NBFCs'!M14</f>
        <v>2579.5300000000002</v>
      </c>
      <c r="D39" s="12">
        <f>'[7]Balance Sheet-NBFCs'!N14</f>
        <v>2235.2600000000002</v>
      </c>
      <c r="E39" s="12">
        <f>'[7]Balance Sheet-NBFCs'!O14</f>
        <v>3314.76</v>
      </c>
      <c r="F39" s="12">
        <f>'[7]Balance Sheet-NBFCs'!P14</f>
        <v>4018.26</v>
      </c>
      <c r="H39" s="28" t="s">
        <v>68</v>
      </c>
      <c r="I39" s="33">
        <f>'[7]Financial Projections'!AN14</f>
        <v>1973.3077313684844</v>
      </c>
      <c r="J39" s="33">
        <f>'[7]Financial Projections'!AO14</f>
        <v>2376.9939125370647</v>
      </c>
      <c r="K39" s="33">
        <f>'[7]Financial Projections'!AP14</f>
        <v>2872.1258946276339</v>
      </c>
      <c r="L39" s="33">
        <f>'[7]Financial Projections'!AQ14</f>
        <v>3479.8093484565752</v>
      </c>
      <c r="M39" s="33">
        <f>'[7]Financial Projections'!AR14</f>
        <v>4226.0366864655471</v>
      </c>
      <c r="N39" s="33">
        <f>'[7]Financial Projections'!AS14</f>
        <v>5142.8191317041001</v>
      </c>
    </row>
    <row r="40" spans="1:14" x14ac:dyDescent="0.3">
      <c r="A40" s="11" t="s">
        <v>63</v>
      </c>
      <c r="B40" s="13">
        <f>'[7]Financial Ratios-NBFCs'!L5</f>
        <v>0.13088292112909936</v>
      </c>
      <c r="C40" s="13">
        <f>'[7]Financial Ratios-NBFCs'!M5</f>
        <v>0.11923922011863398</v>
      </c>
      <c r="D40" s="13">
        <f>'[7]Financial Ratios-NBFCs'!N5</f>
        <v>0.11787989625868241</v>
      </c>
      <c r="E40" s="13">
        <f>'[7]Financial Ratios-NBFCs'!O5</f>
        <v>0.10332415022336962</v>
      </c>
      <c r="F40" s="13">
        <f>'[7]Financial Ratios-NBFCs'!P5</f>
        <v>0.10253835327550193</v>
      </c>
      <c r="H40" s="27" t="s">
        <v>14</v>
      </c>
      <c r="I40" s="35">
        <f>'[7]Financial Projections'!AN8</f>
        <v>3130.5904985818297</v>
      </c>
      <c r="J40" s="35">
        <f>'[7]Financial Projections'!AO8</f>
        <v>3772.7275349826473</v>
      </c>
      <c r="K40" s="35">
        <f>'[7]Financial Projections'!AP8</f>
        <v>4560.4009415582823</v>
      </c>
      <c r="L40" s="35">
        <f>'[7]Financial Projections'!AQ8</f>
        <v>5527.203467794895</v>
      </c>
      <c r="M40" s="35">
        <f>'[7]Financial Projections'!AR8</f>
        <v>6714.5059410424001</v>
      </c>
      <c r="N40" s="35">
        <f>'[7]Financial Projections'!AS8</f>
        <v>8173.259150794589</v>
      </c>
    </row>
    <row r="41" spans="1:14" x14ac:dyDescent="0.3">
      <c r="A41" s="11" t="s">
        <v>64</v>
      </c>
      <c r="B41" s="13">
        <f>'[7]Financial Ratios-NBFCs'!L13</f>
        <v>1.9599999999999999E-2</v>
      </c>
      <c r="C41" s="13">
        <f>'[7]Financial Ratios-NBFCs'!M13</f>
        <v>7.7999999999999996E-3</v>
      </c>
      <c r="D41" s="13">
        <f>'[7]Financial Ratios-NBFCs'!N13</f>
        <v>2.7099999999999999E-2</v>
      </c>
      <c r="E41" s="13">
        <f>'[7]Financial Ratios-NBFCs'!O13</f>
        <v>3.4500000000000003E-2</v>
      </c>
      <c r="F41" s="13">
        <f>'[7]Financial Ratios-NBFCs'!P13</f>
        <v>2.93E-2</v>
      </c>
      <c r="H41" s="1" t="s">
        <v>221</v>
      </c>
      <c r="I41" s="147">
        <f>'[7]Financial Projections'!AN12</f>
        <v>2637.0542982339762</v>
      </c>
      <c r="J41" s="147">
        <f>'[7]Financial Projections'!AO12</f>
        <v>3176.5253408219496</v>
      </c>
      <c r="K41" s="147">
        <f>'[7]Financial Projections'!AP12</f>
        <v>3838.2011153650055</v>
      </c>
      <c r="L41" s="147">
        <f>'[7]Financial Projections'!AQ12</f>
        <v>4650.286447222471</v>
      </c>
      <c r="M41" s="147">
        <f>'[7]Financial Projections'!AR12</f>
        <v>5647.516619625213</v>
      </c>
      <c r="N41" s="147">
        <f>'[7]Financial Projections'!AS12</f>
        <v>6872.6702281225444</v>
      </c>
    </row>
    <row r="42" spans="1:14" x14ac:dyDescent="0.3">
      <c r="A42" s="11" t="s">
        <v>65</v>
      </c>
      <c r="B42" s="13">
        <f>'[7]Financial Ratios-NBFCs'!L6</f>
        <v>5.7736576343163752E-2</v>
      </c>
      <c r="C42" s="13">
        <f>'[7]Financial Ratios-NBFCs'!M6</f>
        <v>5.5635054832405516E-2</v>
      </c>
      <c r="D42" s="13">
        <f>'[7]Financial Ratios-NBFCs'!N6</f>
        <v>5.2823771706224286E-2</v>
      </c>
      <c r="E42" s="13">
        <f>'[7]Financial Ratios-NBFCs'!O6</f>
        <v>4.5786842792142436E-2</v>
      </c>
      <c r="F42" s="13">
        <f>'[7]Financial Ratios-NBFCs'!P6</f>
        <v>4.6310986424506345E-2</v>
      </c>
    </row>
    <row r="43" spans="1:14" x14ac:dyDescent="0.3">
      <c r="A43" s="11" t="s">
        <v>66</v>
      </c>
      <c r="B43" s="13">
        <f>'[7]Financial Ratios-NBFCs'!L7</f>
        <v>0.26402700295766679</v>
      </c>
      <c r="C43" s="13">
        <f>'[7]Financial Ratios-NBFCs'!M7</f>
        <v>0.24232023655422719</v>
      </c>
      <c r="D43" s="13">
        <f>'[7]Financial Ratios-NBFCs'!N7</f>
        <v>0.21064614417384231</v>
      </c>
      <c r="E43" s="13">
        <f>'[7]Financial Ratios-NBFCs'!O7</f>
        <v>0.16565695250136281</v>
      </c>
      <c r="F43" s="13">
        <f>'[7]Financial Ratios-NBFCs'!P7</f>
        <v>0.173471579604598</v>
      </c>
    </row>
    <row r="44" spans="1:14" x14ac:dyDescent="0.3">
      <c r="A44" s="11" t="s">
        <v>69</v>
      </c>
      <c r="B44" s="13">
        <f>'[7]Financial Ratios-NBFCs'!L18</f>
        <v>0.24299859727325043</v>
      </c>
      <c r="C44" s="13">
        <f>'[7]Financial Ratios-NBFCs'!M18</f>
        <v>0.2631414317274679</v>
      </c>
      <c r="D44" s="13">
        <f>'[7]Financial Ratios-NBFCs'!N18</f>
        <v>0.29098575493609385</v>
      </c>
      <c r="E44" s="13">
        <f>'[7]Financial Ratios-NBFCs'!O18</f>
        <v>0.31011667366793672</v>
      </c>
      <c r="F44" s="13">
        <f>'[7]Financial Ratios-NBFCs'!P18</f>
        <v>0.29607880971069916</v>
      </c>
      <c r="H44" s="14" t="s">
        <v>60</v>
      </c>
      <c r="I44" s="15" t="s">
        <v>16</v>
      </c>
      <c r="J44" s="15" t="s">
        <v>17</v>
      </c>
      <c r="K44" s="15" t="s">
        <v>18</v>
      </c>
      <c r="L44" s="15" t="s">
        <v>19</v>
      </c>
      <c r="M44" s="16" t="s">
        <v>20</v>
      </c>
    </row>
    <row r="45" spans="1:14" x14ac:dyDescent="0.3">
      <c r="H45" s="11" t="s">
        <v>61</v>
      </c>
      <c r="I45" s="12">
        <f>'[7]Balance Sheet-NBFCs'!B27</f>
        <v>27975.41</v>
      </c>
      <c r="J45" s="12">
        <f>'[7]Balance Sheet-NBFCs'!C27</f>
        <v>33418.9</v>
      </c>
      <c r="K45" s="12">
        <f>'[7]Balance Sheet-NBFCs'!D27</f>
        <v>46482.07</v>
      </c>
      <c r="L45" s="12">
        <f>'[7]Balance Sheet-NBFCs'!E27</f>
        <v>62113.89</v>
      </c>
      <c r="M45" s="12">
        <f>'[7]Balance Sheet-NBFCs'!F27</f>
        <v>79300.75</v>
      </c>
    </row>
    <row r="46" spans="1:14" x14ac:dyDescent="0.3">
      <c r="A46" s="14" t="s">
        <v>60</v>
      </c>
      <c r="B46" s="15" t="s">
        <v>16</v>
      </c>
      <c r="C46" s="15" t="s">
        <v>17</v>
      </c>
      <c r="D46" s="15" t="s">
        <v>18</v>
      </c>
      <c r="E46" s="15" t="s">
        <v>19</v>
      </c>
      <c r="F46" s="16" t="s">
        <v>20</v>
      </c>
      <c r="H46" s="11" t="s">
        <v>62</v>
      </c>
      <c r="I46" s="12">
        <f>'[7]Balance Sheet-NBFCs'!B14</f>
        <v>0</v>
      </c>
      <c r="J46" s="12">
        <f>'[7]Balance Sheet-NBFCs'!C14</f>
        <v>0</v>
      </c>
      <c r="K46" s="12">
        <f>'[7]Balance Sheet-NBFCs'!D14</f>
        <v>510</v>
      </c>
      <c r="L46" s="12">
        <f>'[7]Balance Sheet-NBFCs'!E14</f>
        <v>175.77</v>
      </c>
      <c r="M46" s="12">
        <f>'[7]Balance Sheet-NBFCs'!F14</f>
        <v>184.26</v>
      </c>
    </row>
    <row r="47" spans="1:14" x14ac:dyDescent="0.3">
      <c r="A47" s="11" t="s">
        <v>61</v>
      </c>
      <c r="B47" s="12">
        <f>'[7]Balance Sheet-NBFCs'!G27</f>
        <v>141376.04999999999</v>
      </c>
      <c r="C47" s="12">
        <f>'[7]Balance Sheet-NBFCs'!H27</f>
        <v>146686.87</v>
      </c>
      <c r="D47" s="12">
        <f>'[7]Balance Sheet-NBFCs'!I27</f>
        <v>191423.25</v>
      </c>
      <c r="E47" s="12">
        <f>'[7]Balance Sheet-NBFCs'!J27</f>
        <v>242268.93</v>
      </c>
      <c r="F47" s="12">
        <f>'[7]Balance Sheet-NBFCs'!K27</f>
        <v>326293.32</v>
      </c>
      <c r="H47" s="11" t="s">
        <v>63</v>
      </c>
      <c r="I47" s="13">
        <f>'[7]Financial Ratios-NBFCs'!B5</f>
        <v>2.2538474180891058E-2</v>
      </c>
      <c r="J47" s="13">
        <f>'[7]Financial Ratios-NBFCs'!C5</f>
        <v>2.4848330214889153E-2</v>
      </c>
      <c r="K47" s="13">
        <f>'[7]Financial Ratios-NBFCs'!D5</f>
        <v>2.7790290201159265E-2</v>
      </c>
      <c r="L47" s="13">
        <f>'[7]Financial Ratios-NBFCs'!E5</f>
        <v>3.2097425243469521E-2</v>
      </c>
      <c r="M47" s="13">
        <f>'[7]Financial Ratios-NBFCs'!F5</f>
        <v>3.0893291573587764E-2</v>
      </c>
    </row>
    <row r="48" spans="1:14" x14ac:dyDescent="0.3">
      <c r="A48" s="11" t="s">
        <v>62</v>
      </c>
      <c r="B48" s="12">
        <f>'[7]Balance Sheet-NBFCs'!G14</f>
        <v>21427.1</v>
      </c>
      <c r="C48" s="12">
        <f>'[7]Balance Sheet-NBFCs'!H14</f>
        <v>25803.43</v>
      </c>
      <c r="D48" s="12">
        <f>'[7]Balance Sheet-NBFCs'!I14</f>
        <v>30799.52</v>
      </c>
      <c r="E48" s="12">
        <f>'[7]Balance Sheet-NBFCs'!J14</f>
        <v>44665.56</v>
      </c>
      <c r="F48" s="12">
        <f>'[7]Balance Sheet-NBFCs'!K14</f>
        <v>60150.92</v>
      </c>
      <c r="H48" s="11" t="s">
        <v>64</v>
      </c>
      <c r="I48" s="13">
        <f>'[7]Financial Ratios-NBFCs'!B13</f>
        <v>5.0000000000000001E-4</v>
      </c>
      <c r="J48" s="13">
        <f>'[7]Financial Ratios-NBFCs'!C13</f>
        <v>1.8E-3</v>
      </c>
      <c r="K48" s="13">
        <f>'[7]Financial Ratios-NBFCs'!D13</f>
        <v>1.4E-3</v>
      </c>
      <c r="L48" s="13">
        <f>'[7]Financial Ratios-NBFCs'!E13</f>
        <v>8.0000000000000004E-4</v>
      </c>
      <c r="M48" s="13">
        <f>'[7]Financial Ratios-NBFCs'!F13</f>
        <v>1E-3</v>
      </c>
    </row>
    <row r="49" spans="1:13" x14ac:dyDescent="0.3">
      <c r="A49" s="11" t="s">
        <v>63</v>
      </c>
      <c r="B49" s="13">
        <f>'[7]Financial Ratios-NBFCs'!G5</f>
        <v>8.4930683655513373E-2</v>
      </c>
      <c r="C49" s="13">
        <f>'[7]Financial Ratios-NBFCs'!H5</f>
        <v>8.4135340249659907E-2</v>
      </c>
      <c r="D49" s="13">
        <f>'[7]Financial Ratios-NBFCs'!I5</f>
        <v>8.6029479528994091E-2</v>
      </c>
      <c r="E49" s="13">
        <f>'[7]Financial Ratios-NBFCs'!J5</f>
        <v>8.6742937166773754E-2</v>
      </c>
      <c r="F49" s="13">
        <f>'[7]Financial Ratios-NBFCs'!K5</f>
        <v>8.2822132867073142E-2</v>
      </c>
      <c r="H49" s="11" t="s">
        <v>65</v>
      </c>
      <c r="I49" s="13">
        <f>'[7]Financial Ratios-NBFCs'!B6</f>
        <v>1.3429948980665194E-2</v>
      </c>
      <c r="J49" s="13">
        <f>'[7]Financial Ratios-NBFCs'!C6</f>
        <v>1.1970975291488582E-2</v>
      </c>
      <c r="K49" s="13">
        <f>'[7]Financial Ratios-NBFCs'!D6</f>
        <v>1.4623175348691888E-2</v>
      </c>
      <c r="L49" s="13">
        <f>'[7]Financial Ratios-NBFCs'!E6</f>
        <v>1.9454283979339921E-2</v>
      </c>
      <c r="M49" s="13">
        <f>'[7]Financial Ratios-NBFCs'!F6</f>
        <v>2.1157052022746963E-2</v>
      </c>
    </row>
    <row r="50" spans="1:13" x14ac:dyDescent="0.3">
      <c r="A50" s="11" t="s">
        <v>64</v>
      </c>
      <c r="B50" s="13">
        <f>'[7]Financial Ratios-NBFCs'!G13</f>
        <v>6.4999999999999997E-3</v>
      </c>
      <c r="C50" s="13">
        <f>'[7]Financial Ratios-NBFCs'!H13</f>
        <v>7.4999999999999997E-3</v>
      </c>
      <c r="D50" s="13">
        <f>'[7]Financial Ratios-NBFCs'!I13</f>
        <v>6.7999999999999996E-3</v>
      </c>
      <c r="E50" s="13">
        <f>'[7]Financial Ratios-NBFCs'!J13</f>
        <v>3.3999999999999998E-3</v>
      </c>
      <c r="F50" s="13">
        <f>'[7]Financial Ratios-NBFCs'!K13</f>
        <v>3.7000000000000002E-3</v>
      </c>
      <c r="H50" s="11" t="s">
        <v>66</v>
      </c>
      <c r="I50" s="13">
        <f>'[7]Financial Ratios-NBFCs'!B7</f>
        <v>7.5437814339147036E-2</v>
      </c>
      <c r="J50" s="13">
        <f>'[7]Financial Ratios-NBFCs'!C7</f>
        <v>7.5128228081867005E-2</v>
      </c>
      <c r="K50" s="13">
        <f>'[7]Financial Ratios-NBFCs'!D7</f>
        <v>0.10526362633059193</v>
      </c>
      <c r="L50" s="13">
        <f>'[7]Financial Ratios-NBFCs'!E7</f>
        <v>0.11975409375627789</v>
      </c>
      <c r="M50" s="13">
        <f>'[7]Financial Ratios-NBFCs'!F7</f>
        <v>0.14151469326030963</v>
      </c>
    </row>
    <row r="51" spans="1:13" x14ac:dyDescent="0.3">
      <c r="A51" s="11" t="s">
        <v>65</v>
      </c>
      <c r="B51" s="13">
        <f>'[7]Financial Ratios-NBFCs'!G6</f>
        <v>3.2019624874468793E-2</v>
      </c>
      <c r="C51" s="13">
        <f>'[7]Financial Ratios-NBFCs'!H6</f>
        <v>2.577599399079961E-2</v>
      </c>
      <c r="D51" s="13">
        <f>'[7]Financial Ratios-NBFCs'!I6</f>
        <v>3.3073189306848563E-2</v>
      </c>
      <c r="E51" s="13">
        <f>'[7]Financial Ratios-NBFCs'!J6</f>
        <v>4.1811736675901344E-2</v>
      </c>
      <c r="F51" s="13">
        <f>'[7]Financial Ratios-NBFCs'!K6</f>
        <v>3.8460392010871702E-2</v>
      </c>
      <c r="H51" s="11" t="s">
        <v>67</v>
      </c>
      <c r="I51" s="13">
        <f>'[7]Financial Ratios-NBFCs'!B16</f>
        <v>0.25151808450317781</v>
      </c>
      <c r="J51" s="13">
        <f>'[7]Financial Ratios-NBFCs'!C16</f>
        <v>0.213339630230369</v>
      </c>
      <c r="K51" s="13">
        <f>'[7]Financial Ratios-NBFCs'!D16</f>
        <v>0.19717899616569698</v>
      </c>
      <c r="L51" s="13">
        <f>'[7]Financial Ratios-NBFCs'!E16</f>
        <v>0.22971673193287837</v>
      </c>
      <c r="M51" s="13">
        <f>'[7]Financial Ratios-NBFCs'!F16</f>
        <v>0.21282128225027869</v>
      </c>
    </row>
    <row r="52" spans="1:13" x14ac:dyDescent="0.3">
      <c r="A52" s="11" t="s">
        <v>66</v>
      </c>
      <c r="B52" s="13">
        <f>'[7]Financial Ratios-NBFCs'!G7</f>
        <v>0.16282511275958067</v>
      </c>
      <c r="C52" s="13">
        <f>'[7]Financial Ratios-NBFCs'!H7</f>
        <v>0.11971859026431543</v>
      </c>
      <c r="D52" s="13">
        <f>'[7]Financial Ratios-NBFCs'!I7</f>
        <v>0.16078237234999729</v>
      </c>
      <c r="E52" s="13">
        <f>'[7]Financial Ratios-NBFCs'!J7</f>
        <v>0.21164743310800888</v>
      </c>
      <c r="F52" s="13">
        <f>'[7]Financial Ratios-NBFCs'!K7</f>
        <v>0.18842302695013438</v>
      </c>
    </row>
    <row r="53" spans="1:13" x14ac:dyDescent="0.3">
      <c r="A53" s="11" t="s">
        <v>69</v>
      </c>
      <c r="B53" s="13">
        <f>'[7]Financial Ratios-NBFCs'!G18</f>
        <v>0.19600000000000001</v>
      </c>
      <c r="C53" s="13">
        <f>'[7]Financial Ratios-NBFCs'!H18</f>
        <v>0.23599999999999999</v>
      </c>
      <c r="D53" s="13">
        <f>'[7]Financial Ratios-NBFCs'!I18</f>
        <v>0.23799999999999999</v>
      </c>
      <c r="E53" s="13">
        <f>'[7]Financial Ratios-NBFCs'!J18</f>
        <v>0.23200000000000001</v>
      </c>
      <c r="F53" s="13">
        <f>'[7]Financial Ratios-NBFCs'!K18</f>
        <v>0.22700000000000001</v>
      </c>
    </row>
  </sheetData>
  <phoneticPr fontId="2" type="noConversion"/>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6ABC3-F81A-451E-96D1-619AECB20FD1}">
  <dimension ref="A1:AB27"/>
  <sheetViews>
    <sheetView topLeftCell="S1" workbookViewId="0">
      <selection activeCell="AD9" sqref="AD9"/>
    </sheetView>
  </sheetViews>
  <sheetFormatPr defaultRowHeight="14.4" x14ac:dyDescent="0.3"/>
  <cols>
    <col min="1" max="1" width="15.21875" style="1" customWidth="1"/>
    <col min="2" max="4" width="9.88671875" style="1" bestFit="1" customWidth="1"/>
    <col min="5" max="6" width="10.88671875" style="1" bestFit="1" customWidth="1"/>
    <col min="7" max="7" width="9.88671875" style="1" bestFit="1" customWidth="1"/>
    <col min="8" max="8" width="8.88671875" style="1"/>
    <col min="9" max="9" width="15.21875" style="1" customWidth="1"/>
    <col min="10" max="11" width="9.88671875" style="1" bestFit="1" customWidth="1"/>
    <col min="12" max="14" width="10.88671875" style="1" bestFit="1" customWidth="1"/>
    <col min="15" max="15" width="9.88671875" style="1" bestFit="1" customWidth="1"/>
    <col min="16" max="16" width="8.88671875" style="1"/>
    <col min="17" max="17" width="15.21875" style="1" customWidth="1"/>
    <col min="18" max="20" width="9.88671875" style="1" bestFit="1" customWidth="1"/>
    <col min="21" max="22" width="10.88671875" style="1" bestFit="1" customWidth="1"/>
    <col min="23" max="23" width="9.88671875" style="1" bestFit="1" customWidth="1"/>
    <col min="24" max="16384" width="8.88671875" style="1"/>
  </cols>
  <sheetData>
    <row r="1" spans="1:28" x14ac:dyDescent="0.3">
      <c r="A1" s="38" t="s">
        <v>60</v>
      </c>
      <c r="B1" s="39" t="s">
        <v>16</v>
      </c>
      <c r="C1" s="39" t="s">
        <v>17</v>
      </c>
      <c r="D1" s="39" t="s">
        <v>18</v>
      </c>
      <c r="E1" s="39" t="s">
        <v>19</v>
      </c>
      <c r="F1" s="39" t="s">
        <v>20</v>
      </c>
      <c r="G1" s="39" t="s">
        <v>21</v>
      </c>
      <c r="I1" s="38" t="s">
        <v>60</v>
      </c>
      <c r="J1" s="39" t="s">
        <v>16</v>
      </c>
      <c r="K1" s="39" t="s">
        <v>17</v>
      </c>
      <c r="L1" s="39" t="s">
        <v>18</v>
      </c>
      <c r="M1" s="39" t="s">
        <v>19</v>
      </c>
      <c r="N1" s="39" t="s">
        <v>20</v>
      </c>
      <c r="O1" s="39" t="s">
        <v>21</v>
      </c>
      <c r="Q1" s="38" t="s">
        <v>60</v>
      </c>
      <c r="R1" s="39" t="s">
        <v>16</v>
      </c>
      <c r="S1" s="39" t="s">
        <v>17</v>
      </c>
      <c r="T1" s="39" t="s">
        <v>18</v>
      </c>
      <c r="U1" s="39" t="s">
        <v>19</v>
      </c>
      <c r="V1" s="39" t="s">
        <v>20</v>
      </c>
      <c r="W1" s="39" t="s">
        <v>21</v>
      </c>
    </row>
    <row r="2" spans="1:28" x14ac:dyDescent="0.3">
      <c r="A2" s="11" t="s">
        <v>14</v>
      </c>
      <c r="B2" s="12">
        <f>'[8]Income Statement'!B6</f>
        <v>24930.190000000002</v>
      </c>
      <c r="C2" s="12">
        <f>'[8]Income Statement'!C6</f>
        <v>24339.27</v>
      </c>
      <c r="D2" s="12">
        <f>'[8]Income Statement'!D6</f>
        <v>31093.760000000002</v>
      </c>
      <c r="E2" s="12">
        <f>'[8]Income Statement'!E6</f>
        <v>42968.899999999994</v>
      </c>
      <c r="F2" s="12">
        <f>'[8]Income Statement'!F6</f>
        <v>50935.28</v>
      </c>
      <c r="G2" s="12">
        <f>'[8]Income Statement'!G6</f>
        <v>59482.36</v>
      </c>
      <c r="I2" s="11" t="s">
        <v>14</v>
      </c>
      <c r="J2" s="12">
        <f>'[8]Income Statement'!Q6</f>
        <v>53991.360000000001</v>
      </c>
      <c r="K2" s="12">
        <f>'[8]Income Statement'!R6</f>
        <v>55787.68</v>
      </c>
      <c r="L2" s="12">
        <f>'[8]Income Statement'!S6</f>
        <v>67041.31</v>
      </c>
      <c r="M2" s="12">
        <f>'[8]Income Statement'!T6</f>
        <v>78498.700000000012</v>
      </c>
      <c r="N2" s="12">
        <f>'[8]Income Statement'!U6</f>
        <v>76584.649999999994</v>
      </c>
      <c r="O2" s="12">
        <f>'[8]Income Statement'!V6</f>
        <v>84142.47</v>
      </c>
      <c r="Q2" s="11" t="s">
        <v>14</v>
      </c>
      <c r="R2" s="12">
        <f>'[8]Income Statement'!AG6</f>
        <v>3635.4</v>
      </c>
      <c r="S2" s="12">
        <f>'[8]Income Statement'!AH6</f>
        <v>2794.56</v>
      </c>
      <c r="T2" s="12">
        <f>'[8]Income Statement'!AI6</f>
        <v>4673.2300000000005</v>
      </c>
      <c r="U2" s="12">
        <f>'[8]Income Statement'!AJ6</f>
        <v>8502.94</v>
      </c>
      <c r="V2" s="12">
        <f>'[8]Income Statement'!AK6</f>
        <v>12664.380000000001</v>
      </c>
      <c r="W2" s="12">
        <f>'[8]Income Statement'!AL6</f>
        <v>17353.170000000002</v>
      </c>
    </row>
    <row r="3" spans="1:28" x14ac:dyDescent="0.3">
      <c r="A3" s="11" t="s">
        <v>77</v>
      </c>
      <c r="B3" s="12">
        <f>'[8]Income Statement'!B15+'[8]Income Statement'!B11+'[8]Income Statement'!B12</f>
        <v>2188.3000000000038</v>
      </c>
      <c r="C3" s="12">
        <f>'[8]Income Statement'!C15+'[8]Income Statement'!C11+'[8]Income Statement'!C12</f>
        <v>1939.2600000000009</v>
      </c>
      <c r="D3" s="12">
        <f>'[8]Income Statement'!D15+'[8]Income Statement'!D11+'[8]Income Statement'!D12</f>
        <v>2615.9900000000025</v>
      </c>
      <c r="E3" s="12">
        <f>'[8]Income Statement'!E15+'[8]Income Statement'!E11+'[8]Income Statement'!E12</f>
        <v>3766.369999999989</v>
      </c>
      <c r="F3" s="12">
        <f>'[8]Income Statement'!F15+'[8]Income Statement'!F11+'[8]Income Statement'!F12</f>
        <v>4250.2199999999948</v>
      </c>
      <c r="G3" s="12">
        <f>'[8]Income Statement'!G15+'[8]Income Statement'!G11+'[8]Income Statement'!G12</f>
        <v>4611.6399999999976</v>
      </c>
      <c r="I3" s="11" t="s">
        <v>77</v>
      </c>
      <c r="J3" s="12">
        <f>'[8]Income Statement'!Q18+'[8]Income Statement'!Q13+'[8]Income Statement'!Q14</f>
        <v>21866.27</v>
      </c>
      <c r="K3" s="12">
        <f>'[8]Income Statement'!R18+'[8]Income Statement'!R13+'[8]Income Statement'!R14</f>
        <v>19628.34</v>
      </c>
      <c r="L3" s="12">
        <f>'[8]Income Statement'!S18+'[8]Income Statement'!S13+'[8]Income Statement'!S14</f>
        <v>22512.239999999998</v>
      </c>
      <c r="M3" s="12">
        <f>'[8]Income Statement'!T18+'[8]Income Statement'!T13+'[8]Income Statement'!T14</f>
        <v>27694.460000000014</v>
      </c>
      <c r="N3" s="12">
        <f>'[8]Income Statement'!U18+'[8]Income Statement'!U13+'[8]Income Statement'!U14</f>
        <v>27957.439999999991</v>
      </c>
      <c r="O3" s="12">
        <f>'[8]Income Statement'!V18+'[8]Income Statement'!V13+'[8]Income Statement'!V14</f>
        <v>28618.320000000003</v>
      </c>
      <c r="Q3" s="11" t="s">
        <v>77</v>
      </c>
      <c r="R3" s="12">
        <f>'[8]Income Statement'!AG15+'[8]Income Statement'!$AG$11+'[8]Income Statement'!$AG$12</f>
        <v>688.45999999999958</v>
      </c>
      <c r="S3" s="12">
        <f>'[8]Income Statement'!AH15+'[8]Income Statement'!$AG$11+'[8]Income Statement'!$AG$12</f>
        <v>360.58999999999975</v>
      </c>
      <c r="T3" s="12">
        <f>'[8]Income Statement'!AI15+'[8]Income Statement'!$AG$11+'[8]Income Statement'!$AG$12</f>
        <v>626.5600000000004</v>
      </c>
      <c r="U3" s="12">
        <f>'[8]Income Statement'!AJ15+'[8]Income Statement'!$AG$11+'[8]Income Statement'!$AG$12</f>
        <v>964.70000000000164</v>
      </c>
      <c r="V3" s="12">
        <f>'[8]Income Statement'!AK15+'[8]Income Statement'!$AG$11+'[8]Income Statement'!$AG$12</f>
        <v>1714.2299999999987</v>
      </c>
      <c r="W3" s="12">
        <f>'[8]Income Statement'!AL15+'[8]Income Statement'!$AG$11+'[8]Income Statement'!$AG$12</f>
        <v>2436.2800000000016</v>
      </c>
      <c r="Z3" s="1" t="s">
        <v>50</v>
      </c>
      <c r="AA3" s="52">
        <f>(F11-B11)/B11</f>
        <v>0.63910991762291769</v>
      </c>
      <c r="AB3" s="1">
        <f>(F11/B11)^(1/5)-1</f>
        <v>0.10387936634474815</v>
      </c>
    </row>
    <row r="4" spans="1:28" x14ac:dyDescent="0.3">
      <c r="A4" s="11" t="s">
        <v>79</v>
      </c>
      <c r="B4" s="12">
        <f>'[8]Income Statement'!$B$21</f>
        <v>1300.9800000000041</v>
      </c>
      <c r="C4" s="12">
        <f>'[8]Income Statement'!$B$21</f>
        <v>1300.9800000000041</v>
      </c>
      <c r="D4" s="12">
        <f>'[8]Income Statement'!$B$21</f>
        <v>1300.9800000000041</v>
      </c>
      <c r="E4" s="12">
        <f>'[8]Income Statement'!$B$21</f>
        <v>1300.9800000000041</v>
      </c>
      <c r="F4" s="12">
        <f>'[8]Income Statement'!$B$21</f>
        <v>1300.9800000000041</v>
      </c>
      <c r="G4" s="12">
        <f>'[8]Income Statement'!$B$21</f>
        <v>1300.9800000000041</v>
      </c>
      <c r="I4" s="11" t="s">
        <v>79</v>
      </c>
      <c r="J4" s="12">
        <f>'[8]Income Statement'!$Q$30</f>
        <v>15592.779999999999</v>
      </c>
      <c r="K4" s="12">
        <f>'[8]Income Statement'!$Q$30</f>
        <v>15592.779999999999</v>
      </c>
      <c r="L4" s="12">
        <f>'[8]Income Statement'!$Q$30</f>
        <v>15592.779999999999</v>
      </c>
      <c r="M4" s="12">
        <f>'[8]Income Statement'!$Q$30</f>
        <v>15592.779999999999</v>
      </c>
      <c r="N4" s="12">
        <f>'[8]Income Statement'!$Q$30</f>
        <v>15592.779999999999</v>
      </c>
      <c r="O4" s="12">
        <f>'[8]Income Statement'!$Q$30</f>
        <v>15592.779999999999</v>
      </c>
      <c r="Q4" s="11" t="s">
        <v>79</v>
      </c>
      <c r="R4" s="12">
        <f>'[8]Income Statement'!AG25</f>
        <v>105.97999999999961</v>
      </c>
      <c r="S4" s="12">
        <f>'[8]Income Statement'!AH25</f>
        <v>-181.13000000000028</v>
      </c>
      <c r="T4" s="12">
        <f>'[8]Income Statement'!AI25</f>
        <v>34.600000000000435</v>
      </c>
      <c r="U4" s="12">
        <f>'[8]Income Statement'!AJ25</f>
        <v>393.6900000000017</v>
      </c>
      <c r="V4" s="12">
        <f>'[8]Income Statement'!AK25</f>
        <v>1477.3899999999987</v>
      </c>
      <c r="W4" s="12">
        <f>'[8]Income Statement'!AL25</f>
        <v>1534.4100000000017</v>
      </c>
      <c r="Z4" s="1" t="s">
        <v>232</v>
      </c>
      <c r="AA4" s="52">
        <f>(G25-B25)/B25</f>
        <v>0.14387076417276407</v>
      </c>
      <c r="AB4" s="1">
        <f>(G25/B25)^(1/6)-1</f>
        <v>2.2655817794594801E-2</v>
      </c>
    </row>
    <row r="5" spans="1:28" x14ac:dyDescent="0.3">
      <c r="A5" s="11" t="s">
        <v>78</v>
      </c>
      <c r="B5" s="37">
        <f>[8]!Table40[[#This Row],[2020]]</f>
        <v>0.1360556006787241</v>
      </c>
      <c r="C5" s="37">
        <f>[8]!Table40[[#This Row],[2021]]</f>
        <v>0.13787730304277918</v>
      </c>
      <c r="D5" s="37">
        <f>[8]!Table40[[#This Row],[2022]]</f>
        <v>0.13379596704186794</v>
      </c>
      <c r="E5" s="37">
        <f>[8]!Table40[[#This Row],[2023]]</f>
        <v>0.13722526561897436</v>
      </c>
      <c r="F5" s="37">
        <f>[8]!Table40[[#This Row],[2024]]</f>
        <v>0.13530238834011327</v>
      </c>
      <c r="G5" s="37">
        <f>[8]!Table40[[#This Row],[2025]]</f>
        <v>0.13463531905108064</v>
      </c>
      <c r="I5" s="11" t="s">
        <v>78</v>
      </c>
      <c r="J5" s="37">
        <f>J3/J2</f>
        <v>0.40499572524196464</v>
      </c>
      <c r="K5" s="37">
        <f t="shared" ref="K5:O5" si="0">K3/K2</f>
        <v>0.35184004783851919</v>
      </c>
      <c r="L5" s="37">
        <f t="shared" si="0"/>
        <v>0.33579654096854611</v>
      </c>
      <c r="M5" s="37">
        <f t="shared" si="0"/>
        <v>0.35280151136260868</v>
      </c>
      <c r="N5" s="37">
        <f t="shared" si="0"/>
        <v>0.36505278799341634</v>
      </c>
      <c r="O5" s="37">
        <f t="shared" si="0"/>
        <v>0.34011742227201081</v>
      </c>
      <c r="Q5" s="11" t="s">
        <v>78</v>
      </c>
      <c r="R5" s="37">
        <f>R3/R2</f>
        <v>0.18937668482147757</v>
      </c>
      <c r="S5" s="37">
        <f t="shared" ref="S5:W5" si="1">S3/S2</f>
        <v>0.12903283522271833</v>
      </c>
      <c r="T5" s="37">
        <f t="shared" si="1"/>
        <v>0.13407429122897874</v>
      </c>
      <c r="U5" s="37">
        <f t="shared" si="1"/>
        <v>0.11345487560773115</v>
      </c>
      <c r="V5" s="37">
        <f t="shared" si="1"/>
        <v>0.13535838311863657</v>
      </c>
      <c r="W5" s="37">
        <f t="shared" si="1"/>
        <v>0.14039394531373814</v>
      </c>
      <c r="Z5" s="1" t="s">
        <v>52</v>
      </c>
      <c r="AA5" s="52">
        <f>(V11-R11)/R11</f>
        <v>2.160441917507455</v>
      </c>
      <c r="AB5" s="1">
        <f>(V11/R11)^(1/5)-1</f>
        <v>0.2587792133788831</v>
      </c>
    </row>
    <row r="6" spans="1:28" x14ac:dyDescent="0.3">
      <c r="A6" s="11" t="s">
        <v>80</v>
      </c>
      <c r="B6" s="37">
        <f>[8]!Table40[[#This Row],[2020]]</f>
        <v>5.2310797661458457E-2</v>
      </c>
      <c r="C6" s="37">
        <f>[8]!Table40[[#This Row],[2021]]</f>
        <v>4.5538138081916736E-2</v>
      </c>
      <c r="D6" s="37">
        <f>[8]!Table40[[#This Row],[2022]]</f>
        <v>4.817881559012762E-2</v>
      </c>
      <c r="E6" s="37">
        <f>[8]!Table40[[#This Row],[2023]]</f>
        <v>5.5517376929174564E-2</v>
      </c>
      <c r="F6" s="37">
        <f>[8]!Table40[[#This Row],[2024]]</f>
        <v>4.9924560183804076E-2</v>
      </c>
      <c r="G6" s="37">
        <f>[8]!Table40[[#This Row],[2025]]</f>
        <v>4.5612178971512672E-2</v>
      </c>
      <c r="I6" s="11" t="s">
        <v>80</v>
      </c>
      <c r="J6" s="37">
        <f>J4/J2</f>
        <v>0.28880139340813044</v>
      </c>
      <c r="K6" s="37">
        <f t="shared" ref="K6:O6" si="2">K4/K2</f>
        <v>0.27950221267491315</v>
      </c>
      <c r="L6" s="37">
        <f t="shared" si="2"/>
        <v>0.23258465563993305</v>
      </c>
      <c r="M6" s="37">
        <f t="shared" si="2"/>
        <v>0.19863742966444026</v>
      </c>
      <c r="N6" s="37">
        <f t="shared" si="2"/>
        <v>0.2036018967247353</v>
      </c>
      <c r="O6" s="37">
        <f t="shared" si="2"/>
        <v>0.18531402750596696</v>
      </c>
      <c r="Q6" s="11" t="s">
        <v>80</v>
      </c>
      <c r="R6" s="37">
        <f>R4/R2</f>
        <v>2.9152225339714916E-2</v>
      </c>
      <c r="S6" s="37">
        <f t="shared" ref="S6:W6" si="3">S4/S2</f>
        <v>-6.4815212412687603E-2</v>
      </c>
      <c r="T6" s="37">
        <f t="shared" si="3"/>
        <v>7.4038726961866697E-3</v>
      </c>
      <c r="U6" s="37">
        <f t="shared" si="3"/>
        <v>4.6300456077545141E-2</v>
      </c>
      <c r="V6" s="37">
        <f t="shared" si="3"/>
        <v>0.11665711231027485</v>
      </c>
      <c r="W6" s="37">
        <f t="shared" si="3"/>
        <v>8.8422461141105718E-2</v>
      </c>
      <c r="Z6" s="1" t="s">
        <v>233</v>
      </c>
      <c r="AA6" s="52">
        <f>(N25-J25)/J25</f>
        <v>1.0528355017607343</v>
      </c>
      <c r="AB6" s="1">
        <f>(N11/J11)^(1/5)-1</f>
        <v>3.1827774483810245E-3</v>
      </c>
    </row>
    <row r="7" spans="1:28" x14ac:dyDescent="0.3">
      <c r="Z7" s="1" t="s">
        <v>234</v>
      </c>
      <c r="AA7" s="52">
        <f>(W25-R25)/R25</f>
        <v>0.9759643289920088</v>
      </c>
      <c r="AB7" s="1">
        <f>(N25/J25)^(1/5)-1</f>
        <v>0.15470442462532485</v>
      </c>
    </row>
    <row r="8" spans="1:28" x14ac:dyDescent="0.3">
      <c r="A8" s="38" t="s">
        <v>82</v>
      </c>
      <c r="B8" s="39" t="s">
        <v>22</v>
      </c>
      <c r="C8" s="39" t="s">
        <v>23</v>
      </c>
      <c r="D8" s="39" t="s">
        <v>24</v>
      </c>
      <c r="E8" s="39" t="s">
        <v>25</v>
      </c>
      <c r="F8" s="39" t="s">
        <v>26</v>
      </c>
      <c r="I8" s="38" t="s">
        <v>82</v>
      </c>
      <c r="J8" s="39" t="s">
        <v>22</v>
      </c>
      <c r="K8" s="39" t="s">
        <v>23</v>
      </c>
      <c r="L8" s="39" t="s">
        <v>24</v>
      </c>
      <c r="M8" s="39" t="s">
        <v>25</v>
      </c>
      <c r="N8" s="39" t="s">
        <v>26</v>
      </c>
      <c r="Q8" s="38" t="s">
        <v>82</v>
      </c>
      <c r="R8" s="39" t="s">
        <v>22</v>
      </c>
      <c r="S8" s="39" t="s">
        <v>23</v>
      </c>
      <c r="T8" s="39" t="s">
        <v>24</v>
      </c>
      <c r="U8" s="39" t="s">
        <v>25</v>
      </c>
      <c r="V8" s="39" t="s">
        <v>26</v>
      </c>
      <c r="Z8" s="1" t="s">
        <v>235</v>
      </c>
      <c r="AA8" s="52">
        <f>(N11-J11)/J11</f>
        <v>1.6015510895838903E-2</v>
      </c>
      <c r="AB8" s="1">
        <f>(W25/R25)^(1/6)-1</f>
        <v>0.12020244619678144</v>
      </c>
    </row>
    <row r="9" spans="1:28" x14ac:dyDescent="0.3">
      <c r="A9" s="11" t="s">
        <v>14</v>
      </c>
      <c r="B9" s="12">
        <f>'[8]Income Statement Forecast'!D6</f>
        <v>68759.670686451544</v>
      </c>
      <c r="C9" s="12">
        <f>'[8]Income Statement Forecast'!E6</f>
        <v>79484.029484405692</v>
      </c>
      <c r="D9" s="12">
        <f>'[8]Income Statement Forecast'!F6</f>
        <v>91881.154378792766</v>
      </c>
      <c r="E9" s="12">
        <f>'[8]Income Statement Forecast'!G6</f>
        <v>106211.97350176869</v>
      </c>
      <c r="F9" s="12">
        <f>'[8]Income Statement Forecast'!H6</f>
        <v>122778.11781930229</v>
      </c>
      <c r="I9" s="11" t="s">
        <v>14</v>
      </c>
      <c r="J9" s="12">
        <f>'[8]Income Statement Forecast'!W6</f>
        <v>90670.70976091527</v>
      </c>
      <c r="K9" s="12">
        <f>'[8]Income Statement Forecast'!X6</f>
        <v>97722.987539869675</v>
      </c>
      <c r="L9" s="12">
        <f>'[8]Income Statement Forecast'!Y6</f>
        <v>105341.28902655539</v>
      </c>
      <c r="M9" s="12">
        <f>'[8]Income Statement Forecast'!Z6</f>
        <v>113570.96413910274</v>
      </c>
      <c r="N9" s="12">
        <f>'[8]Income Statement Forecast'!AA6</f>
        <v>122460.99659133804</v>
      </c>
      <c r="Q9" s="11" t="s">
        <v>14</v>
      </c>
      <c r="R9" s="12">
        <f>'[8]Income Statement Forecast'!AO6</f>
        <v>22575.396445599974</v>
      </c>
      <c r="S9" s="12">
        <f>'[8]Income Statement Forecast'!AP6</f>
        <v>29381.465023052519</v>
      </c>
      <c r="T9" s="12">
        <f>'[8]Income Statement Forecast'!AQ6</f>
        <v>38252.548430859439</v>
      </c>
      <c r="U9" s="12">
        <f>'[8]Income Statement Forecast'!AR6</f>
        <v>49816.053279592597</v>
      </c>
      <c r="V9" s="12">
        <f>'[8]Income Statement Forecast'!AS6</f>
        <v>64890.065741058927</v>
      </c>
      <c r="AA9" s="42">
        <f>AVERAGE(AA3:AA8)</f>
        <v>0.83137299015861987</v>
      </c>
      <c r="AB9" s="42">
        <f>AVERAGE(AB3:AB8)</f>
        <v>0.11056734096478556</v>
      </c>
    </row>
    <row r="10" spans="1:28" x14ac:dyDescent="0.3">
      <c r="A10" s="11" t="s">
        <v>77</v>
      </c>
      <c r="B10" s="12">
        <f>'[8]Income Statement Forecast'!D12</f>
        <v>4698.0779946607363</v>
      </c>
      <c r="C10" s="12">
        <f>'[8]Income Statement Forecast'!E12</f>
        <v>5412.4404044864787</v>
      </c>
      <c r="D10" s="12">
        <f>'[8]Income Statement Forecast'!F12</f>
        <v>6235.1235695057985</v>
      </c>
      <c r="E10" s="12">
        <f>'[8]Income Statement Forecast'!G12</f>
        <v>7182.4996921241109</v>
      </c>
      <c r="F10" s="12">
        <f>'[8]Income Statement Forecast'!H12</f>
        <v>8273.4063064677757</v>
      </c>
      <c r="I10" s="11" t="s">
        <v>77</v>
      </c>
      <c r="J10" s="12">
        <f>'[8]Income Statement Forecast'!W12</f>
        <v>32462.980124804235</v>
      </c>
      <c r="K10" s="12">
        <f>'[8]Income Statement Forecast'!X12</f>
        <v>34987.918486668495</v>
      </c>
      <c r="L10" s="12">
        <f>'[8]Income Statement Forecast'!Y12</f>
        <v>37715.511227468363</v>
      </c>
      <c r="M10" s="12">
        <f>'[8]Income Statement Forecast'!Z12</f>
        <v>40661.995051370046</v>
      </c>
      <c r="N10" s="12">
        <f>'[8]Income Statement Forecast'!AA12</f>
        <v>43844.907676260322</v>
      </c>
      <c r="Q10" s="11" t="s">
        <v>77</v>
      </c>
      <c r="R10" s="12">
        <f>'[8]Income Statement Forecast'!AO12</f>
        <v>3711.563892849008</v>
      </c>
      <c r="S10" s="12">
        <f>'[8]Income Statement Forecast'!AP12</f>
        <v>4830.5324321257831</v>
      </c>
      <c r="T10" s="12">
        <f>'[8]Income Statement Forecast'!AQ12</f>
        <v>6289.0048423981352</v>
      </c>
      <c r="U10" s="12">
        <f>'[8]Income Statement Forecast'!AR12</f>
        <v>8190.131459366472</v>
      </c>
      <c r="V10" s="12">
        <f>'[8]Income Statement Forecast'!AS12</f>
        <v>10668.411763641656</v>
      </c>
    </row>
    <row r="11" spans="1:28" x14ac:dyDescent="0.3">
      <c r="A11" s="11" t="s">
        <v>79</v>
      </c>
      <c r="B11" s="12">
        <f>'[8]Income Statement Forecast'!D18</f>
        <v>2632.8514078304079</v>
      </c>
      <c r="C11" s="12">
        <f>'[8]Income Statement Forecast'!E18</f>
        <v>2965.0561592331183</v>
      </c>
      <c r="D11" s="12">
        <f>'[8]Income Statement Forecast'!F18</f>
        <v>3350.9216849407585</v>
      </c>
      <c r="E11" s="12">
        <f>'[8]Income Statement Forecast'!G18</f>
        <v>3798.1351010950484</v>
      </c>
      <c r="F11" s="12">
        <f>'[8]Income Statement Forecast'!H18</f>
        <v>4315.5328542022826</v>
      </c>
      <c r="I11" s="11" t="s">
        <v>79</v>
      </c>
      <c r="J11" s="12">
        <f>'[8]Income Statement Forecast'!W18</f>
        <v>30948.524159080207</v>
      </c>
      <c r="K11" s="12">
        <f>'[8]Income Statement Forecast'!X18</f>
        <v>25159.06259820464</v>
      </c>
      <c r="L11" s="12">
        <f>'[8]Income Statement Forecast'!Y18</f>
        <v>27092.186879449051</v>
      </c>
      <c r="M11" s="12">
        <f>'[8]Income Statement Forecast'!Z18</f>
        <v>29183.086379645669</v>
      </c>
      <c r="N11" s="12">
        <f>'[8]Income Statement Forecast'!AA18</f>
        <v>31444.18058496009</v>
      </c>
      <c r="Q11" s="11" t="s">
        <v>79</v>
      </c>
      <c r="R11" s="12">
        <f>'[8]Income Statement Forecast'!AO18</f>
        <v>1477.9383905970849</v>
      </c>
      <c r="S11" s="12">
        <f>'[8]Income Statement Forecast'!AP18</f>
        <v>2039.1123445042776</v>
      </c>
      <c r="T11" s="12">
        <f>'[8]Income Statement Forecast'!AQ18</f>
        <v>2716.9239302327505</v>
      </c>
      <c r="U11" s="12">
        <f>'[8]Income Statement Forecast'!AR18</f>
        <v>3571.8102398798401</v>
      </c>
      <c r="V11" s="12">
        <f>'[8]Income Statement Forecast'!AS18</f>
        <v>4670.9384411365327</v>
      </c>
    </row>
    <row r="12" spans="1:28" x14ac:dyDescent="0.3">
      <c r="A12" s="11" t="s">
        <v>78</v>
      </c>
      <c r="B12" s="13">
        <f>B10/B9</f>
        <v>6.8326068867959971E-2</v>
      </c>
      <c r="C12" s="13">
        <f t="shared" ref="C12:F12" si="4">C10/C9</f>
        <v>6.8094690714546227E-2</v>
      </c>
      <c r="D12" s="13">
        <f t="shared" si="4"/>
        <v>6.7860744803016293E-2</v>
      </c>
      <c r="E12" s="13">
        <f t="shared" si="4"/>
        <v>6.7624199563569021E-2</v>
      </c>
      <c r="F12" s="13">
        <f t="shared" si="4"/>
        <v>6.7385023108467057E-2</v>
      </c>
      <c r="I12" s="11" t="s">
        <v>78</v>
      </c>
      <c r="J12" s="13">
        <f>J10/J9</f>
        <v>0.35803160921982552</v>
      </c>
      <c r="K12" s="13">
        <f t="shared" ref="K12:N12" si="5">K10/K9</f>
        <v>0.35803160921982552</v>
      </c>
      <c r="L12" s="13">
        <f t="shared" si="5"/>
        <v>0.35803160921982541</v>
      </c>
      <c r="M12" s="13">
        <f t="shared" si="5"/>
        <v>0.35803160921982546</v>
      </c>
      <c r="N12" s="13">
        <f t="shared" si="5"/>
        <v>0.35803160921982546</v>
      </c>
      <c r="Q12" s="11" t="s">
        <v>78</v>
      </c>
      <c r="R12" s="13">
        <f>R10/R9</f>
        <v>0.16440747349853982</v>
      </c>
      <c r="S12" s="13">
        <f t="shared" ref="S12:V12" si="6">S10/S9</f>
        <v>0.16440747349853987</v>
      </c>
      <c r="T12" s="13">
        <f t="shared" si="6"/>
        <v>0.16440747349853985</v>
      </c>
      <c r="U12" s="13">
        <f t="shared" si="6"/>
        <v>0.1644074734985399</v>
      </c>
      <c r="V12" s="13">
        <f t="shared" si="6"/>
        <v>0.16440747349853987</v>
      </c>
    </row>
    <row r="13" spans="1:28" x14ac:dyDescent="0.3">
      <c r="A13" s="11" t="s">
        <v>80</v>
      </c>
      <c r="B13" s="13">
        <f>B11/B9</f>
        <v>3.8290634343442063E-2</v>
      </c>
      <c r="C13" s="13">
        <f t="shared" ref="C13:F13" si="7">C11/C9</f>
        <v>3.7303797737315833E-2</v>
      </c>
      <c r="D13" s="13">
        <f t="shared" si="7"/>
        <v>3.6470173971978194E-2</v>
      </c>
      <c r="E13" s="13">
        <f t="shared" si="7"/>
        <v>3.5759952252763669E-2</v>
      </c>
      <c r="F13" s="13">
        <f t="shared" si="7"/>
        <v>3.5149039021380286E-2</v>
      </c>
      <c r="I13" s="11" t="s">
        <v>80</v>
      </c>
      <c r="J13" s="13">
        <f>J11/J9</f>
        <v>0.34132879560209367</v>
      </c>
      <c r="K13" s="13">
        <f t="shared" ref="K13:N13" si="8">K11/K9</f>
        <v>0.25745285967582682</v>
      </c>
      <c r="L13" s="13">
        <f t="shared" si="8"/>
        <v>0.25718488096931685</v>
      </c>
      <c r="M13" s="13">
        <f t="shared" si="8"/>
        <v>0.25695904407311326</v>
      </c>
      <c r="N13" s="13">
        <f t="shared" si="8"/>
        <v>0.25676894244043913</v>
      </c>
      <c r="Q13" s="11" t="s">
        <v>80</v>
      </c>
      <c r="R13" s="13">
        <f>R11/R9</f>
        <v>6.546677459943967E-2</v>
      </c>
      <c r="S13" s="13">
        <f t="shared" ref="S13:V13" si="9">S11/S9</f>
        <v>6.9401316200686472E-2</v>
      </c>
      <c r="T13" s="13">
        <f t="shared" si="9"/>
        <v>7.1025958836272704E-2</v>
      </c>
      <c r="U13" s="13">
        <f t="shared" si="9"/>
        <v>7.1699984337038003E-2</v>
      </c>
      <c r="V13" s="13">
        <f t="shared" si="9"/>
        <v>7.1982334858092384E-2</v>
      </c>
    </row>
    <row r="15" spans="1:28" x14ac:dyDescent="0.3">
      <c r="A15" s="38" t="s">
        <v>60</v>
      </c>
      <c r="B15" s="39" t="s">
        <v>16</v>
      </c>
      <c r="C15" s="39" t="s">
        <v>17</v>
      </c>
      <c r="D15" s="39" t="s">
        <v>18</v>
      </c>
      <c r="E15" s="39" t="s">
        <v>19</v>
      </c>
      <c r="F15" s="39" t="s">
        <v>20</v>
      </c>
      <c r="G15" s="40"/>
      <c r="I15" s="38" t="s">
        <v>60</v>
      </c>
      <c r="J15" s="39" t="s">
        <v>16</v>
      </c>
      <c r="K15" s="39" t="s">
        <v>17</v>
      </c>
      <c r="L15" s="39" t="s">
        <v>18</v>
      </c>
      <c r="M15" s="39" t="s">
        <v>19</v>
      </c>
      <c r="N15" s="39" t="s">
        <v>20</v>
      </c>
      <c r="O15" s="39" t="s">
        <v>21</v>
      </c>
      <c r="Q15" s="38" t="s">
        <v>60</v>
      </c>
      <c r="R15" s="39" t="s">
        <v>16</v>
      </c>
      <c r="S15" s="39" t="s">
        <v>17</v>
      </c>
      <c r="T15" s="39" t="s">
        <v>18</v>
      </c>
      <c r="U15" s="39" t="s">
        <v>19</v>
      </c>
      <c r="V15" s="39" t="s">
        <v>20</v>
      </c>
      <c r="W15" s="40"/>
    </row>
    <row r="16" spans="1:28" x14ac:dyDescent="0.3">
      <c r="A16" s="11" t="s">
        <v>14</v>
      </c>
      <c r="B16" s="12">
        <f>'[8]Income Statement'!J6</f>
        <v>40415</v>
      </c>
      <c r="C16" s="12">
        <f>'[8]Income Statement'!K6</f>
        <v>47438</v>
      </c>
      <c r="D16" s="12">
        <f>'[8]Income Statement'!L6</f>
        <v>52704</v>
      </c>
      <c r="E16" s="12">
        <f>'[8]Income Statement'!M6</f>
        <v>61092</v>
      </c>
      <c r="F16" s="12">
        <f>'[8]Income Statement'!N6</f>
        <v>62707</v>
      </c>
      <c r="G16" s="41"/>
      <c r="I16" s="11" t="s">
        <v>14</v>
      </c>
      <c r="J16" s="12">
        <f>'[8]Income Statement'!Y6</f>
        <v>21205</v>
      </c>
      <c r="K16" s="12">
        <f>'[8]Income Statement'!Z6</f>
        <v>21830</v>
      </c>
      <c r="L16" s="12">
        <f>'[8]Income Statement'!AA6</f>
        <v>29033</v>
      </c>
      <c r="M16" s="12">
        <f>'[8]Income Statement'!AB6</f>
        <v>40883</v>
      </c>
      <c r="N16" s="12">
        <f>'[8]Income Statement'!AC6</f>
        <v>51617</v>
      </c>
      <c r="O16" s="12">
        <f>'[8]Income Statement'!AD6</f>
        <v>60942</v>
      </c>
      <c r="Q16" s="11" t="s">
        <v>14</v>
      </c>
      <c r="R16" s="12">
        <f>'[8]Income Statement'!AO6</f>
        <v>6592.76</v>
      </c>
      <c r="S16" s="12">
        <f>'[8]Income Statement'!AP6</f>
        <v>9026.2159999999985</v>
      </c>
      <c r="T16" s="12">
        <f>'[8]Income Statement'!AQ6</f>
        <v>13429.407000000001</v>
      </c>
      <c r="U16" s="12">
        <f>'[8]Income Statement'!AR6</f>
        <v>16400.421999999999</v>
      </c>
      <c r="V16" s="12">
        <f>'[8]Income Statement'!AS6</f>
        <v>20602.596000000001</v>
      </c>
      <c r="W16" s="41"/>
    </row>
    <row r="17" spans="1:23" x14ac:dyDescent="0.3">
      <c r="A17" s="11" t="s">
        <v>77</v>
      </c>
      <c r="B17" s="12">
        <f>'[8]Income Statement'!J16+'[8]Income Statement'!J12+'[8]Income Statement'!J13</f>
        <v>10493</v>
      </c>
      <c r="C17" s="12">
        <f>'[8]Income Statement'!K16+'[8]Income Statement'!K12+'[8]Income Statement'!K13</f>
        <v>12036</v>
      </c>
      <c r="D17" s="12">
        <f>'[8]Income Statement'!L16+'[8]Income Statement'!L12+'[8]Income Statement'!L13</f>
        <v>13115</v>
      </c>
      <c r="E17" s="12">
        <f>'[8]Income Statement'!M16+'[8]Income Statement'!M12+'[8]Income Statement'!M13</f>
        <v>14660</v>
      </c>
      <c r="F17" s="12">
        <f>'[8]Income Statement'!N16+'[8]Income Statement'!N12+'[8]Income Statement'!N13</f>
        <v>15474</v>
      </c>
      <c r="G17" s="41"/>
      <c r="I17" s="11" t="s">
        <v>77</v>
      </c>
      <c r="J17" s="12">
        <f>'[8]Income Statement'!Y16+'[8]Income Statement'!Y12+'[8]Income Statement'!Y13</f>
        <v>2620</v>
      </c>
      <c r="K17" s="12">
        <f>'[8]Income Statement'!Z16+'[8]Income Statement'!Z12+'[8]Income Statement'!Z13</f>
        <v>1910</v>
      </c>
      <c r="L17" s="12">
        <f>'[8]Income Statement'!AA16+'[8]Income Statement'!AA12+'[8]Income Statement'!AA13</f>
        <v>3575</v>
      </c>
      <c r="M17" s="12">
        <f>'[8]Income Statement'!AB16+'[8]Income Statement'!AB12+'[8]Income Statement'!AB13</f>
        <v>5187</v>
      </c>
      <c r="N17" s="12">
        <f>'[8]Income Statement'!AC16+'[8]Income Statement'!AC12+'[8]Income Statement'!AC13</f>
        <v>5825</v>
      </c>
      <c r="O17" s="12">
        <f>'[8]Income Statement'!AD16+'[8]Income Statement'!AD12+'[8]Income Statement'!AD13</f>
        <v>6180</v>
      </c>
      <c r="Q17" s="11" t="s">
        <v>77</v>
      </c>
      <c r="R17" s="12">
        <f>[8]!VBL_IS[[#This Row],[2020]]+'[8]Income Statement'!AO13+'[8]Income Statement'!AO14</f>
        <v>1238.8370000000009</v>
      </c>
      <c r="S17" s="12">
        <f>[8]!VBL_IS[[#This Row],[2021]]+'[8]Income Statement'!AP13+'[8]Income Statement'!AP14</f>
        <v>1722.5699999999983</v>
      </c>
      <c r="T17" s="12">
        <f>[8]!VBL_IS[[#This Row],[2022]]+'[8]Income Statement'!AQ13+'[8]Income Statement'!AQ14</f>
        <v>2826.9540000000015</v>
      </c>
      <c r="U17" s="12">
        <f>[8]!VBL_IS[[#This Row],[2023]]+'[8]Income Statement'!AR13+'[8]Income Statement'!AR14</f>
        <v>3688.8440000000001</v>
      </c>
      <c r="V17" s="12">
        <f>[8]!VBL_IS[[#This Row],[2024]]+'[8]Income Statement'!AS13+'[8]Income Statement'!AS14</f>
        <v>4832.338999999999</v>
      </c>
      <c r="W17" s="41"/>
    </row>
    <row r="18" spans="1:23" x14ac:dyDescent="0.3">
      <c r="A18" s="11" t="s">
        <v>79</v>
      </c>
      <c r="B18" s="12">
        <f>'[8]Income Statement'!$J$27</f>
        <v>6756</v>
      </c>
      <c r="C18" s="12">
        <f>'[8]Income Statement'!$J$27</f>
        <v>6756</v>
      </c>
      <c r="D18" s="12">
        <f>'[8]Income Statement'!$J$27</f>
        <v>6756</v>
      </c>
      <c r="E18" s="12">
        <f>'[8]Income Statement'!$J$27</f>
        <v>6756</v>
      </c>
      <c r="F18" s="12">
        <f>'[8]Income Statement'!$J$27</f>
        <v>6756</v>
      </c>
      <c r="G18" s="41"/>
      <c r="I18" s="11" t="s">
        <v>79</v>
      </c>
      <c r="J18" s="12">
        <f>'[8]Income Statement'!Y28</f>
        <v>1493</v>
      </c>
      <c r="K18" s="12">
        <f>'[8]Income Statement'!Z28</f>
        <v>974</v>
      </c>
      <c r="L18" s="12">
        <f>'[8]Income Statement'!AA28</f>
        <v>2198</v>
      </c>
      <c r="M18" s="12">
        <f>'[8]Income Statement'!AB28</f>
        <v>3274</v>
      </c>
      <c r="N18" s="12">
        <f>'[8]Income Statement'!AC28</f>
        <v>3496</v>
      </c>
      <c r="O18" s="12">
        <f>'[8]Income Statement'!AD28</f>
        <v>3337</v>
      </c>
      <c r="Q18" s="11" t="s">
        <v>79</v>
      </c>
      <c r="R18" s="12">
        <f>'[8]Income Statement'!AO27</f>
        <v>357.26800000000088</v>
      </c>
      <c r="S18" s="12">
        <f>'[8]Income Statement'!AP27</f>
        <v>746.05199999999832</v>
      </c>
      <c r="T18" s="12">
        <f>'[8]Income Statement'!AQ27</f>
        <v>1550.1140000000019</v>
      </c>
      <c r="U18" s="12">
        <f>'[8]Income Statement'!AR27</f>
        <v>2101.8130000000001</v>
      </c>
      <c r="V18" s="12">
        <f>'[8]Income Statement'!AS27</f>
        <v>2634.2839999999992</v>
      </c>
      <c r="W18" s="41"/>
    </row>
    <row r="19" spans="1:23" x14ac:dyDescent="0.3">
      <c r="A19" s="11" t="s">
        <v>78</v>
      </c>
      <c r="B19" s="37">
        <f>B17/B16</f>
        <v>0.25963132500309294</v>
      </c>
      <c r="C19" s="37">
        <f t="shared" ref="C19:F19" si="10">C17/C16</f>
        <v>0.25372064589569543</v>
      </c>
      <c r="D19" s="37">
        <f t="shared" si="10"/>
        <v>0.24884259259259259</v>
      </c>
      <c r="E19" s="37">
        <f t="shared" si="10"/>
        <v>0.23996595298893472</v>
      </c>
      <c r="F19" s="37">
        <f t="shared" si="10"/>
        <v>0.24676670866091505</v>
      </c>
      <c r="G19" s="42"/>
      <c r="I19" s="11" t="s">
        <v>78</v>
      </c>
      <c r="J19" s="37">
        <f>J17/J16</f>
        <v>0.12355576514972884</v>
      </c>
      <c r="K19" s="37">
        <f t="shared" ref="K19:O19" si="11">K17/K16</f>
        <v>8.7494273934951905E-2</v>
      </c>
      <c r="L19" s="37">
        <f t="shared" si="11"/>
        <v>0.12313574208659112</v>
      </c>
      <c r="M19" s="37">
        <f t="shared" si="11"/>
        <v>0.12687425091113666</v>
      </c>
      <c r="N19" s="37">
        <f t="shared" si="11"/>
        <v>0.11285041749811109</v>
      </c>
      <c r="O19" s="37">
        <f t="shared" si="11"/>
        <v>0.101407896032293</v>
      </c>
      <c r="Q19" s="11" t="s">
        <v>78</v>
      </c>
      <c r="R19" s="37">
        <f>R17/R16</f>
        <v>0.18790870591376008</v>
      </c>
      <c r="S19" s="37">
        <f t="shared" ref="S19:V19" si="12">S17/S16</f>
        <v>0.1908407687119385</v>
      </c>
      <c r="T19" s="37">
        <f t="shared" si="12"/>
        <v>0.21050475274150238</v>
      </c>
      <c r="U19" s="37">
        <f t="shared" si="12"/>
        <v>0.22492372452367387</v>
      </c>
      <c r="V19" s="37">
        <f t="shared" si="12"/>
        <v>0.23455000525176531</v>
      </c>
      <c r="W19" s="42"/>
    </row>
    <row r="20" spans="1:23" x14ac:dyDescent="0.3">
      <c r="A20" s="11" t="s">
        <v>80</v>
      </c>
      <c r="B20" s="37">
        <f>B18/B16</f>
        <v>0.16716565631572436</v>
      </c>
      <c r="C20" s="37">
        <f t="shared" ref="C20:F20" si="13">C18/C16</f>
        <v>0.14241747122559972</v>
      </c>
      <c r="D20" s="37">
        <f t="shared" si="13"/>
        <v>0.12818761384335156</v>
      </c>
      <c r="E20" s="37">
        <f t="shared" si="13"/>
        <v>0.11058731094087605</v>
      </c>
      <c r="F20" s="37">
        <f t="shared" si="13"/>
        <v>0.1077391678759947</v>
      </c>
      <c r="G20" s="42"/>
      <c r="I20" s="11" t="s">
        <v>80</v>
      </c>
      <c r="J20" s="37">
        <f>J18/J16</f>
        <v>7.0407922659750058E-2</v>
      </c>
      <c r="K20" s="37">
        <f t="shared" ref="K20:O20" si="14">K18/K16</f>
        <v>4.461749885478699E-2</v>
      </c>
      <c r="L20" s="37">
        <f t="shared" si="14"/>
        <v>7.5706954155616027E-2</v>
      </c>
      <c r="M20" s="37">
        <f t="shared" si="14"/>
        <v>8.0082185749578066E-2</v>
      </c>
      <c r="N20" s="37">
        <f t="shared" si="14"/>
        <v>6.7729623961098093E-2</v>
      </c>
      <c r="O20" s="37">
        <f t="shared" si="14"/>
        <v>5.4756982048505133E-2</v>
      </c>
      <c r="Q20" s="11" t="s">
        <v>80</v>
      </c>
      <c r="R20" s="37">
        <f>R18/R16</f>
        <v>5.4190960993574899E-2</v>
      </c>
      <c r="S20" s="37">
        <f t="shared" ref="S20:V20" si="15">S18/S16</f>
        <v>8.265390502509562E-2</v>
      </c>
      <c r="T20" s="37">
        <f t="shared" si="15"/>
        <v>0.11542683902572926</v>
      </c>
      <c r="U20" s="37">
        <f t="shared" si="15"/>
        <v>0.12815603159479677</v>
      </c>
      <c r="V20" s="37">
        <f t="shared" si="15"/>
        <v>0.12786175101428962</v>
      </c>
      <c r="W20" s="42"/>
    </row>
    <row r="22" spans="1:23" x14ac:dyDescent="0.3">
      <c r="A22" s="38" t="s">
        <v>82</v>
      </c>
      <c r="B22" s="39" t="s">
        <v>21</v>
      </c>
      <c r="C22" s="39" t="s">
        <v>22</v>
      </c>
      <c r="D22" s="39" t="s">
        <v>23</v>
      </c>
      <c r="E22" s="39" t="s">
        <v>24</v>
      </c>
      <c r="F22" s="39" t="s">
        <v>25</v>
      </c>
      <c r="G22" s="39" t="s">
        <v>26</v>
      </c>
      <c r="I22" s="38" t="s">
        <v>82</v>
      </c>
      <c r="J22" s="39" t="s">
        <v>22</v>
      </c>
      <c r="K22" s="39" t="s">
        <v>23</v>
      </c>
      <c r="L22" s="39" t="s">
        <v>24</v>
      </c>
      <c r="M22" s="39" t="s">
        <v>25</v>
      </c>
      <c r="N22" s="39" t="s">
        <v>26</v>
      </c>
      <c r="Q22" s="38" t="s">
        <v>82</v>
      </c>
      <c r="R22" s="39" t="s">
        <v>21</v>
      </c>
      <c r="S22" s="39" t="s">
        <v>22</v>
      </c>
      <c r="T22" s="39" t="s">
        <v>23</v>
      </c>
      <c r="U22" s="39" t="s">
        <v>24</v>
      </c>
      <c r="V22" s="39" t="s">
        <v>25</v>
      </c>
      <c r="W22" s="39" t="s">
        <v>26</v>
      </c>
    </row>
    <row r="23" spans="1:23" x14ac:dyDescent="0.3">
      <c r="A23" s="11" t="s">
        <v>14</v>
      </c>
      <c r="B23" s="12">
        <f>'[8]Income Statement Forecast'!M6</f>
        <v>67473.415295990329</v>
      </c>
      <c r="C23" s="12">
        <f>'[8]Income Statement Forecast'!N6</f>
        <v>72603.056127397125</v>
      </c>
      <c r="D23" s="12">
        <f>'[8]Income Statement Forecast'!O6</f>
        <v>78123.641688896692</v>
      </c>
      <c r="E23" s="12">
        <f>'[8]Income Statement Forecast'!P6</f>
        <v>84065.008220783653</v>
      </c>
      <c r="F23" s="12">
        <f>'[8]Income Statement Forecast'!Q6</f>
        <v>90459.270769277486</v>
      </c>
      <c r="G23" s="12">
        <f>'[8]Income Statement Forecast'!R6</f>
        <v>97340.997309732804</v>
      </c>
      <c r="I23" s="11" t="s">
        <v>14</v>
      </c>
      <c r="J23" s="12">
        <f>'[8]Income Statement Forecast'!AF6</f>
        <v>72666.305425619386</v>
      </c>
      <c r="K23" s="12">
        <f>'[8]Income Statement Forecast'!AG6</f>
        <v>86646.384159711452</v>
      </c>
      <c r="L23" s="12">
        <f>'[8]Income Statement Forecast'!AH6</f>
        <v>103316.29203906145</v>
      </c>
      <c r="M23" s="12">
        <f>'[8]Income Statement Forecast'!AI6</f>
        <v>123193.61478217383</v>
      </c>
      <c r="N23" s="12">
        <f>'[8]Income Statement Forecast'!AJ6</f>
        <v>146895.54439597522</v>
      </c>
      <c r="Q23" s="11" t="s">
        <v>14</v>
      </c>
      <c r="R23" s="12">
        <f>'[8]Income Statement Forecast'!AX6</f>
        <v>24911.40976590187</v>
      </c>
      <c r="S23" s="12">
        <f>'[8]Income Statement Forecast'!AY6</f>
        <v>30121.377810395818</v>
      </c>
      <c r="T23" s="12">
        <f>'[8]Income Statement Forecast'!AZ6</f>
        <v>36420.971980128292</v>
      </c>
      <c r="U23" s="12">
        <f>'[8]Income Statement Forecast'!BA6</f>
        <v>44038.082614020277</v>
      </c>
      <c r="V23" s="12">
        <f>'[8]Income Statement Forecast'!BB6</f>
        <v>53248.262961324101</v>
      </c>
      <c r="W23" s="12">
        <f>'[8]Income Statement Forecast'!BC6</f>
        <v>64384.697955064534</v>
      </c>
    </row>
    <row r="24" spans="1:23" x14ac:dyDescent="0.3">
      <c r="A24" s="11" t="s">
        <v>77</v>
      </c>
      <c r="B24" s="12">
        <f>'[8]Income Statement Forecast'!M12</f>
        <v>16382.397675965993</v>
      </c>
      <c r="C24" s="12">
        <f>'[8]Income Statement Forecast'!N12</f>
        <v>17741.327596635922</v>
      </c>
      <c r="D24" s="12">
        <f>'[8]Income Statement Forecast'!O12</f>
        <v>19210.801248865064</v>
      </c>
      <c r="E24" s="12">
        <f>'[8]Income Statement Forecast'!P12</f>
        <v>20799.659361527716</v>
      </c>
      <c r="F24" s="12">
        <f>'[8]Income Statement Forecast'!Q12</f>
        <v>22517.439202539186</v>
      </c>
      <c r="G24" s="12">
        <f>'[8]Income Statement Forecast'!R12</f>
        <v>24374.428719344287</v>
      </c>
      <c r="I24" s="11" t="s">
        <v>77</v>
      </c>
      <c r="J24" s="12">
        <f>'[8]Income Statement Forecast'!AF12</f>
        <v>8178.8148603041191</v>
      </c>
      <c r="K24" s="12">
        <f>'[8]Income Statement Forecast'!AG12</f>
        <v>9752.3154673447716</v>
      </c>
      <c r="L24" s="12">
        <f>'[8]Income Statement Forecast'!AH12</f>
        <v>11628.564569111535</v>
      </c>
      <c r="M24" s="12">
        <f>'[8]Income Statement Forecast'!AI12</f>
        <v>13865.818020793318</v>
      </c>
      <c r="N24" s="12">
        <f>'[8]Income Statement Forecast'!AJ12</f>
        <v>16533.542669897244</v>
      </c>
      <c r="Q24" s="11" t="s">
        <v>77</v>
      </c>
      <c r="R24" s="12">
        <f>'[8]Income Statement Forecast'!AX12</f>
        <v>5659.2597321086614</v>
      </c>
      <c r="S24" s="12">
        <f>'[8]Income Statement Forecast'!AY12</f>
        <v>6842.8363597202879</v>
      </c>
      <c r="T24" s="12">
        <f>'[8]Income Statement Forecast'!AZ12</f>
        <v>8273.9492492923491</v>
      </c>
      <c r="U24" s="12">
        <f>'[8]Income Statement Forecast'!BA12</f>
        <v>10004.369482048736</v>
      </c>
      <c r="V24" s="12">
        <f>'[8]Income Statement Forecast'!BB12</f>
        <v>12096.695980418946</v>
      </c>
      <c r="W24" s="12">
        <f>'[8]Income Statement Forecast'!BC12</f>
        <v>14626.620168233756</v>
      </c>
    </row>
    <row r="25" spans="1:23" x14ac:dyDescent="0.3">
      <c r="A25" s="11" t="s">
        <v>79</v>
      </c>
      <c r="B25" s="12">
        <f>'[8]Income Statement Forecast'!M18</f>
        <v>14602.832648797412</v>
      </c>
      <c r="C25" s="12">
        <f>'[8]Income Statement Forecast'!N18</f>
        <v>11942.974649995596</v>
      </c>
      <c r="D25" s="12">
        <f>'[8]Income Statement Forecast'!O18</f>
        <v>13021.884239470137</v>
      </c>
      <c r="E25" s="12">
        <f>'[8]Income Statement Forecast'!P18</f>
        <v>14169.150201183322</v>
      </c>
      <c r="F25" s="12">
        <f>'[8]Income Statement Forecast'!Q18</f>
        <v>15393.52767704432</v>
      </c>
      <c r="G25" s="12">
        <f>'[8]Income Statement Forecast'!R18</f>
        <v>16703.753341066884</v>
      </c>
      <c r="I25" s="11" t="s">
        <v>79</v>
      </c>
      <c r="J25" s="12">
        <f>'[8]Income Statement Forecast'!AF18</f>
        <v>5173.7367941589082</v>
      </c>
      <c r="K25" s="12">
        <f>'[8]Income Statement Forecast'!AG18</f>
        <v>6215.2794681760861</v>
      </c>
      <c r="L25" s="12">
        <f>'[8]Income Statement Forecast'!AH18</f>
        <v>7442.2486463629821</v>
      </c>
      <c r="M25" s="12">
        <f>'[8]Income Statement Forecast'!AI18</f>
        <v>8895.1785998287032</v>
      </c>
      <c r="N25" s="12">
        <f>'[8]Income Statement Forecast'!AJ18</f>
        <v>10620.830567815176</v>
      </c>
      <c r="Q25" s="11" t="s">
        <v>79</v>
      </c>
      <c r="R25" s="12">
        <f>'[8]Income Statement Forecast'!AX18</f>
        <v>4306.8034684782306</v>
      </c>
      <c r="S25" s="12">
        <f>'[8]Income Statement Forecast'!AY18</f>
        <v>4009.370830859727</v>
      </c>
      <c r="T25" s="12">
        <f>'[8]Income Statement Forecast'!AZ18</f>
        <v>4835.386770190169</v>
      </c>
      <c r="U25" s="12">
        <f>'[8]Income Statement Forecast'!BA18</f>
        <v>5835.4005346973318</v>
      </c>
      <c r="V25" s="12">
        <f>'[8]Income Statement Forecast'!BB18</f>
        <v>7045.6798407418637</v>
      </c>
      <c r="W25" s="12">
        <f>'[8]Income Statement Forecast'!BC18</f>
        <v>8510.0900256920431</v>
      </c>
    </row>
    <row r="26" spans="1:23" x14ac:dyDescent="0.3">
      <c r="A26" s="11" t="s">
        <v>78</v>
      </c>
      <c r="B26" s="13">
        <f>B24/B23</f>
        <v>0.24279781309572351</v>
      </c>
      <c r="C26" s="13">
        <f t="shared" ref="C26:G26" si="16">C24/C23</f>
        <v>0.24436061707244225</v>
      </c>
      <c r="D26" s="13">
        <f t="shared" si="16"/>
        <v>0.24590253134084755</v>
      </c>
      <c r="E26" s="13">
        <f t="shared" si="16"/>
        <v>0.24742350951659517</v>
      </c>
      <c r="F26" s="13">
        <f t="shared" si="16"/>
        <v>0.24892351011729294</v>
      </c>
      <c r="G26" s="13">
        <f t="shared" si="16"/>
        <v>0.25040249630673517</v>
      </c>
      <c r="I26" s="11" t="s">
        <v>78</v>
      </c>
      <c r="J26" s="13">
        <f>J24/J23</f>
        <v>0.11255305760213562</v>
      </c>
      <c r="K26" s="13">
        <f t="shared" ref="K26:N26" si="17">K24/K23</f>
        <v>0.11255305760213559</v>
      </c>
      <c r="L26" s="13">
        <f t="shared" si="17"/>
        <v>0.11255305760213549</v>
      </c>
      <c r="M26" s="13">
        <f t="shared" si="17"/>
        <v>0.11255305760213563</v>
      </c>
      <c r="N26" s="13">
        <f t="shared" si="17"/>
        <v>0.11255305760213545</v>
      </c>
      <c r="Q26" s="11" t="s">
        <v>78</v>
      </c>
      <c r="R26" s="13">
        <f>R24/R23</f>
        <v>0.2271754101951676</v>
      </c>
      <c r="S26" s="13">
        <f t="shared" ref="S26:W26" si="18">S24/S23</f>
        <v>0.22717541019516757</v>
      </c>
      <c r="T26" s="13">
        <f t="shared" si="18"/>
        <v>0.22717541019516757</v>
      </c>
      <c r="U26" s="13">
        <f t="shared" si="18"/>
        <v>0.22717541019516763</v>
      </c>
      <c r="V26" s="13">
        <f t="shared" si="18"/>
        <v>0.22717541019516749</v>
      </c>
      <c r="W26" s="13">
        <f t="shared" si="18"/>
        <v>0.22717541019516763</v>
      </c>
    </row>
    <row r="27" spans="1:23" x14ac:dyDescent="0.3">
      <c r="A27" s="11" t="s">
        <v>80</v>
      </c>
      <c r="B27" s="13">
        <f>B25/B23</f>
        <v>0.21642349931062699</v>
      </c>
      <c r="C27" s="13">
        <f t="shared" ref="C27:G27" si="19">C25/C23</f>
        <v>0.16449685849365858</v>
      </c>
      <c r="D27" s="13">
        <f t="shared" si="19"/>
        <v>0.16668301627983209</v>
      </c>
      <c r="E27" s="13">
        <f t="shared" si="19"/>
        <v>0.16854991751110349</v>
      </c>
      <c r="F27" s="13">
        <f t="shared" si="19"/>
        <v>0.17017081329681019</v>
      </c>
      <c r="G27" s="13">
        <f t="shared" si="19"/>
        <v>0.17160039246276276</v>
      </c>
      <c r="I27" s="11" t="s">
        <v>80</v>
      </c>
      <c r="J27" s="13">
        <f>J25/J23</f>
        <v>7.1198566706473079E-2</v>
      </c>
      <c r="K27" s="13">
        <f t="shared" ref="K27:N27" si="20">K25/K23</f>
        <v>7.1731550352057805E-2</v>
      </c>
      <c r="L27" s="13">
        <f t="shared" si="20"/>
        <v>7.2033640575769442E-2</v>
      </c>
      <c r="M27" s="13">
        <f t="shared" si="20"/>
        <v>7.2204867237289957E-2</v>
      </c>
      <c r="N27" s="13">
        <f t="shared" si="20"/>
        <v>7.2301924551131422E-2</v>
      </c>
      <c r="Q27" s="11" t="s">
        <v>80</v>
      </c>
      <c r="R27" s="13">
        <f>R25/R23</f>
        <v>0.17288477484615417</v>
      </c>
      <c r="S27" s="13">
        <f t="shared" ref="S27:W27" si="21">S25/S23</f>
        <v>0.13310715253788855</v>
      </c>
      <c r="T27" s="13">
        <f t="shared" si="21"/>
        <v>0.13276380358076145</v>
      </c>
      <c r="U27" s="13">
        <f t="shared" si="21"/>
        <v>0.13250805185690651</v>
      </c>
      <c r="V27" s="13">
        <f t="shared" si="21"/>
        <v>0.13231755270325651</v>
      </c>
      <c r="W27" s="13">
        <f t="shared" si="21"/>
        <v>0.13217566123601943</v>
      </c>
    </row>
  </sheetData>
  <phoneticPr fontId="2"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241C0-6A47-4E11-91DE-B964BD74AE8B}">
  <dimension ref="A1:T56"/>
  <sheetViews>
    <sheetView topLeftCell="J1" workbookViewId="0">
      <selection activeCell="U13" sqref="U13"/>
    </sheetView>
  </sheetViews>
  <sheetFormatPr defaultRowHeight="14.4" x14ac:dyDescent="0.3"/>
  <cols>
    <col min="1" max="1" width="18.33203125" style="1" bestFit="1" customWidth="1"/>
    <col min="2" max="5" width="12" style="1" bestFit="1" customWidth="1"/>
    <col min="6" max="6" width="11" style="1" bestFit="1" customWidth="1"/>
    <col min="7" max="7" width="12" style="1" bestFit="1" customWidth="1"/>
    <col min="8" max="8" width="8.88671875" style="1"/>
    <col min="9" max="9" width="18.33203125" style="1" bestFit="1" customWidth="1"/>
    <col min="10" max="15" width="9.88671875" style="1" bestFit="1" customWidth="1"/>
    <col min="16" max="16384" width="8.88671875" style="1"/>
  </cols>
  <sheetData>
    <row r="1" spans="1:20" x14ac:dyDescent="0.3">
      <c r="A1" s="43" t="s">
        <v>60</v>
      </c>
      <c r="B1" s="44" t="s">
        <v>16</v>
      </c>
      <c r="C1" s="44" t="s">
        <v>17</v>
      </c>
      <c r="D1" s="44" t="s">
        <v>18</v>
      </c>
      <c r="E1" s="44" t="s">
        <v>19</v>
      </c>
      <c r="F1" s="44" t="s">
        <v>20</v>
      </c>
      <c r="G1" s="44" t="s">
        <v>21</v>
      </c>
      <c r="I1" s="43" t="s">
        <v>60</v>
      </c>
      <c r="J1" s="44" t="s">
        <v>16</v>
      </c>
      <c r="K1" s="44" t="s">
        <v>17</v>
      </c>
      <c r="L1" s="44" t="s">
        <v>18</v>
      </c>
      <c r="M1" s="44" t="s">
        <v>19</v>
      </c>
      <c r="N1" s="44" t="s">
        <v>20</v>
      </c>
      <c r="O1" s="44" t="s">
        <v>21</v>
      </c>
    </row>
    <row r="2" spans="1:20" x14ac:dyDescent="0.3">
      <c r="A2" s="11" t="s">
        <v>14</v>
      </c>
      <c r="B2" s="45">
        <f>'[9]Income Statement'!B7</f>
        <v>5584.05</v>
      </c>
      <c r="C2" s="45">
        <f>'[9]Income Statement'!C7</f>
        <v>7031.96</v>
      </c>
      <c r="D2" s="45">
        <f>'[9]Income Statement'!D7</f>
        <v>9073.7000000000007</v>
      </c>
      <c r="E2" s="45">
        <f>'[9]Income Statement'!E7</f>
        <v>8112.17</v>
      </c>
      <c r="F2" s="45">
        <f>'[9]Income Statement'!F7</f>
        <v>8184</v>
      </c>
      <c r="G2" s="45">
        <f>'[9]Income Statement'!G7</f>
        <v>9712</v>
      </c>
      <c r="I2" s="11" t="s">
        <v>14</v>
      </c>
      <c r="J2" s="45">
        <f>'[9]Income Statement'!Z9</f>
        <v>18137.599999999999</v>
      </c>
      <c r="K2" s="45">
        <f>'[9]Income Statement'!AA9</f>
        <v>19338.900000000001</v>
      </c>
      <c r="L2" s="45">
        <f>'[9]Income Statement'!AB9</f>
        <v>22029.600000000002</v>
      </c>
      <c r="M2" s="45">
        <f>'[9]Income Statement'!AC9</f>
        <v>25725.200000000001</v>
      </c>
      <c r="N2" s="45">
        <f>'[9]Income Statement'!AD9</f>
        <v>28905.399999999998</v>
      </c>
      <c r="O2" s="45">
        <f>'[9]Income Statement'!AE9</f>
        <v>33741.200000000004</v>
      </c>
      <c r="R2" s="1" t="s">
        <v>236</v>
      </c>
      <c r="S2" s="52">
        <f>(F15-B15)/B15</f>
        <v>0.40998178770368626</v>
      </c>
      <c r="T2" s="1">
        <f>(F15/B15)^(1/5)-1</f>
        <v>7.1131276328607829E-2</v>
      </c>
    </row>
    <row r="3" spans="1:20" x14ac:dyDescent="0.3">
      <c r="A3" s="11" t="s">
        <v>77</v>
      </c>
      <c r="B3" s="45">
        <f>'[9]Income Statement'!B17+'[9]Income Statement'!B13+'[9]Income Statement'!B14</f>
        <v>2011.8</v>
      </c>
      <c r="C3" s="45">
        <f>'[9]Income Statement'!C17+'[9]Income Statement'!C13+'[9]Income Statement'!C14</f>
        <v>2922.5</v>
      </c>
      <c r="D3" s="45">
        <f>'[9]Income Statement'!D17+'[9]Income Statement'!D13+'[9]Income Statement'!D14</f>
        <v>3995.8100000000013</v>
      </c>
      <c r="E3" s="45">
        <f>'[9]Income Statement'!E17+'[9]Income Statement'!E13+'[9]Income Statement'!E14</f>
        <v>2712.48</v>
      </c>
      <c r="F3" s="45">
        <f>'[9]Income Statement'!F17+'[9]Income Statement'!F13+'[9]Income Statement'!F14</f>
        <v>2544</v>
      </c>
      <c r="G3" s="45">
        <f>'[9]Income Statement'!G17+'[9]Income Statement'!G13+'[9]Income Statement'!G14</f>
        <v>3320</v>
      </c>
      <c r="I3" s="11" t="s">
        <v>77</v>
      </c>
      <c r="J3" s="45">
        <f>'[9]Income Statement'!Z20+'[9]Income Statement'!Z17+'[9]Income Statement'!Z15</f>
        <v>3090.9999999999982</v>
      </c>
      <c r="K3" s="45">
        <f>'[9]Income Statement'!AA20+'[9]Income Statement'!AA17+'[9]Income Statement'!AA15</f>
        <v>4161.3000000000038</v>
      </c>
      <c r="L3" s="45">
        <f>'[9]Income Statement'!AB20+'[9]Income Statement'!AB17+'[9]Income Statement'!AB15</f>
        <v>4252.1000000000022</v>
      </c>
      <c r="M3" s="45">
        <f>'[9]Income Statement'!AC20+'[9]Income Statement'!AC17+'[9]Income Statement'!AC15</f>
        <v>7404.5000000000036</v>
      </c>
      <c r="N3" s="45">
        <f>'[9]Income Statement'!AD20+'[9]Income Statement'!AD17+'[9]Income Statement'!AD15</f>
        <v>8827.4</v>
      </c>
      <c r="O3" s="45">
        <f>'[9]Income Statement'!AE20+'[9]Income Statement'!AE17+'[9]Income Statement'!AE15</f>
        <v>9644.4000000000033</v>
      </c>
      <c r="R3" s="1" t="s">
        <v>237</v>
      </c>
      <c r="S3" s="52">
        <f>(F34-B34)/B34</f>
        <v>0.41423183588553658</v>
      </c>
      <c r="T3" s="1">
        <f>(F34/B34)^(1/5)-1</f>
        <v>7.1776232268531359E-2</v>
      </c>
    </row>
    <row r="4" spans="1:20" x14ac:dyDescent="0.3">
      <c r="A4" s="11" t="s">
        <v>79</v>
      </c>
      <c r="B4" s="45">
        <f>'[9]Income Statement'!B21</f>
        <v>1376.54</v>
      </c>
      <c r="C4" s="45">
        <f>'[9]Income Statement'!C21</f>
        <v>1984.29</v>
      </c>
      <c r="D4" s="45">
        <f>'[9]Income Statement'!D21</f>
        <v>2960.4500000000007</v>
      </c>
      <c r="E4" s="45">
        <f>'[9]Income Statement'!E21</f>
        <v>1823.38</v>
      </c>
      <c r="F4" s="45">
        <f>'[9]Income Statement'!F21</f>
        <v>1600</v>
      </c>
      <c r="G4" s="45">
        <f>'[9]Income Statement'!G21</f>
        <v>2191</v>
      </c>
      <c r="I4" s="11" t="s">
        <v>79</v>
      </c>
      <c r="J4" s="45">
        <f>'[9]Income Statement'!Z26</f>
        <v>2025.9999999999984</v>
      </c>
      <c r="K4" s="45">
        <f>'[9]Income Statement'!AA26</f>
        <v>1951.6000000000035</v>
      </c>
      <c r="L4" s="45">
        <f>'[9]Income Statement'!AB26</f>
        <v>2182.5000000000023</v>
      </c>
      <c r="M4" s="45">
        <f>'[9]Income Statement'!AC26</f>
        <v>4507.3000000000038</v>
      </c>
      <c r="N4" s="45">
        <f>'[9]Income Statement'!AD26</f>
        <v>5577.8999999999987</v>
      </c>
      <c r="O4" s="45">
        <f>'[9]Income Statement'!AE26</f>
        <v>5725.2000000000025</v>
      </c>
      <c r="R4" s="1" t="s">
        <v>238</v>
      </c>
      <c r="S4" s="52">
        <f>(F53-B53)/B53</f>
        <v>1.1786748862910481</v>
      </c>
      <c r="T4" s="1">
        <f>(F53/B53)^(1/5)-1</f>
        <v>0.16852628375778611</v>
      </c>
    </row>
    <row r="5" spans="1:20" x14ac:dyDescent="0.3">
      <c r="A5" s="11" t="s">
        <v>78</v>
      </c>
      <c r="B5" s="46">
        <f>B3/B2</f>
        <v>0.3602761436591721</v>
      </c>
      <c r="C5" s="46">
        <f t="shared" ref="C5:G5" si="0">C3/C2</f>
        <v>0.41560247782979426</v>
      </c>
      <c r="D5" s="46">
        <f t="shared" si="0"/>
        <v>0.44037272556950319</v>
      </c>
      <c r="E5" s="46">
        <f t="shared" si="0"/>
        <v>0.33437169092856783</v>
      </c>
      <c r="F5" s="46">
        <f t="shared" si="0"/>
        <v>0.31085043988269795</v>
      </c>
      <c r="G5" s="46">
        <f t="shared" si="0"/>
        <v>0.34184514003294891</v>
      </c>
      <c r="I5" s="11" t="s">
        <v>78</v>
      </c>
      <c r="J5" s="46">
        <f>J3/J2</f>
        <v>0.17041946012702885</v>
      </c>
      <c r="K5" s="46">
        <f t="shared" ref="K5:O5" si="1">K3/K2</f>
        <v>0.2151776988349908</v>
      </c>
      <c r="L5" s="46">
        <f t="shared" si="1"/>
        <v>0.19301757635181763</v>
      </c>
      <c r="M5" s="46">
        <f t="shared" si="1"/>
        <v>0.28783060967456048</v>
      </c>
      <c r="N5" s="46">
        <f t="shared" si="1"/>
        <v>0.30538930442062728</v>
      </c>
      <c r="O5" s="46">
        <f t="shared" si="1"/>
        <v>0.28583452870674436</v>
      </c>
      <c r="R5" s="1" t="s">
        <v>239</v>
      </c>
      <c r="S5" s="52">
        <f>(N15-J15)/J15</f>
        <v>0.42055821683832723</v>
      </c>
      <c r="T5" s="1">
        <f>(N15/J15)^(1/5)-1</f>
        <v>7.2733411201120424E-2</v>
      </c>
    </row>
    <row r="6" spans="1:20" x14ac:dyDescent="0.3">
      <c r="A6" s="11" t="s">
        <v>80</v>
      </c>
      <c r="B6" s="46">
        <f>B4/B2</f>
        <v>0.24651283566586973</v>
      </c>
      <c r="C6" s="46">
        <f t="shared" ref="C6:G6" si="2">C4/C2</f>
        <v>0.28218163925847134</v>
      </c>
      <c r="D6" s="46">
        <f t="shared" si="2"/>
        <v>0.32626712366509808</v>
      </c>
      <c r="E6" s="46">
        <f t="shared" si="2"/>
        <v>0.22477093058947237</v>
      </c>
      <c r="F6" s="46">
        <f t="shared" si="2"/>
        <v>0.19550342130987292</v>
      </c>
      <c r="G6" s="46">
        <f t="shared" si="2"/>
        <v>0.2255971993410214</v>
      </c>
      <c r="I6" s="11" t="s">
        <v>80</v>
      </c>
      <c r="J6" s="46">
        <f>J4/J2</f>
        <v>0.11170165843330973</v>
      </c>
      <c r="K6" s="46">
        <f t="shared" ref="K6:O6" si="3">K4/K2</f>
        <v>0.10091577080392387</v>
      </c>
      <c r="L6" s="46">
        <f t="shared" si="3"/>
        <v>9.9071249591458854E-2</v>
      </c>
      <c r="M6" s="46">
        <f t="shared" si="3"/>
        <v>0.17520952218058572</v>
      </c>
      <c r="N6" s="46">
        <f t="shared" si="3"/>
        <v>0.19297086357566404</v>
      </c>
      <c r="O6" s="46">
        <f t="shared" si="3"/>
        <v>0.16967979799177271</v>
      </c>
      <c r="R6" s="1" t="s">
        <v>240</v>
      </c>
      <c r="S6" s="52">
        <f>(N34-J34)/J34</f>
        <v>0.25485484681997955</v>
      </c>
      <c r="T6" s="1">
        <f>(N34/J34)^(1/5)-1</f>
        <v>4.6450520864542932E-2</v>
      </c>
    </row>
    <row r="7" spans="1:20" x14ac:dyDescent="0.3">
      <c r="A7" s="11" t="s">
        <v>84</v>
      </c>
      <c r="B7" s="46">
        <f>'[9]Ratio Analysis'!B25</f>
        <v>9.1797172303256583E-3</v>
      </c>
      <c r="C7" s="46">
        <f>'[9]Ratio Analysis'!C25</f>
        <v>7.2895750260240394E-2</v>
      </c>
      <c r="D7" s="46">
        <f>'[9]Ratio Analysis'!D25</f>
        <v>2.2813185359886263E-2</v>
      </c>
      <c r="E7" s="46">
        <f>'[9]Ratio Analysis'!E25</f>
        <v>2.847573460615347E-2</v>
      </c>
      <c r="F7" s="46">
        <f>'[9]Ratio Analysis'!F25</f>
        <v>3.4934017595307912E-2</v>
      </c>
      <c r="G7" s="46">
        <f>'[9]Ratio Analysis'!G25</f>
        <v>2.4299835255354202E-2</v>
      </c>
      <c r="I7" s="11" t="s">
        <v>84</v>
      </c>
      <c r="J7" s="46">
        <f>'[9]Ratio Analysis'!Z25</f>
        <v>8.4961626676076221E-2</v>
      </c>
      <c r="K7" s="46">
        <f>'[9]Ratio Analysis'!AA25</f>
        <v>8.55322691569841E-2</v>
      </c>
      <c r="L7" s="46">
        <f>'[9]Ratio Analysis'!AB25</f>
        <v>7.9356865308494021E-2</v>
      </c>
      <c r="M7" s="46">
        <f>'[9]Ratio Analysis'!AC25</f>
        <v>7.5338578514452748E-2</v>
      </c>
      <c r="N7" s="46">
        <f>'[9]Ratio Analysis'!AD25</f>
        <v>7.91305430819155E-2</v>
      </c>
      <c r="O7" s="46">
        <f>'[9]Ratio Analysis'!AE25</f>
        <v>8.1147084276789197E-2</v>
      </c>
      <c r="R7" s="1" t="s">
        <v>92</v>
      </c>
      <c r="S7" s="52">
        <f>(N53-J53)/J53</f>
        <v>-0.15851916746997727</v>
      </c>
      <c r="T7" s="1">
        <f>(N53/J53)^(1/5)-1</f>
        <v>-3.3929444551791699E-2</v>
      </c>
    </row>
    <row r="8" spans="1:20" x14ac:dyDescent="0.3">
      <c r="A8" s="11" t="s">
        <v>85</v>
      </c>
      <c r="B8" s="46">
        <f>'[9]Ratio Analysis'!B26</f>
        <v>0.81063206812259914</v>
      </c>
      <c r="C8" s="46">
        <f>'[9]Ratio Analysis'!C26</f>
        <v>0.88000000000000012</v>
      </c>
      <c r="D8" s="46">
        <f>'[9]Ratio Analysis'!D26</f>
        <v>0.9</v>
      </c>
      <c r="E8" s="46">
        <f>'[9]Ratio Analysis'!E26</f>
        <v>0.88</v>
      </c>
      <c r="F8" s="46">
        <f>'[9]Ratio Analysis'!F26</f>
        <v>0.87</v>
      </c>
      <c r="G8" s="46">
        <f>'[9]Ratio Analysis'!G26</f>
        <v>0.86</v>
      </c>
      <c r="I8" s="11" t="s">
        <v>85</v>
      </c>
      <c r="J8" s="46">
        <f>'[9]Ratio Analysis'!Z26</f>
        <v>0.83399999999999996</v>
      </c>
      <c r="K8" s="46">
        <f>'[9]Ratio Analysis'!AA26</f>
        <v>0.8</v>
      </c>
      <c r="L8" s="46">
        <f>'[9]Ratio Analysis'!AB26</f>
        <v>0.69</v>
      </c>
      <c r="M8" s="46">
        <f>'[9]Ratio Analysis'!AC26</f>
        <v>0.79000000000000015</v>
      </c>
      <c r="N8" s="46">
        <f>'[9]Ratio Analysis'!AD26</f>
        <v>0.83399999999999996</v>
      </c>
      <c r="O8" s="46">
        <f>'[9]Ratio Analysis'!AE26</f>
        <v>0.83499999999999996</v>
      </c>
      <c r="S8" s="52">
        <f>AVERAGE(S2:S7)</f>
        <v>0.41996373434476669</v>
      </c>
      <c r="T8" s="52">
        <f>AVERAGE(T2:T7)</f>
        <v>6.6114713311466164E-2</v>
      </c>
    </row>
    <row r="9" spans="1:20" x14ac:dyDescent="0.3">
      <c r="A9" s="11" t="s">
        <v>66</v>
      </c>
      <c r="B9" s="46">
        <f>'[9]Ratio Analysis'!B10</f>
        <v>0.18831122638825049</v>
      </c>
      <c r="C9" s="46">
        <f>'[9]Ratio Analysis'!C10</f>
        <v>0.2134882474896741</v>
      </c>
      <c r="D9" s="46">
        <f>'[9]Ratio Analysis'!D10</f>
        <v>0.25242194441081228</v>
      </c>
      <c r="E9" s="46">
        <f>'[9]Ratio Analysis'!E10</f>
        <v>0.14281876292874884</v>
      </c>
      <c r="F9" s="46">
        <f>'[9]Ratio Analysis'!F10</f>
        <v>0.11789845995136689</v>
      </c>
      <c r="G9" s="46">
        <f>'[9]Ratio Analysis'!G10</f>
        <v>0.14636916293673591</v>
      </c>
      <c r="I9" s="11" t="s">
        <v>66</v>
      </c>
      <c r="J9" s="46">
        <f>'[9]Ratio Analysis'!Z10</f>
        <v>1.2933626173022619</v>
      </c>
      <c r="K9" s="46">
        <f>'[9]Ratio Analysis'!AA10</f>
        <v>1.2397684437264405</v>
      </c>
      <c r="L9" s="46">
        <f>'[9]Ratio Analysis'!AB10</f>
        <v>1.2487231956104003</v>
      </c>
      <c r="M9" s="46">
        <f>'[9]Ratio Analysis'!AC10</f>
        <v>1.3389894026774374</v>
      </c>
      <c r="N9" s="46">
        <f>'[9]Ratio Analysis'!AD10</f>
        <v>1.0230261760833557</v>
      </c>
      <c r="O9" s="46">
        <f>'[9]Ratio Analysis'!AE10</f>
        <v>0.99451181051303672</v>
      </c>
    </row>
    <row r="10" spans="1:20" x14ac:dyDescent="0.3">
      <c r="A10" s="11" t="s">
        <v>86</v>
      </c>
      <c r="B10" s="46">
        <f>'[9]Ratio Analysis'!B16</f>
        <v>5.3146956464639834E-3</v>
      </c>
      <c r="C10" s="46">
        <f>'[9]Ratio Analysis'!C16</f>
        <v>5.1965601569081428E-4</v>
      </c>
      <c r="D10" s="46">
        <f>'[9]Ratio Analysis'!D16</f>
        <v>3.1462682189393407E-4</v>
      </c>
      <c r="E10" s="46">
        <f>'[9]Ratio Analysis'!E16</f>
        <v>2.5534401339694481E-4</v>
      </c>
      <c r="F10" s="46">
        <f>'[9]Ratio Analysis'!F16</f>
        <v>2.2105961240881291E-4</v>
      </c>
      <c r="G10" s="46">
        <f>'[9]Ratio Analysis'!G16</f>
        <v>2.6721891909947226E-4</v>
      </c>
      <c r="I10" s="11" t="s">
        <v>86</v>
      </c>
      <c r="J10" s="45">
        <f>'[9]Ratio Analysis'!Z16</f>
        <v>0.24406714395732906</v>
      </c>
      <c r="K10" s="45">
        <f>'[9]Ratio Analysis'!AA16</f>
        <v>0.11434212888170885</v>
      </c>
      <c r="L10" s="45">
        <f>'[9]Ratio Analysis'!AB16</f>
        <v>0.16690001530464751</v>
      </c>
      <c r="M10" s="45">
        <f>'[9]Ratio Analysis'!AC16</f>
        <v>0.17086881389102868</v>
      </c>
      <c r="N10" s="45">
        <f>'[9]Ratio Analysis'!AD16</f>
        <v>7.0855217520562869E-2</v>
      </c>
      <c r="O10" s="45">
        <f>'[9]Ratio Analysis'!AE16</f>
        <v>0.13784139073433271</v>
      </c>
    </row>
    <row r="12" spans="1:20" x14ac:dyDescent="0.3">
      <c r="A12" s="43" t="s">
        <v>82</v>
      </c>
      <c r="B12" s="44" t="s">
        <v>22</v>
      </c>
      <c r="C12" s="44" t="s">
        <v>23</v>
      </c>
      <c r="D12" s="44" t="s">
        <v>24</v>
      </c>
      <c r="E12" s="44" t="s">
        <v>25</v>
      </c>
      <c r="F12" s="44" t="s">
        <v>26</v>
      </c>
      <c r="I12" s="43" t="s">
        <v>82</v>
      </c>
      <c r="J12" s="44" t="s">
        <v>22</v>
      </c>
      <c r="K12" s="44" t="s">
        <v>23</v>
      </c>
      <c r="L12" s="44" t="s">
        <v>24</v>
      </c>
      <c r="M12" s="44" t="s">
        <v>25</v>
      </c>
      <c r="N12" s="44" t="s">
        <v>26</v>
      </c>
    </row>
    <row r="13" spans="1:20" x14ac:dyDescent="0.3">
      <c r="A13" s="11" t="s">
        <v>14</v>
      </c>
      <c r="B13" s="45">
        <f>'[9]Income Statement Forecast'!B5</f>
        <v>10264.45144425392</v>
      </c>
      <c r="C13" s="45">
        <f>'[9]Income Statement Forecast'!C5</f>
        <v>11256.299514043418</v>
      </c>
      <c r="D13" s="45">
        <f>'[9]Income Statement Forecast'!D5</f>
        <v>12343.989295286076</v>
      </c>
      <c r="E13" s="45">
        <f>'[9]Income Statement Forecast'!E5</f>
        <v>13536.781917719454</v>
      </c>
      <c r="F13" s="45">
        <f>'[9]Income Statement Forecast'!F5</f>
        <v>14844.833408748484</v>
      </c>
      <c r="I13" s="11" t="s">
        <v>14</v>
      </c>
      <c r="J13" s="45">
        <f>'[9]Income Statement Forecast'!W7</f>
        <v>37419.18833532276</v>
      </c>
      <c r="K13" s="45">
        <f>'[9]Income Statement Forecast'!X7</f>
        <v>41498.198328012462</v>
      </c>
      <c r="L13" s="45">
        <f>'[9]Income Statement Forecast'!Y7</f>
        <v>46021.964456816786</v>
      </c>
      <c r="M13" s="45">
        <f>'[9]Income Statement Forecast'!Z7</f>
        <v>51038.991772238827</v>
      </c>
      <c r="N13" s="45">
        <f>'[9]Income Statement Forecast'!AA7</f>
        <v>56603.076371242205</v>
      </c>
    </row>
    <row r="14" spans="1:20" x14ac:dyDescent="0.3">
      <c r="A14" s="11" t="s">
        <v>77</v>
      </c>
      <c r="B14" s="45" t="e">
        <f>[9]!Table31[[#This Row],[2026]]</f>
        <v>#REF!</v>
      </c>
      <c r="C14" s="45" t="e">
        <f>[9]!Table31[[#This Row],[2027]]</f>
        <v>#REF!</v>
      </c>
      <c r="D14" s="45" t="e">
        <f>[9]!Table31[[#This Row],[2028]]</f>
        <v>#REF!</v>
      </c>
      <c r="E14" s="45" t="e">
        <f>[9]!Table31[[#This Row],[2029]]</f>
        <v>#REF!</v>
      </c>
      <c r="F14" s="45" t="e">
        <f>[9]!Table31[[#This Row],[2030]]</f>
        <v>#REF!</v>
      </c>
      <c r="I14" s="11" t="s">
        <v>77</v>
      </c>
      <c r="J14" s="45">
        <f>[9]!Table34[[#This Row],[2026]]</f>
        <v>8145.0944761848987</v>
      </c>
      <c r="K14" s="45" t="e">
        <f>[9]!Table34[[#This Row],[2027]]</f>
        <v>#REF!</v>
      </c>
      <c r="L14" s="45" t="e">
        <f>[9]!Table34[[#This Row],[2028]]</f>
        <v>#REF!</v>
      </c>
      <c r="M14" s="45" t="e">
        <f>[9]!Table34[[#This Row],[2029]]</f>
        <v>#REF!</v>
      </c>
      <c r="N14" s="45" t="e">
        <f>[9]!Table34[[#This Row],[2030]]</f>
        <v>#REF!</v>
      </c>
    </row>
    <row r="15" spans="1:20" x14ac:dyDescent="0.3">
      <c r="A15" s="11" t="s">
        <v>79</v>
      </c>
      <c r="B15" s="45">
        <f>'[9]Income Statement Forecast'!B20</f>
        <v>2380.5325205574004</v>
      </c>
      <c r="C15" s="45">
        <f>'[9]Income Statement Forecast'!C20</f>
        <v>2589.5901884065979</v>
      </c>
      <c r="D15" s="45">
        <f>'[9]Income Statement Forecast'!D20</f>
        <v>2820.5625563533449</v>
      </c>
      <c r="E15" s="45">
        <f>'[9]Income Statement Forecast'!E20</f>
        <v>3075.4625926976692</v>
      </c>
      <c r="F15" s="45">
        <f>'[9]Income Statement Forecast'!F20</f>
        <v>3356.5074990222856</v>
      </c>
      <c r="I15" s="11" t="s">
        <v>79</v>
      </c>
      <c r="J15" s="45">
        <f>'[9]Income Statement Forecast'!W20</f>
        <v>4063.0566262620941</v>
      </c>
      <c r="K15" s="45">
        <f>'[9]Income Statement Forecast'!X20</f>
        <v>4411.8728677576009</v>
      </c>
      <c r="L15" s="45">
        <f>'[9]Income Statement Forecast'!Y20</f>
        <v>4810.439769918783</v>
      </c>
      <c r="M15" s="45">
        <f>'[9]Income Statement Forecast'!Z20</f>
        <v>5262.3446964308059</v>
      </c>
      <c r="N15" s="45">
        <f>'[9]Income Statement Forecast'!AA20</f>
        <v>5771.8084759160301</v>
      </c>
    </row>
    <row r="16" spans="1:20" x14ac:dyDescent="0.3">
      <c r="A16" s="11" t="s">
        <v>78</v>
      </c>
      <c r="B16" s="46" t="e">
        <f>B14/B13</f>
        <v>#REF!</v>
      </c>
      <c r="C16" s="46" t="e">
        <f t="shared" ref="C16:F16" si="4">C14/C13</f>
        <v>#REF!</v>
      </c>
      <c r="D16" s="46" t="e">
        <f t="shared" si="4"/>
        <v>#REF!</v>
      </c>
      <c r="E16" s="46" t="e">
        <f t="shared" si="4"/>
        <v>#REF!</v>
      </c>
      <c r="F16" s="46" t="e">
        <f t="shared" si="4"/>
        <v>#REF!</v>
      </c>
      <c r="I16" s="11" t="s">
        <v>78</v>
      </c>
      <c r="J16" s="46">
        <f>J14/J13</f>
        <v>0.21767159680735609</v>
      </c>
      <c r="K16" s="46" t="e">
        <f t="shared" ref="K16:N16" si="5">K14/K13</f>
        <v>#REF!</v>
      </c>
      <c r="L16" s="46" t="e">
        <f t="shared" si="5"/>
        <v>#REF!</v>
      </c>
      <c r="M16" s="46" t="e">
        <f t="shared" si="5"/>
        <v>#REF!</v>
      </c>
      <c r="N16" s="46" t="e">
        <f t="shared" si="5"/>
        <v>#REF!</v>
      </c>
    </row>
    <row r="17" spans="1:15" x14ac:dyDescent="0.3">
      <c r="A17" s="11" t="s">
        <v>80</v>
      </c>
      <c r="B17" s="46">
        <f>B15/B13</f>
        <v>0.2319200917346666</v>
      </c>
      <c r="C17" s="46">
        <f t="shared" ref="C17:F17" si="6">C15/C13</f>
        <v>0.23005697255797181</v>
      </c>
      <c r="D17" s="46">
        <f t="shared" si="6"/>
        <v>0.2284968407604227</v>
      </c>
      <c r="E17" s="46">
        <f t="shared" si="6"/>
        <v>0.22719303682302311</v>
      </c>
      <c r="F17" s="46">
        <f t="shared" si="6"/>
        <v>0.22610610753261806</v>
      </c>
      <c r="I17" s="11" t="s">
        <v>80</v>
      </c>
      <c r="J17" s="46">
        <f>J15/J13</f>
        <v>0.10858216885550862</v>
      </c>
      <c r="K17" s="46">
        <f t="shared" ref="K17:N17" si="7">K15/K13</f>
        <v>0.10631480511238151</v>
      </c>
      <c r="L17" s="46">
        <f t="shared" si="7"/>
        <v>0.10452486821662084</v>
      </c>
      <c r="M17" s="46">
        <f t="shared" si="7"/>
        <v>0.103104401433202</v>
      </c>
      <c r="N17" s="46">
        <f t="shared" si="7"/>
        <v>0.10196987241577667</v>
      </c>
    </row>
    <row r="18" spans="1:15" x14ac:dyDescent="0.3">
      <c r="A18" s="31" t="s">
        <v>84</v>
      </c>
      <c r="B18" s="48">
        <f>'[9]Income Statement Forecast'!$B$11/'[9]Income Statement Forecast'!$B$7</f>
        <v>3.2099706717877978E-2</v>
      </c>
      <c r="C18" s="48">
        <f>'[9]Income Statement Forecast'!$B$11/'[9]Income Statement Forecast'!$B$7</f>
        <v>3.2099706717877978E-2</v>
      </c>
      <c r="D18" s="48">
        <f>'[9]Income Statement Forecast'!$B$11/'[9]Income Statement Forecast'!$B$7</f>
        <v>3.2099706717877978E-2</v>
      </c>
      <c r="E18" s="48">
        <f>'[9]Income Statement Forecast'!$B$11/'[9]Income Statement Forecast'!$B$7</f>
        <v>3.2099706717877978E-2</v>
      </c>
      <c r="F18" s="48">
        <f>'[9]Income Statement Forecast'!$B$11/'[9]Income Statement Forecast'!$B$7</f>
        <v>3.2099706717877978E-2</v>
      </c>
      <c r="I18" s="31" t="s">
        <v>84</v>
      </c>
      <c r="J18" s="48">
        <f>'[9]Income Statement Forecast'!W11/'[9]Income Statement Forecast'!W7</f>
        <v>7.8302055201574641E-2</v>
      </c>
      <c r="K18" s="48">
        <f>'[9]Income Statement Forecast'!X11/'[9]Income Statement Forecast'!X7</f>
        <v>7.8324085645611205E-2</v>
      </c>
      <c r="L18" s="48">
        <f>'[9]Income Statement Forecast'!Y11/'[9]Income Statement Forecast'!Y7</f>
        <v>7.834593616579312E-2</v>
      </c>
      <c r="M18" s="48">
        <f>'[9]Income Statement Forecast'!Z11/'[9]Income Statement Forecast'!Z7</f>
        <v>7.8367608129019106E-2</v>
      </c>
      <c r="N18" s="48">
        <f>'[9]Income Statement Forecast'!AA11/'[9]Income Statement Forecast'!AA7</f>
        <v>7.8389102893532001E-2</v>
      </c>
    </row>
    <row r="20" spans="1:15" x14ac:dyDescent="0.3">
      <c r="A20" s="43" t="s">
        <v>60</v>
      </c>
      <c r="B20" s="44" t="s">
        <v>16</v>
      </c>
      <c r="C20" s="44" t="s">
        <v>17</v>
      </c>
      <c r="D20" s="44" t="s">
        <v>18</v>
      </c>
      <c r="E20" s="44" t="s">
        <v>19</v>
      </c>
      <c r="F20" s="44" t="s">
        <v>20</v>
      </c>
      <c r="G20" s="44" t="s">
        <v>21</v>
      </c>
      <c r="I20" s="43" t="s">
        <v>60</v>
      </c>
      <c r="J20" s="44" t="s">
        <v>16</v>
      </c>
      <c r="K20" s="44" t="s">
        <v>17</v>
      </c>
      <c r="L20" s="44" t="s">
        <v>18</v>
      </c>
      <c r="M20" s="44" t="s">
        <v>19</v>
      </c>
      <c r="N20" s="44" t="s">
        <v>20</v>
      </c>
      <c r="O20" s="44" t="s">
        <v>21</v>
      </c>
    </row>
    <row r="21" spans="1:15" x14ac:dyDescent="0.3">
      <c r="A21" s="11" t="s">
        <v>14</v>
      </c>
      <c r="B21" s="45">
        <f>'[9]Income Statement'!J7</f>
        <v>33473.480000000003</v>
      </c>
      <c r="C21" s="45">
        <f>'[9]Income Statement'!K7</f>
        <v>34333.659999999996</v>
      </c>
      <c r="D21" s="45">
        <f>'[9]Income Statement'!L7</f>
        <v>39576</v>
      </c>
      <c r="E21" s="45">
        <f>'[9]Income Statement'!M7</f>
        <v>44520.2</v>
      </c>
      <c r="F21" s="45">
        <f>'[9]Income Statement'!N7</f>
        <v>49851.040000000001</v>
      </c>
      <c r="G21" s="45">
        <f>'[9]Income Statement'!O7</f>
        <v>54543.48</v>
      </c>
      <c r="I21" s="11" t="s">
        <v>14</v>
      </c>
      <c r="J21" s="45">
        <f>'[9]Income Statement'!AH7</f>
        <v>8060.6100000000006</v>
      </c>
      <c r="K21" s="45">
        <f>'[9]Income Statement'!AI7</f>
        <v>8061.48</v>
      </c>
      <c r="L21" s="45">
        <f>'[9]Income Statement'!AJ7</f>
        <v>8704.6</v>
      </c>
      <c r="M21" s="45">
        <f>'[9]Income Statement'!AK7</f>
        <v>9665.2899999999991</v>
      </c>
      <c r="N21" s="45">
        <f>'[9]Income Statement'!AL7</f>
        <v>10785.75</v>
      </c>
      <c r="O21" s="45">
        <f>'[9]Income Statement'!AM7</f>
        <v>11539.36</v>
      </c>
    </row>
    <row r="22" spans="1:15" x14ac:dyDescent="0.3">
      <c r="A22" s="11" t="s">
        <v>77</v>
      </c>
      <c r="B22" s="45">
        <f>'[9]Income Statement'!J18+'[9]Income Statement'!J13+'[9]Income Statement'!J14</f>
        <v>7625.7400000000071</v>
      </c>
      <c r="C22" s="45">
        <f>'[9]Income Statement'!K18+'[9]Income Statement'!K13+'[9]Income Statement'!K14</f>
        <v>9326.89</v>
      </c>
      <c r="D22" s="45">
        <f>'[9]Income Statement'!L18+'[9]Income Statement'!L13+'[9]Income Statement'!L14</f>
        <v>11319.23</v>
      </c>
      <c r="E22" s="45">
        <f>'[9]Income Statement'!M18+'[9]Income Statement'!M13+'[9]Income Statement'!M14</f>
        <v>12281.309999999998</v>
      </c>
      <c r="F22" s="45">
        <f>'[9]Income Statement'!N18+'[9]Income Statement'!N13+'[9]Income Statement'!N14</f>
        <v>14377.319999999998</v>
      </c>
      <c r="G22" s="45">
        <f>'[9]Income Statement'!O18+'[9]Income Statement'!O13+'[9]Income Statement'!O14</f>
        <v>17236.730000000003</v>
      </c>
      <c r="I22" s="11" t="s">
        <v>77</v>
      </c>
      <c r="J22" s="45">
        <f>'[9]Income Statement'!AH17+'[9]Income Statement'!AH13+'[9]Income Statement'!AH14</f>
        <v>2291.6600000000008</v>
      </c>
      <c r="K22" s="45">
        <f>'[9]Income Statement'!AI17+'[9]Income Statement'!AI13+'[9]Income Statement'!AI14</f>
        <v>2542.33</v>
      </c>
      <c r="L22" s="45">
        <f>'[9]Income Statement'!AJ17+'[9]Income Statement'!AJ13+'[9]Income Statement'!AJ14</f>
        <v>2627.8300000000004</v>
      </c>
      <c r="M22" s="45">
        <f>'[9]Income Statement'!AK17+'[9]Income Statement'!AK13+'[9]Income Statement'!AK14</f>
        <v>2887.19</v>
      </c>
      <c r="N22" s="45">
        <f>'[9]Income Statement'!AL17+'[9]Income Statement'!AL13+'[9]Income Statement'!AL14</f>
        <v>3425.5599999999995</v>
      </c>
      <c r="O22" s="45">
        <f>'[9]Income Statement'!AM17+'[9]Income Statement'!AM13+'[9]Income Statement'!AM14</f>
        <v>3744.26</v>
      </c>
    </row>
    <row r="23" spans="1:15" x14ac:dyDescent="0.3">
      <c r="A23" s="11" t="s">
        <v>79</v>
      </c>
      <c r="B23" s="45">
        <f>'[9]Income Statement'!J30</f>
        <v>3764.9300000000067</v>
      </c>
      <c r="C23" s="45">
        <f>'[9]Income Statement'!K30</f>
        <v>2903.8199999999979</v>
      </c>
      <c r="D23" s="45">
        <f>'[9]Income Statement'!L30</f>
        <v>3272.7299999999996</v>
      </c>
      <c r="E23" s="45">
        <f>'[9]Income Statement'!M30</f>
        <v>8473.5799999999963</v>
      </c>
      <c r="F23" s="45">
        <f>'[9]Income Statement'!N30</f>
        <v>9576.3799999999992</v>
      </c>
      <c r="G23" s="45">
        <f>'[9]Income Statement'!O30</f>
        <v>10929.040000000005</v>
      </c>
      <c r="I23" s="11" t="s">
        <v>79</v>
      </c>
      <c r="J23" s="45">
        <f>'[9]Income Statement'!AH25</f>
        <v>1024.7200000000007</v>
      </c>
      <c r="K23" s="45">
        <f>'[9]Income Statement'!AI25</f>
        <v>1251.8800000000003</v>
      </c>
      <c r="L23" s="45">
        <f>'[9]Income Statement'!AJ25</f>
        <v>777.18000000000052</v>
      </c>
      <c r="M23" s="45">
        <f>'[9]Income Statement'!AK25</f>
        <v>1245.23</v>
      </c>
      <c r="N23" s="45">
        <f>'[9]Income Statement'!AL25</f>
        <v>1656.3799999999997</v>
      </c>
      <c r="O23" s="45">
        <f>'[9]Income Statement'!AM25</f>
        <v>1911.2500000000005</v>
      </c>
    </row>
    <row r="24" spans="1:15" x14ac:dyDescent="0.3">
      <c r="A24" s="11" t="s">
        <v>78</v>
      </c>
      <c r="B24" s="46">
        <f>B22/B21</f>
        <v>0.22781437723236445</v>
      </c>
      <c r="C24" s="46">
        <f t="shared" ref="C24:G24" si="8">C22/C21</f>
        <v>0.27165440561827664</v>
      </c>
      <c r="D24" s="46">
        <f t="shared" si="8"/>
        <v>0.28601248231251264</v>
      </c>
      <c r="E24" s="46">
        <f t="shared" si="8"/>
        <v>0.2758592728693941</v>
      </c>
      <c r="F24" s="46">
        <f t="shared" si="8"/>
        <v>0.28840561801719677</v>
      </c>
      <c r="G24" s="46">
        <f t="shared" si="8"/>
        <v>0.31601815652393289</v>
      </c>
      <c r="I24" s="11" t="s">
        <v>78</v>
      </c>
      <c r="J24" s="46">
        <f>J22/J21</f>
        <v>0.2843035452651847</v>
      </c>
      <c r="K24" s="46">
        <f t="shared" ref="K24:O24" si="9">K22/K21</f>
        <v>0.31536764961272623</v>
      </c>
      <c r="L24" s="46">
        <f t="shared" si="9"/>
        <v>0.30188980539025345</v>
      </c>
      <c r="M24" s="46">
        <f t="shared" si="9"/>
        <v>0.29871736905980062</v>
      </c>
      <c r="N24" s="46">
        <f t="shared" si="9"/>
        <v>0.31760053774656372</v>
      </c>
      <c r="O24" s="46">
        <f t="shared" si="9"/>
        <v>0.32447726737011412</v>
      </c>
    </row>
    <row r="25" spans="1:15" x14ac:dyDescent="0.3">
      <c r="A25" s="11" t="s">
        <v>80</v>
      </c>
      <c r="B25" s="46">
        <f>B23/B21</f>
        <v>0.11247501006767167</v>
      </c>
      <c r="C25" s="46">
        <f t="shared" ref="C25:G25" si="10">C23/C21</f>
        <v>8.4576476845171708E-2</v>
      </c>
      <c r="D25" s="46">
        <f t="shared" si="10"/>
        <v>8.2694815039417821E-2</v>
      </c>
      <c r="E25" s="46">
        <f t="shared" si="10"/>
        <v>0.19033113058791284</v>
      </c>
      <c r="F25" s="46">
        <f t="shared" si="10"/>
        <v>0.19209990403409838</v>
      </c>
      <c r="G25" s="46">
        <f t="shared" si="10"/>
        <v>0.20037298683545685</v>
      </c>
      <c r="I25" s="11" t="s">
        <v>80</v>
      </c>
      <c r="J25" s="46">
        <f>J23/J21</f>
        <v>0.12712685516356712</v>
      </c>
      <c r="K25" s="46">
        <f t="shared" ref="K25:O25" si="11">K23/K21</f>
        <v>0.15529158417561048</v>
      </c>
      <c r="L25" s="46">
        <f t="shared" si="11"/>
        <v>8.9283826942076663E-2</v>
      </c>
      <c r="M25" s="46">
        <f t="shared" si="11"/>
        <v>0.12883524446757419</v>
      </c>
      <c r="N25" s="46">
        <f t="shared" si="11"/>
        <v>0.15357114711540687</v>
      </c>
      <c r="O25" s="46">
        <f t="shared" si="11"/>
        <v>0.16562876970646556</v>
      </c>
    </row>
    <row r="26" spans="1:15" x14ac:dyDescent="0.3">
      <c r="A26" s="11" t="s">
        <v>84</v>
      </c>
      <c r="B26" s="46">
        <f>'[9]Ratio Analysis'!J25</f>
        <v>6.8785796995113738E-2</v>
      </c>
      <c r="C26" s="46">
        <f>'[9]Ratio Analysis'!K25</f>
        <v>6.2617850820448517E-2</v>
      </c>
      <c r="D26" s="46">
        <f>'[9]Ratio Analysis'!L25</f>
        <v>5.6094602789569438E-2</v>
      </c>
      <c r="E26" s="46">
        <f>'[9]Ratio Analysis'!M25</f>
        <v>5.318035408645963E-2</v>
      </c>
      <c r="F26" s="46">
        <f>'[9]Ratio Analysis'!N25</f>
        <v>6.5013688781618201E-2</v>
      </c>
      <c r="G26" s="46">
        <f>'[9]Ratio Analysis'!O25</f>
        <v>5.9556155932844766E-2</v>
      </c>
      <c r="I26" s="11" t="s">
        <v>84</v>
      </c>
      <c r="J26" s="46">
        <f>'[9]Ratio Analysis'!AH25</f>
        <v>4.7254488183896749E-2</v>
      </c>
      <c r="K26" s="46">
        <f>'[9]Ratio Analysis'!AI25</f>
        <v>6.0410743436689049E-2</v>
      </c>
      <c r="L26" s="46">
        <f>'[9]Ratio Analysis'!AJ25</f>
        <v>5.9279001907037658E-2</v>
      </c>
      <c r="M26" s="46">
        <f>'[9]Ratio Analysis'!AK25</f>
        <v>5.338691337766379E-2</v>
      </c>
      <c r="N26" s="46">
        <f>'[9]Ratio Analysis'!AL25</f>
        <v>4.7E-2</v>
      </c>
      <c r="O26" s="46">
        <f>'[9]Ratio Analysis'!AM25</f>
        <v>5.0349412792390566E-2</v>
      </c>
    </row>
    <row r="27" spans="1:15" x14ac:dyDescent="0.3">
      <c r="A27" s="11" t="s">
        <v>85</v>
      </c>
      <c r="B27" s="46">
        <f>'[9]Ratio Analysis'!J26</f>
        <v>0.12561451632755244</v>
      </c>
      <c r="C27" s="46">
        <f>'[9]Ratio Analysis'!K26</f>
        <v>0.68</v>
      </c>
      <c r="D27" s="46">
        <f>'[9]Ratio Analysis'!L26</f>
        <v>0.48</v>
      </c>
      <c r="E27" s="46">
        <f>'[9]Ratio Analysis'!M26</f>
        <v>0.68899999999999995</v>
      </c>
      <c r="F27" s="46">
        <f>'[9]Ratio Analysis'!N26</f>
        <v>0.72699999999999987</v>
      </c>
      <c r="G27" s="46">
        <f>'[9]Ratio Analysis'!O26</f>
        <v>0.7</v>
      </c>
      <c r="I27" s="11" t="s">
        <v>85</v>
      </c>
      <c r="J27" s="46">
        <f>'[9]Ratio Analysis'!AH26</f>
        <v>0.54859371685269476</v>
      </c>
      <c r="K27" s="46">
        <f>'[9]Ratio Analysis'!AI26</f>
        <v>0.53426914164644712</v>
      </c>
      <c r="L27" s="46">
        <f>'[9]Ratio Analysis'!AJ26</f>
        <v>0.45</v>
      </c>
      <c r="M27" s="46">
        <f>'[9]Ratio Analysis'!AK26</f>
        <v>0.41</v>
      </c>
      <c r="N27" s="46">
        <f>'[9]Ratio Analysis'!AL26</f>
        <v>0.42499999999999993</v>
      </c>
      <c r="O27" s="46">
        <f>'[9]Ratio Analysis'!AM26</f>
        <v>0.23999999999999996</v>
      </c>
    </row>
    <row r="28" spans="1:15" x14ac:dyDescent="0.3">
      <c r="A28" s="11" t="s">
        <v>66</v>
      </c>
      <c r="B28" s="46">
        <f>'[9]Ratio Analysis'!J10</f>
        <v>7.6640280070978714E-2</v>
      </c>
      <c r="C28" s="46">
        <f>'[9]Ratio Analysis'!K10</f>
        <v>5.8686943750615103E-2</v>
      </c>
      <c r="D28" s="46">
        <f>'[9]Ratio Analysis'!L10</f>
        <v>0.1331030037071004</v>
      </c>
      <c r="E28" s="46">
        <f>'[9]Ratio Analysis'!M10</f>
        <v>0.35680695424863007</v>
      </c>
      <c r="F28" s="46">
        <f>'[9]Ratio Analysis'!N10</f>
        <v>0.14266288114550052</v>
      </c>
      <c r="G28" s="46">
        <f>'[9]Ratio Analysis'!O10</f>
        <v>0.15077459838768764</v>
      </c>
      <c r="I28" s="11" t="s">
        <v>66</v>
      </c>
      <c r="J28" s="46">
        <f>'[9]Ratio Analysis'!AH10</f>
        <v>0.21245557946765867</v>
      </c>
      <c r="K28" s="46">
        <f>'[9]Ratio Analysis'!AI10</f>
        <v>0.21446694202841451</v>
      </c>
      <c r="L28" s="46">
        <f>'[9]Ratio Analysis'!AJ10</f>
        <v>0.13055375906063391</v>
      </c>
      <c r="M28" s="46">
        <f>'[9]Ratio Analysis'!AK10</f>
        <v>0.20090608850819691</v>
      </c>
      <c r="N28" s="46">
        <f>'[9]Ratio Analysis'!AL10</f>
        <v>0.24159039694289064</v>
      </c>
      <c r="O28" s="46">
        <f>'[9]Ratio Analysis'!AM10</f>
        <v>0.25178870432068767</v>
      </c>
    </row>
    <row r="29" spans="1:15" x14ac:dyDescent="0.3">
      <c r="A29" s="11" t="s">
        <v>86</v>
      </c>
      <c r="B29" s="45">
        <f>'[9]Ratio Analysis'!J16</f>
        <v>0.15426662234407995</v>
      </c>
      <c r="C29" s="45">
        <f>'[9]Ratio Analysis'!K16</f>
        <v>6.7563490011990746E-2</v>
      </c>
      <c r="D29" s="45">
        <f>'[9]Ratio Analysis'!L16</f>
        <v>0.20636287287065411</v>
      </c>
      <c r="E29" s="45">
        <f>'[9]Ratio Analysis'!M16</f>
        <v>0.3280571795273442</v>
      </c>
      <c r="F29" s="45">
        <f>'[9]Ratio Analysis'!N16</f>
        <v>5.0431621516212659E-2</v>
      </c>
      <c r="G29" s="45">
        <f>'[9]Ratio Analysis'!O16</f>
        <v>3.4096124835226699E-2</v>
      </c>
      <c r="I29" s="11" t="s">
        <v>86</v>
      </c>
      <c r="J29" s="45">
        <f>'[9]Ratio Analysis'!AH16</f>
        <v>0.90521892014048699</v>
      </c>
      <c r="K29" s="45">
        <f>'[9]Ratio Analysis'!AI16</f>
        <v>0.6245269539862639</v>
      </c>
      <c r="L29" s="45">
        <f>'[9]Ratio Analysis'!AJ16</f>
        <v>0.68363584441327407</v>
      </c>
      <c r="M29" s="45">
        <f>'[9]Ratio Analysis'!AK16</f>
        <v>0.86616640341267515</v>
      </c>
      <c r="N29" s="45">
        <f>'[9]Ratio Analysis'!AL16</f>
        <v>0.58661785404345013</v>
      </c>
      <c r="O29" s="45">
        <f>'[9]Ratio Analysis'!AM16</f>
        <v>0.42187469123360327</v>
      </c>
    </row>
    <row r="31" spans="1:15" x14ac:dyDescent="0.3">
      <c r="A31" s="43" t="s">
        <v>82</v>
      </c>
      <c r="B31" s="44" t="s">
        <v>22</v>
      </c>
      <c r="C31" s="44" t="s">
        <v>23</v>
      </c>
      <c r="D31" s="44" t="s">
        <v>24</v>
      </c>
      <c r="E31" s="44" t="s">
        <v>25</v>
      </c>
      <c r="F31" s="44" t="s">
        <v>26</v>
      </c>
      <c r="I31" s="43" t="s">
        <v>82</v>
      </c>
      <c r="J31" s="44" t="s">
        <v>22</v>
      </c>
      <c r="K31" s="44" t="s">
        <v>23</v>
      </c>
      <c r="L31" s="44" t="s">
        <v>24</v>
      </c>
      <c r="M31" s="44" t="s">
        <v>25</v>
      </c>
      <c r="N31" s="44" t="s">
        <v>26</v>
      </c>
    </row>
    <row r="32" spans="1:15" x14ac:dyDescent="0.3">
      <c r="A32" s="11" t="s">
        <v>14</v>
      </c>
      <c r="B32" s="45">
        <f>'[9]Income Statement Forecast'!I7</f>
        <v>61539.009655398768</v>
      </c>
      <c r="C32" s="45">
        <f>'[9]Income Statement Forecast'!J7</f>
        <v>67045.588806830026</v>
      </c>
      <c r="D32" s="45">
        <f>'[9]Income Statement Forecast'!K7</f>
        <v>73078.88310655691</v>
      </c>
      <c r="E32" s="45">
        <f>'[9]Income Statement Forecast'!L7</f>
        <v>79695.933305654049</v>
      </c>
      <c r="F32" s="45">
        <f>'[9]Income Statement Forecast'!M7</f>
        <v>86961.17830182999</v>
      </c>
      <c r="I32" s="11" t="s">
        <v>14</v>
      </c>
      <c r="J32" s="45">
        <f>'[9]Income Statement Forecast'!AD7</f>
        <v>12268.083898465249</v>
      </c>
      <c r="K32" s="45">
        <f>'[9]Income Statement Forecast'!AE7</f>
        <v>13018.699298279022</v>
      </c>
      <c r="L32" s="45">
        <f>'[9]Income Statement Forecast'!AF7</f>
        <v>13816.852083334245</v>
      </c>
      <c r="M32" s="45">
        <f>'[9]Income Statement Forecast'!AG7</f>
        <v>14665.162438687184</v>
      </c>
      <c r="N32" s="45">
        <f>'[9]Income Statement Forecast'!AH7</f>
        <v>15566.486352799584</v>
      </c>
    </row>
    <row r="33" spans="1:15" x14ac:dyDescent="0.3">
      <c r="A33" s="11" t="s">
        <v>77</v>
      </c>
      <c r="B33" s="45">
        <f>'[9]Income Statement Forecast'!I14</f>
        <v>15133.713747162237</v>
      </c>
      <c r="C33" s="45">
        <f>'[9]Income Statement Forecast'!J14</f>
        <v>16706.207212909911</v>
      </c>
      <c r="D33" s="45">
        <f>'[9]Income Statement Forecast'!K14</f>
        <v>18471.89720845531</v>
      </c>
      <c r="E33" s="45">
        <f>'[9]Income Statement Forecast'!L14</f>
        <v>20459.549892560695</v>
      </c>
      <c r="F33" s="45">
        <f>'[9]Income Statement Forecast'!M14</f>
        <v>22702.932545310599</v>
      </c>
      <c r="I33" s="11" t="s">
        <v>77</v>
      </c>
      <c r="J33" s="45">
        <f>'[9]Income Statement Forecast'!AD14</f>
        <v>3130.6560470045342</v>
      </c>
      <c r="K33" s="45">
        <f>'[9]Income Statement Forecast'!AE14</f>
        <v>3318.2258843579593</v>
      </c>
      <c r="L33" s="45">
        <f>'[9]Income Statement Forecast'!AF14</f>
        <v>3518.6384083396342</v>
      </c>
      <c r="M33" s="45">
        <f>'[9]Income Statement Forecast'!AG14</f>
        <v>3732.3759270876599</v>
      </c>
      <c r="N33" s="45">
        <f>'[9]Income Statement Forecast'!AH14</f>
        <v>3960.024816811394</v>
      </c>
    </row>
    <row r="34" spans="1:15" x14ac:dyDescent="0.3">
      <c r="A34" s="11" t="s">
        <v>79</v>
      </c>
      <c r="B34" s="45">
        <f>'[9]Income Statement Forecast'!I20</f>
        <v>9131.1205384316781</v>
      </c>
      <c r="C34" s="45">
        <f>'[9]Income Statement Forecast'!J20</f>
        <v>9814.8393408524425</v>
      </c>
      <c r="D34" s="45">
        <f>'[9]Income Statement Forecast'!K20</f>
        <v>10664.489381266923</v>
      </c>
      <c r="E34" s="45">
        <f>'[9]Income Statement Forecast'!L20</f>
        <v>11691.789342540103</v>
      </c>
      <c r="F34" s="45">
        <f>'[9]Income Statement Forecast'!M20</f>
        <v>12913.521362758362</v>
      </c>
      <c r="I34" s="11" t="s">
        <v>79</v>
      </c>
      <c r="J34" s="45">
        <f>'[9]Income Statement Forecast'!AD20</f>
        <v>1195.7328531602029</v>
      </c>
      <c r="K34" s="45">
        <f>'[9]Income Statement Forecast'!AE20</f>
        <v>1263.8407296311657</v>
      </c>
      <c r="L34" s="45">
        <f>'[9]Income Statement Forecast'!AF20</f>
        <v>1337.2696030456777</v>
      </c>
      <c r="M34" s="45">
        <f>'[9]Income Statement Forecast'!AG20</f>
        <v>1416.0990910189407</v>
      </c>
      <c r="N34" s="45">
        <f>'[9]Income Statement Forecast'!AH20</f>
        <v>1500.4711662899635</v>
      </c>
    </row>
    <row r="35" spans="1:15" x14ac:dyDescent="0.3">
      <c r="A35" s="11" t="s">
        <v>78</v>
      </c>
      <c r="B35" s="46">
        <f>B33/B32</f>
        <v>0.24592065800062105</v>
      </c>
      <c r="C35" s="46">
        <f t="shared" ref="C35:F35" si="12">C33/C32</f>
        <v>0.24917682893416584</v>
      </c>
      <c r="D35" s="46">
        <f t="shared" si="12"/>
        <v>0.25276655065350806</v>
      </c>
      <c r="E35" s="46">
        <f t="shared" si="12"/>
        <v>0.25672012415104228</v>
      </c>
      <c r="F35" s="46">
        <f t="shared" si="12"/>
        <v>0.26106974386331244</v>
      </c>
      <c r="I35" s="11" t="s">
        <v>78</v>
      </c>
      <c r="J35" s="46">
        <f>J33/J32</f>
        <v>0.25518704248478302</v>
      </c>
      <c r="K35" s="46">
        <f t="shared" ref="K35:N35" si="13">K33/K32</f>
        <v>0.25488152144328313</v>
      </c>
      <c r="L35" s="46">
        <f t="shared" si="13"/>
        <v>0.25466281227572685</v>
      </c>
      <c r="M35" s="46">
        <f t="shared" si="13"/>
        <v>0.25450627926503755</v>
      </c>
      <c r="N35" s="46">
        <f t="shared" si="13"/>
        <v>0.25439426258830694</v>
      </c>
    </row>
    <row r="36" spans="1:15" x14ac:dyDescent="0.3">
      <c r="A36" s="11" t="s">
        <v>80</v>
      </c>
      <c r="B36" s="46">
        <f>B34/B32</f>
        <v>0.14837938714911725</v>
      </c>
      <c r="C36" s="46">
        <f t="shared" ref="C36:F36" si="14">C34/C32</f>
        <v>0.14639053091368467</v>
      </c>
      <c r="D36" s="46">
        <f t="shared" si="14"/>
        <v>0.14593120376124175</v>
      </c>
      <c r="E36" s="46">
        <f t="shared" si="14"/>
        <v>0.14670496796491656</v>
      </c>
      <c r="F36" s="46">
        <f t="shared" si="14"/>
        <v>0.1484975435583146</v>
      </c>
      <c r="I36" s="11" t="s">
        <v>80</v>
      </c>
      <c r="J36" s="46">
        <f>J34/J32</f>
        <v>9.7466960860105492E-2</v>
      </c>
      <c r="K36" s="46">
        <f t="shared" ref="K36:N36" si="15">K34/K32</f>
        <v>9.7078878670946514E-2</v>
      </c>
      <c r="L36" s="46">
        <f t="shared" si="15"/>
        <v>9.6785403431992989E-2</v>
      </c>
      <c r="M36" s="46">
        <f t="shared" si="15"/>
        <v>9.6562114258156764E-2</v>
      </c>
      <c r="N36" s="46">
        <f t="shared" si="15"/>
        <v>9.6391127212860625E-2</v>
      </c>
    </row>
    <row r="37" spans="1:15" x14ac:dyDescent="0.3">
      <c r="A37" s="31" t="s">
        <v>84</v>
      </c>
      <c r="B37" s="48">
        <f>'[9]Income Statement Forecast'!I11/'[9]Income Statement Forecast'!I7</f>
        <v>5.8528824370271376E-2</v>
      </c>
      <c r="C37" s="48">
        <f>'[9]Income Statement Forecast'!J11/'[9]Income Statement Forecast'!J7</f>
        <v>5.8276092534144279E-2</v>
      </c>
      <c r="D37" s="48">
        <f>'[9]Income Statement Forecast'!K11/'[9]Income Statement Forecast'!K7</f>
        <v>5.7997471730804849E-2</v>
      </c>
      <c r="E37" s="48">
        <f>'[9]Income Statement Forecast'!L11/'[9]Income Statement Forecast'!L7</f>
        <v>5.7690610110304005E-2</v>
      </c>
      <c r="F37" s="48">
        <f>'[9]Income Statement Forecast'!M11/'[9]Income Statement Forecast'!M7</f>
        <v>5.7353008860623923E-2</v>
      </c>
      <c r="I37" s="31" t="s">
        <v>84</v>
      </c>
      <c r="J37" s="48">
        <f>'[9]Income Statement Forecast'!AD11/'[9]Income Statement Forecast'!AD7</f>
        <v>5.2870490906356676E-2</v>
      </c>
      <c r="K37" s="48">
        <f>'[9]Income Statement Forecast'!AE11/'[9]Income Statement Forecast'!AE7</f>
        <v>5.2892178294154296E-2</v>
      </c>
      <c r="L37" s="48">
        <f>'[9]Income Statement Forecast'!AF11/'[9]Income Statement Forecast'!AF7</f>
        <v>5.2907703347710014E-2</v>
      </c>
      <c r="M37" s="48">
        <f>'[9]Income Statement Forecast'!AG11/'[9]Income Statement Forecast'!AG7</f>
        <v>5.2918814831519057E-2</v>
      </c>
      <c r="N37" s="48">
        <f>'[9]Income Statement Forecast'!AH11/'[9]Income Statement Forecast'!AH7</f>
        <v>5.2926766326761833E-2</v>
      </c>
    </row>
    <row r="39" spans="1:15" x14ac:dyDescent="0.3">
      <c r="A39" s="43" t="s">
        <v>60</v>
      </c>
      <c r="B39" s="44" t="s">
        <v>16</v>
      </c>
      <c r="C39" s="44" t="s">
        <v>17</v>
      </c>
      <c r="D39" s="44" t="s">
        <v>18</v>
      </c>
      <c r="E39" s="44" t="s">
        <v>19</v>
      </c>
      <c r="F39" s="44" t="s">
        <v>20</v>
      </c>
      <c r="G39" s="44" t="s">
        <v>21</v>
      </c>
      <c r="I39" s="43" t="s">
        <v>60</v>
      </c>
      <c r="J39" s="44" t="s">
        <v>16</v>
      </c>
      <c r="K39" s="44" t="s">
        <v>17</v>
      </c>
      <c r="L39" s="44" t="s">
        <v>18</v>
      </c>
      <c r="M39" s="44" t="s">
        <v>19</v>
      </c>
      <c r="N39" s="44" t="s">
        <v>20</v>
      </c>
      <c r="O39" s="44" t="s">
        <v>21</v>
      </c>
    </row>
    <row r="40" spans="1:15" x14ac:dyDescent="0.3">
      <c r="A40" s="11" t="s">
        <v>14</v>
      </c>
      <c r="B40" s="45">
        <f>'[9]Income Statement'!R7</f>
        <v>5975.6528999999991</v>
      </c>
      <c r="C40" s="45">
        <f>'[9]Income Statement'!S7</f>
        <v>6385.3802999999998</v>
      </c>
      <c r="D40" s="45">
        <f>'[9]Income Statement'!T7</f>
        <v>7977.5846999999994</v>
      </c>
      <c r="E40" s="45">
        <f>'[9]Income Statement'!U7</f>
        <v>8877.9998000000014</v>
      </c>
      <c r="F40" s="45">
        <f>'[9]Income Statement'!V7</f>
        <v>10540.66</v>
      </c>
      <c r="G40" s="45">
        <f>'[9]Income Statement'!W7</f>
        <v>12744.23</v>
      </c>
      <c r="I40" s="11" t="s">
        <v>14</v>
      </c>
      <c r="J40" s="45">
        <f>'[9]Income Statement'!AP8</f>
        <v>17476.189999999999</v>
      </c>
      <c r="K40" s="45">
        <f>'[9]Income Statement'!AQ8</f>
        <v>19425.580000000002</v>
      </c>
      <c r="L40" s="45">
        <f>'[9]Income Statement'!AR8</f>
        <v>22044.25</v>
      </c>
      <c r="M40" s="45">
        <f>'[9]Income Statement'!AS8</f>
        <v>23228.57</v>
      </c>
      <c r="N40" s="45">
        <f>'[9]Income Statement'!AT8</f>
        <v>26520.66</v>
      </c>
      <c r="O40" s="45">
        <f>'[9]Income Statement'!AU8</f>
        <v>28409.49</v>
      </c>
    </row>
    <row r="41" spans="1:15" x14ac:dyDescent="0.3">
      <c r="A41" s="11" t="s">
        <v>77</v>
      </c>
      <c r="B41" s="45">
        <f>'[9]Income Statement'!R20+'[9]Income Statement'!R13+'[9]Income Statement'!R14</f>
        <v>1558.7652999999987</v>
      </c>
      <c r="C41" s="45">
        <f>'[9]Income Statement'!S20+'[9]Income Statement'!S13+'[9]Income Statement'!S14</f>
        <v>1830.7294999999999</v>
      </c>
      <c r="D41" s="45">
        <f>'[9]Income Statement'!T20+'[9]Income Statement'!T13+'[9]Income Statement'!T14</f>
        <v>2199.830199999999</v>
      </c>
      <c r="E41" s="45">
        <f>'[9]Income Statement'!U20+'[9]Income Statement'!U13+'[9]Income Statement'!U14</f>
        <v>2041.6276000000021</v>
      </c>
      <c r="F41" s="45">
        <f>'[9]Income Statement'!V20+'[9]Income Statement'!V13+'[9]Income Statement'!V14</f>
        <v>2809.1099999999997</v>
      </c>
      <c r="G41" s="45">
        <f>'[9]Income Statement'!W20+'[9]Income Statement'!W13+'[9]Income Statement'!W14</f>
        <v>3566.96</v>
      </c>
      <c r="I41" s="11" t="s">
        <v>77</v>
      </c>
      <c r="J41" s="45">
        <f>'[9]Income Statement'!AP18+'[9]Income Statement'!AP14+'[9]Income Statement'!AP15</f>
        <v>3550.1899999999987</v>
      </c>
      <c r="K41" s="45">
        <f>'[9]Income Statement'!AQ18+'[9]Income Statement'!AQ14+'[9]Income Statement'!AQ15</f>
        <v>4518.420000000001</v>
      </c>
      <c r="L41" s="45">
        <f>'[9]Income Statement'!AR18+'[9]Income Statement'!AR14+'[9]Income Statement'!AR15</f>
        <v>4833.6899999999996</v>
      </c>
      <c r="M41" s="45">
        <f>'[9]Income Statement'!AS18+'[9]Income Statement'!AS14+'[9]Income Statement'!AS15</f>
        <v>5502.42</v>
      </c>
      <c r="N41" s="45">
        <f>'[9]Income Statement'!AT18+'[9]Income Statement'!AT14+'[9]Income Statement'!AT15</f>
        <v>7037.6199999999972</v>
      </c>
      <c r="O41" s="45">
        <f>'[9]Income Statement'!AU18+'[9]Income Statement'!AU14+'[9]Income Statement'!AU15</f>
        <v>7989.7700000000013</v>
      </c>
    </row>
    <row r="42" spans="1:15" x14ac:dyDescent="0.3">
      <c r="A42" s="11" t="s">
        <v>79</v>
      </c>
      <c r="B42" s="45">
        <f>'[9]Income Statement'!R25</f>
        <v>1056.1401999999987</v>
      </c>
      <c r="C42" s="45">
        <f>'[9]Income Statement'!S25</f>
        <v>1293.0278999999998</v>
      </c>
      <c r="D42" s="45">
        <f>'[9]Income Statement'!T25</f>
        <v>1452.9570999999992</v>
      </c>
      <c r="E42" s="45">
        <f>'[9]Income Statement'!U25</f>
        <v>1309.675800000002</v>
      </c>
      <c r="F42" s="45">
        <f>'[9]Income Statement'!V25</f>
        <v>1940.7899999999995</v>
      </c>
      <c r="G42" s="45">
        <f>'[9]Income Statement'!W25</f>
        <v>2006.59</v>
      </c>
      <c r="I42" s="11" t="s">
        <v>79</v>
      </c>
      <c r="J42" s="45">
        <f>'[9]Income Statement'!AP26</f>
        <v>1499.5199999999984</v>
      </c>
      <c r="K42" s="45">
        <f>'[9]Income Statement'!AQ26</f>
        <v>2388.5100000000011</v>
      </c>
      <c r="L42" s="45">
        <f>'[9]Income Statement'!AR26</f>
        <v>2728.7699999999991</v>
      </c>
      <c r="M42" s="45">
        <f>'[9]Income Statement'!AS26</f>
        <v>3015.3100000000009</v>
      </c>
      <c r="N42" s="45">
        <f>'[9]Income Statement'!AT26</f>
        <v>4348.5399999999972</v>
      </c>
      <c r="O42" s="45">
        <f>'[9]Income Statement'!AU26</f>
        <v>5269.2000000000007</v>
      </c>
    </row>
    <row r="43" spans="1:15" x14ac:dyDescent="0.3">
      <c r="A43" s="11" t="s">
        <v>78</v>
      </c>
      <c r="B43" s="46">
        <f>B41/B40</f>
        <v>0.26085271786786662</v>
      </c>
      <c r="C43" s="46">
        <f t="shared" ref="C43:G43" si="16">C41/C40</f>
        <v>0.28670641590446855</v>
      </c>
      <c r="D43" s="46">
        <f t="shared" si="16"/>
        <v>0.27575140631223871</v>
      </c>
      <c r="E43" s="46">
        <f t="shared" si="16"/>
        <v>0.22996481707512562</v>
      </c>
      <c r="F43" s="46">
        <f t="shared" si="16"/>
        <v>0.2665022873330512</v>
      </c>
      <c r="G43" s="46">
        <f t="shared" si="16"/>
        <v>0.27988823177233935</v>
      </c>
      <c r="I43" s="11" t="s">
        <v>78</v>
      </c>
      <c r="J43" s="46">
        <f>J41/J40</f>
        <v>0.20314439245625041</v>
      </c>
      <c r="K43" s="46">
        <f t="shared" ref="K43:O43" si="17">K41/K40</f>
        <v>0.23260154909145572</v>
      </c>
      <c r="L43" s="46">
        <f t="shared" si="17"/>
        <v>0.21927214579765697</v>
      </c>
      <c r="M43" s="46">
        <f t="shared" si="17"/>
        <v>0.23688156438386004</v>
      </c>
      <c r="N43" s="46">
        <f t="shared" si="17"/>
        <v>0.26536368250262238</v>
      </c>
      <c r="O43" s="46">
        <f t="shared" si="17"/>
        <v>0.28123595319732952</v>
      </c>
    </row>
    <row r="44" spans="1:15" x14ac:dyDescent="0.3">
      <c r="A44" s="11" t="s">
        <v>80</v>
      </c>
      <c r="B44" s="46">
        <f>B42/B40</f>
        <v>0.17674055332095992</v>
      </c>
      <c r="C44" s="46">
        <f t="shared" ref="C44:G44" si="18">C42/C40</f>
        <v>0.20249818166664244</v>
      </c>
      <c r="D44" s="46">
        <f t="shared" si="18"/>
        <v>0.18212994968264007</v>
      </c>
      <c r="E44" s="46">
        <f t="shared" si="18"/>
        <v>0.147519241890499</v>
      </c>
      <c r="F44" s="46">
        <f t="shared" si="18"/>
        <v>0.18412414402893174</v>
      </c>
      <c r="G44" s="46">
        <f t="shared" si="18"/>
        <v>0.15745086207640635</v>
      </c>
      <c r="I44" s="11" t="s">
        <v>80</v>
      </c>
      <c r="J44" s="46">
        <f>J42/J40</f>
        <v>8.580359906821787E-2</v>
      </c>
      <c r="K44" s="46">
        <f t="shared" ref="K44:O44" si="19">K42/K40</f>
        <v>0.12295694645925635</v>
      </c>
      <c r="L44" s="46">
        <f t="shared" si="19"/>
        <v>0.12378602129807088</v>
      </c>
      <c r="M44" s="46">
        <f t="shared" si="19"/>
        <v>0.1298104015873556</v>
      </c>
      <c r="N44" s="46">
        <f t="shared" si="19"/>
        <v>0.16396801587894108</v>
      </c>
      <c r="O44" s="46">
        <f t="shared" si="19"/>
        <v>0.18547323447200215</v>
      </c>
    </row>
    <row r="45" spans="1:15" x14ac:dyDescent="0.3">
      <c r="A45" s="11" t="s">
        <v>84</v>
      </c>
      <c r="B45" s="46">
        <f>'[9]Ratio Analysis'!R25</f>
        <v>2.4047581478502542E-2</v>
      </c>
      <c r="C45" s="46">
        <f>'[9]Ratio Analysis'!S25</f>
        <v>1.8636321473287972E-2</v>
      </c>
      <c r="D45" s="46">
        <f>'[9]Ratio Analysis'!T25</f>
        <v>2.0933654267562964E-2</v>
      </c>
      <c r="E45" s="46">
        <f>'[9]Ratio Analysis'!U25</f>
        <v>0.11263798406483405</v>
      </c>
      <c r="F45" s="46">
        <f>'[9]Ratio Analysis'!V25</f>
        <v>2.1156170486478075E-2</v>
      </c>
      <c r="G45" s="46">
        <f>'[9]Ratio Analysis'!W25</f>
        <v>2.0111062025716737E-2</v>
      </c>
      <c r="I45" s="11" t="s">
        <v>84</v>
      </c>
      <c r="J45" s="46">
        <f>'[9]Ratio Analysis'!AP25</f>
        <v>7.7934607028190939E-2</v>
      </c>
      <c r="K45" s="46">
        <f>'[9]Ratio Analysis'!AQ25</f>
        <v>4.82E-2</v>
      </c>
      <c r="L45" s="46">
        <f>'[9]Ratio Analysis'!AR25</f>
        <v>0.05</v>
      </c>
      <c r="M45" s="46">
        <f>'[9]Ratio Analysis'!AS25</f>
        <v>0.16626077283276586</v>
      </c>
      <c r="N45" s="46">
        <f>'[9]Ratio Analysis'!AT25</f>
        <v>5.9236836488986325E-2</v>
      </c>
      <c r="O45" s="46">
        <f>'[9]Ratio Analysis'!AU25</f>
        <v>0.1519562653183848</v>
      </c>
    </row>
    <row r="46" spans="1:15" x14ac:dyDescent="0.3">
      <c r="A46" s="11" t="s">
        <v>85</v>
      </c>
      <c r="B46" s="46">
        <f>'[9]Ratio Analysis'!R26</f>
        <v>9.9999999999999992E-2</v>
      </c>
      <c r="C46" s="46">
        <f>'[9]Ratio Analysis'!S26</f>
        <v>9.1999999999999998E-2</v>
      </c>
      <c r="D46" s="46">
        <f>'[9]Ratio Analysis'!T26</f>
        <v>2.4E-2</v>
      </c>
      <c r="E46" s="46">
        <f>'[9]Ratio Analysis'!U26</f>
        <v>3.4000000000000002E-2</v>
      </c>
      <c r="F46" s="46">
        <f>'[9]Ratio Analysis'!V26</f>
        <v>7.9000000000000001E-2</v>
      </c>
      <c r="G46" s="46">
        <f>'[9]Ratio Analysis'!W26</f>
        <v>0.09</v>
      </c>
      <c r="I46" s="11" t="s">
        <v>85</v>
      </c>
      <c r="J46" s="46">
        <f>'[9]Ratio Analysis'!AP26</f>
        <v>0.51500000000000001</v>
      </c>
      <c r="K46" s="46">
        <f>'[9]Ratio Analysis'!AQ26</f>
        <v>0.5</v>
      </c>
      <c r="L46" s="46">
        <f>'[9]Ratio Analysis'!AR26</f>
        <v>0.58699999999999997</v>
      </c>
      <c r="M46" s="46">
        <f>'[9]Ratio Analysis'!AS26</f>
        <v>0.56999999999999995</v>
      </c>
      <c r="N46" s="46">
        <f>'[9]Ratio Analysis'!AT26</f>
        <v>0.57299999999999995</v>
      </c>
      <c r="O46" s="46">
        <f>'[9]Ratio Analysis'!AU26</f>
        <v>0.56999999999999995</v>
      </c>
    </row>
    <row r="47" spans="1:15" x14ac:dyDescent="0.3">
      <c r="A47" s="11" t="s">
        <v>66</v>
      </c>
      <c r="B47" s="46">
        <f>'[9]Ratio Analysis'!R10</f>
        <v>0.28765346324610358</v>
      </c>
      <c r="C47" s="46">
        <f>'[9]Ratio Analysis'!S10</f>
        <v>0.26589694213187415</v>
      </c>
      <c r="D47" s="46">
        <f>'[9]Ratio Analysis'!T10</f>
        <v>0.23003250947704915</v>
      </c>
      <c r="E47" s="46">
        <f>'[9]Ratio Analysis'!U10</f>
        <v>0.17179922340383932</v>
      </c>
      <c r="F47" s="46">
        <f>'[9]Ratio Analysis'!V10</f>
        <v>0.20267675042999056</v>
      </c>
      <c r="G47" s="46">
        <f>'[9]Ratio Analysis'!W10</f>
        <v>0.13773786430425763</v>
      </c>
      <c r="I47" s="11" t="s">
        <v>66</v>
      </c>
      <c r="J47" s="46">
        <f>'[9]Ratio Analysis'!AP10</f>
        <v>9.6112295095101413E-2</v>
      </c>
      <c r="K47" s="46">
        <f>'[9]Ratio Analysis'!AQ10</f>
        <v>0.13148794070433426</v>
      </c>
      <c r="L47" s="46">
        <f>'[9]Ratio Analysis'!AR10</f>
        <v>0.13195002207411577</v>
      </c>
      <c r="M47" s="46">
        <f>'[9]Ratio Analysis'!AS10</f>
        <v>0.12971111593863127</v>
      </c>
      <c r="N47" s="46">
        <f>'[9]Ratio Analysis'!AT10</f>
        <v>0.16381791496389511</v>
      </c>
      <c r="O47" s="46">
        <f>'[9]Ratio Analysis'!AU10</f>
        <v>0.16979930026910994</v>
      </c>
    </row>
    <row r="48" spans="1:15" x14ac:dyDescent="0.3">
      <c r="A48" s="11" t="s">
        <v>86</v>
      </c>
      <c r="B48" s="45">
        <f>'[9]Ratio Analysis'!R16</f>
        <v>2.8952481462092266E-2</v>
      </c>
      <c r="C48" s="45">
        <f>'[9]Ratio Analysis'!S16</f>
        <v>4.5556088114823555E-2</v>
      </c>
      <c r="D48" s="45">
        <f>'[9]Ratio Analysis'!T16</f>
        <v>0.13822534415652679</v>
      </c>
      <c r="E48" s="45">
        <f>'[9]Ratio Analysis'!U16</f>
        <v>2.234872806736837E-2</v>
      </c>
      <c r="F48" s="45">
        <f>'[9]Ratio Analysis'!V16</f>
        <v>2.1634768515182555E-2</v>
      </c>
      <c r="G48" s="45">
        <f>'[9]Ratio Analysis'!W16</f>
        <v>0.58424937088915696</v>
      </c>
      <c r="I48" s="11" t="s">
        <v>86</v>
      </c>
      <c r="J48" s="45">
        <f>'[9]Ratio Analysis'!AP16</f>
        <v>0.17539894677056139</v>
      </c>
      <c r="K48" s="45">
        <f>'[9]Ratio Analysis'!AQ16</f>
        <v>8.2724304151764877E-2</v>
      </c>
      <c r="L48" s="45">
        <f>'[9]Ratio Analysis'!AR16</f>
        <v>4.9995785462022276E-2</v>
      </c>
      <c r="M48" s="45">
        <f>'[9]Ratio Analysis'!AS16</f>
        <v>3.3867571016389798E-2</v>
      </c>
      <c r="N48" s="45">
        <f>'[9]Ratio Analysis'!AT16</f>
        <v>2.0871692871477963E-2</v>
      </c>
      <c r="O48" s="45">
        <f>'[9]Ratio Analysis'!AU16</f>
        <v>1.4004490360107707E-2</v>
      </c>
    </row>
    <row r="50" spans="1:14" x14ac:dyDescent="0.3">
      <c r="A50" s="43" t="s">
        <v>82</v>
      </c>
      <c r="B50" s="44" t="s">
        <v>22</v>
      </c>
      <c r="C50" s="44" t="s">
        <v>23</v>
      </c>
      <c r="D50" s="44" t="s">
        <v>24</v>
      </c>
      <c r="E50" s="44" t="s">
        <v>25</v>
      </c>
      <c r="F50" s="44" t="s">
        <v>26</v>
      </c>
      <c r="I50" s="43" t="s">
        <v>82</v>
      </c>
      <c r="J50" s="44" t="s">
        <v>22</v>
      </c>
      <c r="K50" s="44" t="s">
        <v>23</v>
      </c>
      <c r="L50" s="44" t="s">
        <v>24</v>
      </c>
      <c r="M50" s="44" t="s">
        <v>25</v>
      </c>
      <c r="N50" s="44" t="s">
        <v>26</v>
      </c>
    </row>
    <row r="51" spans="1:14" x14ac:dyDescent="0.3">
      <c r="A51" s="11" t="s">
        <v>14</v>
      </c>
      <c r="B51" s="45">
        <f>'[9]Income Statement Forecast'!P7</f>
        <v>14497.023587145901</v>
      </c>
      <c r="C51" s="45">
        <f>'[9]Income Statement Forecast'!Q7</f>
        <v>16508.550358046476</v>
      </c>
      <c r="D51" s="45">
        <f>'[9]Income Statement Forecast'!R7</f>
        <v>18822.250723715078</v>
      </c>
      <c r="E51" s="45">
        <f>'[9]Income Statement Forecast'!S7</f>
        <v>21490.3118126185</v>
      </c>
      <c r="F51" s="45">
        <f>'[9]Income Statement Forecast'!T7</f>
        <v>24575.782392437246</v>
      </c>
      <c r="I51" s="11" t="s">
        <v>14</v>
      </c>
      <c r="J51" s="45">
        <f>'[9]Income Statement Forecast'!AK7</f>
        <v>30804.734796352906</v>
      </c>
      <c r="K51" s="45">
        <f>'[9]Income Statement Forecast'!AL7</f>
        <v>33401.92701558891</v>
      </c>
      <c r="L51" s="45">
        <f>'[9]Income Statement Forecast'!AM7</f>
        <v>36218.093285776806</v>
      </c>
      <c r="M51" s="45">
        <f>'[9]Income Statement Forecast'!AN7</f>
        <v>39271.695793466606</v>
      </c>
      <c r="N51" s="45">
        <f>'[9]Income Statement Forecast'!AO7</f>
        <v>42582.753319816242</v>
      </c>
    </row>
    <row r="52" spans="1:14" x14ac:dyDescent="0.3">
      <c r="A52" s="11" t="s">
        <v>77</v>
      </c>
      <c r="B52" s="45">
        <f>'[9]Income Statement Forecast'!P14</f>
        <v>3902.4652258829065</v>
      </c>
      <c r="C52" s="45">
        <f>'[9]Income Statement Forecast'!Q14</f>
        <v>4539.5585271235504</v>
      </c>
      <c r="D52" s="45">
        <f>'[9]Income Statement Forecast'!R14</f>
        <v>5300.5199857457592</v>
      </c>
      <c r="E52" s="45">
        <f>'[9]Income Statement Forecast'!S14</f>
        <v>6214.4051420358828</v>
      </c>
      <c r="F52" s="45">
        <f>'[9]Income Statement Forecast'!T14</f>
        <v>7318.1303114732946</v>
      </c>
      <c r="I52" s="11" t="s">
        <v>77</v>
      </c>
      <c r="J52" s="45">
        <f>'[9]Income Statement Forecast'!AK14</f>
        <v>4543.2404483149767</v>
      </c>
      <c r="K52" s="45">
        <f>'[9]Income Statement Forecast'!AL14</f>
        <v>4926.2876915549678</v>
      </c>
      <c r="L52" s="45">
        <f>'[9]Income Statement Forecast'!AM14</f>
        <v>5341.6303521063855</v>
      </c>
      <c r="M52" s="45">
        <f>'[9]Income Statement Forecast'!AN14</f>
        <v>5791.9913280319051</v>
      </c>
      <c r="N52" s="45">
        <f>'[9]Income Statement Forecast'!AO14</f>
        <v>6280.3230919589951</v>
      </c>
    </row>
    <row r="53" spans="1:14" x14ac:dyDescent="0.3">
      <c r="A53" s="11" t="s">
        <v>79</v>
      </c>
      <c r="B53" s="45">
        <f>'[9]Income Statement Forecast'!P20</f>
        <v>2053.9000961583042</v>
      </c>
      <c r="C53" s="45">
        <f>'[9]Income Statement Forecast'!Q20</f>
        <v>2506.5020461469585</v>
      </c>
      <c r="D53" s="45">
        <f>'[9]Income Statement Forecast'!R20</f>
        <v>3045.8547764802802</v>
      </c>
      <c r="E53" s="45">
        <f>'[9]Income Statement Forecast'!S20</f>
        <v>3693.009129117786</v>
      </c>
      <c r="F53" s="45">
        <f>'[9]Income Statement Forecast'!T20</f>
        <v>4474.780558450866</v>
      </c>
      <c r="I53" s="11" t="s">
        <v>79</v>
      </c>
      <c r="J53" s="45">
        <f>'[9]Income Statement Forecast'!AK20</f>
        <v>2460.1620370983055</v>
      </c>
      <c r="K53" s="45">
        <f>'[9]Income Statement Forecast'!AL20</f>
        <v>2422.2435065802692</v>
      </c>
      <c r="L53" s="45">
        <f>'[9]Income Statement Forecast'!AM20</f>
        <v>2335.7129463805268</v>
      </c>
      <c r="M53" s="45">
        <f>'[9]Income Statement Forecast'!AN20</f>
        <v>2188.4009813789921</v>
      </c>
      <c r="N53" s="45">
        <f>'[9]Income Statement Forecast'!AO20</f>
        <v>2070.1791991362388</v>
      </c>
    </row>
    <row r="54" spans="1:14" x14ac:dyDescent="0.3">
      <c r="A54" s="11" t="s">
        <v>78</v>
      </c>
      <c r="B54" s="46">
        <f>B52/B51</f>
        <v>0.26919078957304804</v>
      </c>
      <c r="C54" s="46">
        <f t="shared" ref="C54:F54" si="20">C52/C51</f>
        <v>0.27498226244383184</v>
      </c>
      <c r="D54" s="46">
        <f t="shared" si="20"/>
        <v>0.28160925404459591</v>
      </c>
      <c r="E54" s="46">
        <f t="shared" si="20"/>
        <v>0.28917240458032634</v>
      </c>
      <c r="F54" s="46">
        <f t="shared" si="20"/>
        <v>0.29777812134784026</v>
      </c>
      <c r="I54" s="11" t="s">
        <v>78</v>
      </c>
      <c r="J54" s="46">
        <f>J52/J51</f>
        <v>0.14748513429347454</v>
      </c>
      <c r="K54" s="46">
        <f t="shared" ref="K54:N54" si="21">K52/K51</f>
        <v>0.1474851342934746</v>
      </c>
      <c r="L54" s="46">
        <f t="shared" si="21"/>
        <v>0.14748513429347468</v>
      </c>
      <c r="M54" s="46">
        <f t="shared" si="21"/>
        <v>0.14748513429347462</v>
      </c>
      <c r="N54" s="46">
        <f t="shared" si="21"/>
        <v>0.14748513429347448</v>
      </c>
    </row>
    <row r="55" spans="1:14" x14ac:dyDescent="0.3">
      <c r="A55" s="11" t="s">
        <v>80</v>
      </c>
      <c r="B55" s="46">
        <f>B53/B51</f>
        <v>0.14167736458533731</v>
      </c>
      <c r="C55" s="46">
        <f t="shared" ref="C55:F55" si="22">C53/C51</f>
        <v>0.1518305358002108</v>
      </c>
      <c r="D55" s="46">
        <f t="shared" si="22"/>
        <v>0.16182202761982434</v>
      </c>
      <c r="E55" s="46">
        <f t="shared" si="22"/>
        <v>0.17184530226077763</v>
      </c>
      <c r="F55" s="46">
        <f t="shared" si="22"/>
        <v>0.18208089927700122</v>
      </c>
      <c r="I55" s="11" t="s">
        <v>80</v>
      </c>
      <c r="J55" s="46">
        <f>J53/J51</f>
        <v>7.9863113685678402E-2</v>
      </c>
      <c r="K55" s="46">
        <f t="shared" ref="K55:N55" si="23">K53/K51</f>
        <v>7.2518076739997411E-2</v>
      </c>
      <c r="L55" s="46">
        <f t="shared" si="23"/>
        <v>6.449022393174364E-2</v>
      </c>
      <c r="M55" s="46">
        <f t="shared" si="23"/>
        <v>5.5724636717700976E-2</v>
      </c>
      <c r="N55" s="46">
        <f t="shared" si="23"/>
        <v>4.8615437888391858E-2</v>
      </c>
    </row>
    <row r="56" spans="1:14" x14ac:dyDescent="0.3">
      <c r="A56" s="31" t="s">
        <v>84</v>
      </c>
      <c r="B56" s="48">
        <f>'[9]Income Statement Forecast'!P11/'[9]Income Statement Forecast'!P7</f>
        <v>3.4488471561946531E-2</v>
      </c>
      <c r="C56" s="48">
        <f>'[9]Income Statement Forecast'!Q11/'[9]Income Statement Forecast'!Q7</f>
        <v>3.4215159397080516E-2</v>
      </c>
      <c r="D56" s="48">
        <f>'[9]Income Statement Forecast'!R11/'[9]Income Statement Forecast'!R7</f>
        <v>3.3902417291339013E-2</v>
      </c>
      <c r="E56" s="48">
        <f>'[9]Income Statement Forecast'!S11/'[9]Income Statement Forecast'!S7</f>
        <v>3.354549581518812E-2</v>
      </c>
      <c r="F56" s="48">
        <f>'[9]Income Statement Forecast'!T11/'[9]Income Statement Forecast'!T7</f>
        <v>3.31393733775232E-2</v>
      </c>
      <c r="I56" s="31" t="s">
        <v>84</v>
      </c>
      <c r="J56" s="48">
        <f>'[9]Income Statement Forecast'!AK11/'[9]Income Statement Forecast'!AK7</f>
        <v>9.226474694472131E-2</v>
      </c>
      <c r="K56" s="48">
        <f>'[9]Income Statement Forecast'!AL11/'[9]Income Statement Forecast'!AL7</f>
        <v>9.226474694472131E-2</v>
      </c>
      <c r="L56" s="48">
        <f>'[9]Income Statement Forecast'!AM11/'[9]Income Statement Forecast'!AM7</f>
        <v>9.226474694472131E-2</v>
      </c>
      <c r="M56" s="48">
        <f>'[9]Income Statement Forecast'!AN11/'[9]Income Statement Forecast'!AN7</f>
        <v>9.226474694472131E-2</v>
      </c>
      <c r="N56" s="48">
        <f>'[9]Income Statement Forecast'!AO11/'[9]Income Statement Forecast'!AO7</f>
        <v>9.226474694472131E-2</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8877-47CF-49CF-80EA-9240EDE03C0A}">
  <dimension ref="A1:O47"/>
  <sheetViews>
    <sheetView topLeftCell="E1" workbookViewId="0">
      <selection activeCell="M43" sqref="M43"/>
    </sheetView>
  </sheetViews>
  <sheetFormatPr defaultRowHeight="14.4" x14ac:dyDescent="0.3"/>
  <cols>
    <col min="1" max="1" width="15.21875" style="1" bestFit="1" customWidth="1"/>
    <col min="2" max="7" width="10.88671875" style="1" bestFit="1" customWidth="1"/>
    <col min="8" max="8" width="8.88671875" style="1"/>
    <col min="9" max="9" width="15.21875" style="1" bestFit="1" customWidth="1"/>
    <col min="10" max="10" width="9.88671875" style="1" bestFit="1" customWidth="1"/>
    <col min="11" max="11" width="10.88671875" style="1" bestFit="1" customWidth="1"/>
    <col min="12" max="12" width="11.33203125" style="1" bestFit="1" customWidth="1"/>
    <col min="13" max="15" width="10.88671875" style="1" bestFit="1" customWidth="1"/>
    <col min="16" max="16384" width="8.88671875" style="1"/>
  </cols>
  <sheetData>
    <row r="1" spans="1:15" x14ac:dyDescent="0.3">
      <c r="A1" s="49" t="s">
        <v>60</v>
      </c>
      <c r="B1" s="50" t="s">
        <v>16</v>
      </c>
      <c r="C1" s="50" t="s">
        <v>17</v>
      </c>
      <c r="D1" s="50" t="s">
        <v>18</v>
      </c>
      <c r="E1" s="50" t="s">
        <v>19</v>
      </c>
      <c r="F1" s="50" t="s">
        <v>20</v>
      </c>
      <c r="I1" s="49" t="s">
        <v>60</v>
      </c>
      <c r="J1" s="50" t="s">
        <v>16</v>
      </c>
      <c r="K1" s="50" t="s">
        <v>17</v>
      </c>
      <c r="L1" s="50" t="s">
        <v>18</v>
      </c>
      <c r="M1" s="50" t="s">
        <v>19</v>
      </c>
      <c r="N1" s="50" t="s">
        <v>20</v>
      </c>
    </row>
    <row r="2" spans="1:15" x14ac:dyDescent="0.3">
      <c r="A2" s="1" t="s">
        <v>14</v>
      </c>
      <c r="B2" s="41">
        <f>'[10]Income Statement'!B5</f>
        <v>161541</v>
      </c>
      <c r="C2" s="41">
        <f>'[10]Income Statement'!C5</f>
        <v>167311</v>
      </c>
      <c r="D2" s="41">
        <f>'[10]Income Statement'!D5</f>
        <v>195772</v>
      </c>
      <c r="E2" s="41">
        <f>'[10]Income Statement'!E5</f>
        <v>228907</v>
      </c>
      <c r="F2" s="41">
        <f>'[10]Income Statement'!F5</f>
        <v>245315</v>
      </c>
      <c r="I2" s="1" t="s">
        <v>14</v>
      </c>
      <c r="J2" s="41">
        <f>'[10]Income Statement'!$W$6</f>
        <v>63862.6</v>
      </c>
      <c r="K2" s="41">
        <f>'[10]Income Statement'!$W$6</f>
        <v>63862.6</v>
      </c>
      <c r="L2" s="41">
        <f>'[10]Income Statement'!$W$6</f>
        <v>63862.6</v>
      </c>
      <c r="M2" s="41">
        <f>'[10]Income Statement'!$W$6</f>
        <v>63862.6</v>
      </c>
      <c r="N2" s="41">
        <f>'[10]Income Statement'!$W$6</f>
        <v>63862.6</v>
      </c>
    </row>
    <row r="3" spans="1:15" x14ac:dyDescent="0.3">
      <c r="A3" s="1" t="s">
        <v>77</v>
      </c>
      <c r="B3" s="41">
        <f>'[10]Income Statement'!B13+'[10]Income Statement'!B9+'[10]Income Statement'!B10</f>
        <v>46701</v>
      </c>
      <c r="C3" s="41">
        <f>'[10]Income Statement'!C13+'[10]Income Statement'!C9+'[10]Income Statement'!C10</f>
        <v>49680</v>
      </c>
      <c r="D3" s="41">
        <f>'[10]Income Statement'!D13+'[10]Income Statement'!D9+'[10]Income Statement'!D10</f>
        <v>57075</v>
      </c>
      <c r="E3" s="41">
        <f>'[10]Income Statement'!E13+'[10]Income Statement'!E9+'[10]Income Statement'!E10</f>
        <v>62708</v>
      </c>
      <c r="F3" s="41">
        <f>'[10]Income Statement'!F13+'[10]Income Statement'!F9+'[10]Income Statement'!F10</f>
        <v>68718</v>
      </c>
      <c r="I3" s="1" t="s">
        <v>77</v>
      </c>
      <c r="J3" s="41">
        <f>'[10]Income Statement'!$W$23+'[10]Income Statement'!$W$11+'[10]Income Statement'!$W$12</f>
        <v>15070.199999999999</v>
      </c>
      <c r="K3" s="41">
        <f>'[10]Income Statement'!$W$23+'[10]Income Statement'!$W$11+'[10]Income Statement'!$W$12</f>
        <v>15070.199999999999</v>
      </c>
      <c r="L3" s="41">
        <f>'[10]Income Statement'!$W$23+'[10]Income Statement'!$W$11+'[10]Income Statement'!$W$12</f>
        <v>15070.199999999999</v>
      </c>
      <c r="M3" s="41">
        <f>'[10]Income Statement'!$W$23+'[10]Income Statement'!$W$11+'[10]Income Statement'!$W$12</f>
        <v>15070.199999999999</v>
      </c>
      <c r="N3" s="41">
        <f>'[10]Income Statement'!$W$23+'[10]Income Statement'!$W$11+'[10]Income Statement'!$W$12</f>
        <v>15070.199999999999</v>
      </c>
    </row>
    <row r="4" spans="1:15" x14ac:dyDescent="0.3">
      <c r="A4" s="1" t="s">
        <v>79</v>
      </c>
      <c r="B4" s="41">
        <f>'[10]Income Statement'!B21</f>
        <v>32447</v>
      </c>
      <c r="C4" s="41">
        <f>'[10]Income Statement'!C21</f>
        <v>32562</v>
      </c>
      <c r="D4" s="41">
        <f>'[10]Income Statement'!D21</f>
        <v>38449</v>
      </c>
      <c r="E4" s="41">
        <f>'[10]Income Statement'!E21</f>
        <v>42303</v>
      </c>
      <c r="F4" s="41">
        <f>'[10]Income Statement'!F21</f>
        <v>46099</v>
      </c>
      <c r="I4" s="1" t="s">
        <v>79</v>
      </c>
      <c r="J4" s="41">
        <f>'[10]Income Statement'!$W$28</f>
        <v>9771.7999999999993</v>
      </c>
      <c r="K4" s="41">
        <f>'[10]Income Statement'!$W$28</f>
        <v>9771.7999999999993</v>
      </c>
      <c r="L4" s="41">
        <f>'[10]Income Statement'!$W$28</f>
        <v>9771.7999999999993</v>
      </c>
      <c r="M4" s="41">
        <f>'[10]Income Statement'!$W$28</f>
        <v>9771.7999999999993</v>
      </c>
      <c r="N4" s="41">
        <f>'[10]Income Statement'!$W$28</f>
        <v>9771.7999999999993</v>
      </c>
    </row>
    <row r="5" spans="1:15" x14ac:dyDescent="0.3">
      <c r="A5" s="1" t="s">
        <v>78</v>
      </c>
      <c r="B5" s="51">
        <f>B3/B2</f>
        <v>0.28909688562036884</v>
      </c>
      <c r="C5" s="51">
        <f t="shared" ref="C5:F5" si="0">C3/C2</f>
        <v>0.29693206065351352</v>
      </c>
      <c r="D5" s="51">
        <f t="shared" si="0"/>
        <v>0.29153811576732119</v>
      </c>
      <c r="E5" s="51">
        <f t="shared" si="0"/>
        <v>0.27394531403583117</v>
      </c>
      <c r="F5" s="51">
        <f t="shared" si="0"/>
        <v>0.28012147646902963</v>
      </c>
      <c r="I5" s="1" t="s">
        <v>78</v>
      </c>
      <c r="J5" s="52">
        <f>J3/J2</f>
        <v>0.23597849132356025</v>
      </c>
      <c r="K5" s="52">
        <f t="shared" ref="K5:N5" si="1">K3/K2</f>
        <v>0.23597849132356025</v>
      </c>
      <c r="L5" s="52">
        <f t="shared" si="1"/>
        <v>0.23597849132356025</v>
      </c>
      <c r="M5" s="52">
        <f t="shared" si="1"/>
        <v>0.23597849132356025</v>
      </c>
      <c r="N5" s="52">
        <f t="shared" si="1"/>
        <v>0.23597849132356025</v>
      </c>
    </row>
    <row r="6" spans="1:15" x14ac:dyDescent="0.3">
      <c r="A6" s="1" t="s">
        <v>80</v>
      </c>
      <c r="B6" s="51">
        <f>B4/B2</f>
        <v>0.20085922459313735</v>
      </c>
      <c r="C6" s="51">
        <f t="shared" ref="C6:F6" si="2">C4/C2</f>
        <v>0.19461960062398767</v>
      </c>
      <c r="D6" s="51">
        <f t="shared" si="2"/>
        <v>0.19639682896430541</v>
      </c>
      <c r="E6" s="51">
        <f t="shared" si="2"/>
        <v>0.18480430917359453</v>
      </c>
      <c r="F6" s="51">
        <f t="shared" si="2"/>
        <v>0.18791757536228931</v>
      </c>
      <c r="I6" s="1" t="s">
        <v>80</v>
      </c>
      <c r="J6" s="52">
        <f>J4/J2</f>
        <v>0.15301287451497433</v>
      </c>
      <c r="K6" s="52">
        <f t="shared" ref="K6:N6" si="3">K4/K2</f>
        <v>0.15301287451497433</v>
      </c>
      <c r="L6" s="52">
        <f t="shared" si="3"/>
        <v>0.15301287451497433</v>
      </c>
      <c r="M6" s="52">
        <f t="shared" si="3"/>
        <v>0.15301287451497433</v>
      </c>
      <c r="N6" s="52">
        <f t="shared" si="3"/>
        <v>0.15301287451497433</v>
      </c>
    </row>
    <row r="7" spans="1:15" x14ac:dyDescent="0.3">
      <c r="A7" s="1" t="s">
        <v>66</v>
      </c>
      <c r="B7" s="51">
        <f>'[10]Financial Ratios'!C8</f>
        <v>0.3828599747489646</v>
      </c>
      <c r="C7" s="51">
        <f>'[10]Financial Ratios'!D8</f>
        <v>0.37894295838982411</v>
      </c>
      <c r="D7" s="51">
        <f>'[10]Financial Ratios'!E8</f>
        <v>0.4345649151756954</v>
      </c>
      <c r="E7" s="51">
        <f>'[10]Financial Ratios'!F8</f>
        <v>0.46730221151934254</v>
      </c>
      <c r="F7" s="51">
        <f>'[10]Financial Ratios'!G8</f>
        <v>0.50512532529790444</v>
      </c>
      <c r="I7" s="1" t="s">
        <v>66</v>
      </c>
      <c r="J7" s="42">
        <f>'[10]Financial Ratios'!AA8</f>
        <v>0.176039287181224</v>
      </c>
      <c r="K7" s="42">
        <f>'[10]Financial Ratios'!AB8</f>
        <v>0.19659913169319818</v>
      </c>
      <c r="L7" s="42">
        <f>'[10]Financial Ratios'!AC8</f>
        <v>0.20320102103392951</v>
      </c>
      <c r="M7" s="42">
        <f>'[10]Financial Ratios'!AD8</f>
        <v>0.15877073332900307</v>
      </c>
      <c r="N7" s="42">
        <f>'[10]Financial Ratios'!AE8</f>
        <v>0.14583401686945294</v>
      </c>
    </row>
    <row r="8" spans="1:15" x14ac:dyDescent="0.3">
      <c r="A8" s="1" t="s">
        <v>86</v>
      </c>
      <c r="B8" s="41">
        <f>'[10]Financial Ratios'!C18</f>
        <v>9.6449515628502985E-2</v>
      </c>
      <c r="C8" s="41">
        <f>'[10]Financial Ratios'!D18</f>
        <v>8.9486614317858287E-2</v>
      </c>
      <c r="D8" s="41">
        <f>'[10]Financial Ratios'!E18</f>
        <v>8.7015559958150607E-2</v>
      </c>
      <c r="E8" s="41">
        <f>'[10]Financial Ratios'!F18</f>
        <v>8.429270004166392E-2</v>
      </c>
      <c r="F8" s="41">
        <f>'[10]Financial Ratios'!G18</f>
        <v>8.7834952200527824E-2</v>
      </c>
      <c r="I8" s="1" t="s">
        <v>86</v>
      </c>
      <c r="J8" s="41">
        <f>'[10]Financial Ratios'!AA18</f>
        <v>0.10603647683627219</v>
      </c>
      <c r="K8" s="41">
        <f>'[10]Financial Ratios'!AB18</f>
        <v>0.15137291374512266</v>
      </c>
      <c r="L8" s="41">
        <f>'[10]Financial Ratios'!AC18</f>
        <v>0.23175793872079076</v>
      </c>
      <c r="M8" s="41">
        <f>'[10]Financial Ratios'!AD18</f>
        <v>0.19310327969246127</v>
      </c>
      <c r="N8" s="41">
        <f>'[10]Financial Ratios'!AE18</f>
        <v>0.1894625470422007</v>
      </c>
    </row>
    <row r="10" spans="1:15" x14ac:dyDescent="0.3">
      <c r="A10" s="49" t="s">
        <v>82</v>
      </c>
      <c r="B10" s="50" t="s">
        <v>21</v>
      </c>
      <c r="C10" s="50" t="s">
        <v>22</v>
      </c>
      <c r="D10" s="50" t="s">
        <v>23</v>
      </c>
      <c r="E10" s="50" t="s">
        <v>24</v>
      </c>
      <c r="F10" s="50" t="s">
        <v>25</v>
      </c>
      <c r="G10" s="50" t="s">
        <v>26</v>
      </c>
      <c r="I10" s="49" t="s">
        <v>82</v>
      </c>
      <c r="J10" s="50" t="s">
        <v>21</v>
      </c>
      <c r="K10" s="50" t="s">
        <v>22</v>
      </c>
      <c r="L10" s="50" t="s">
        <v>23</v>
      </c>
      <c r="M10" s="50" t="s">
        <v>24</v>
      </c>
      <c r="N10" s="50" t="s">
        <v>25</v>
      </c>
      <c r="O10" s="50" t="s">
        <v>26</v>
      </c>
    </row>
    <row r="11" spans="1:15" x14ac:dyDescent="0.3">
      <c r="A11" s="1" t="s">
        <v>14</v>
      </c>
      <c r="B11" s="41">
        <f>[10]Valuation!D3</f>
        <v>266693.46367347147</v>
      </c>
      <c r="C11" s="41">
        <f>[10]Valuation!E3</f>
        <v>289934.99609136517</v>
      </c>
      <c r="D11" s="41">
        <f>[10]Valuation!F3</f>
        <v>315201.95808556589</v>
      </c>
      <c r="E11" s="41">
        <f>[10]Valuation!G3</f>
        <v>342670.85974563297</v>
      </c>
      <c r="F11" s="41">
        <f>[10]Valuation!H3</f>
        <v>372533.59348400717</v>
      </c>
      <c r="G11" s="41">
        <f>[10]Valuation!I3</f>
        <v>404998.7745591377</v>
      </c>
      <c r="I11" s="1" t="s">
        <v>14</v>
      </c>
      <c r="J11" s="41">
        <f>[10]Valuation!AH3</f>
        <v>99473.373395880495</v>
      </c>
      <c r="K11" s="41">
        <f>[10]Valuation!AI3</f>
        <v>107098.54103648798</v>
      </c>
      <c r="L11" s="41">
        <f>[10]Valuation!AJ3</f>
        <v>115308.21867773625</v>
      </c>
      <c r="M11" s="41">
        <f>[10]Valuation!AK3</f>
        <v>124147.21214645456</v>
      </c>
      <c r="N11" s="41">
        <f>[10]Valuation!AL3</f>
        <v>133663.76187643467</v>
      </c>
      <c r="O11" s="41">
        <f>[10]Valuation!AM3</f>
        <v>143909.80618947756</v>
      </c>
    </row>
    <row r="12" spans="1:15" x14ac:dyDescent="0.3">
      <c r="A12" s="1" t="s">
        <v>77</v>
      </c>
      <c r="B12" s="41">
        <f>[10]Valuation!D4+[10]Valuation!D8</f>
        <v>73202.38584708728</v>
      </c>
      <c r="C12" s="41">
        <f>[10]Valuation!E4+[10]Valuation!E8</f>
        <v>79082.312299054989</v>
      </c>
      <c r="D12" s="41">
        <f>[10]Valuation!F4+[10]Valuation!F8</f>
        <v>85434.98544536109</v>
      </c>
      <c r="E12" s="41">
        <f>[10]Valuation!G4+[10]Valuation!G8</f>
        <v>92298.446347250094</v>
      </c>
      <c r="F12" s="41">
        <f>[10]Valuation!H4+[10]Valuation!H8</f>
        <v>99713.799479768102</v>
      </c>
      <c r="G12" s="41">
        <f>[10]Valuation!I4+[10]Valuation!I8</f>
        <v>107725.459592846</v>
      </c>
      <c r="I12" s="1" t="s">
        <v>77</v>
      </c>
      <c r="J12" s="41">
        <f>[10]Valuation!AH4+[10]Valuation!AH8</f>
        <v>20411.136042840935</v>
      </c>
      <c r="K12" s="41">
        <f>[10]Valuation!AI4+[10]Valuation!AI8</f>
        <v>21503.860625736117</v>
      </c>
      <c r="L12" s="41">
        <f>[10]Valuation!AJ4+[10]Valuation!AJ8</f>
        <v>22666.425568683349</v>
      </c>
      <c r="M12" s="41">
        <f>[10]Valuation!AK4+[10]Valuation!AK8</f>
        <v>23904.219746262126</v>
      </c>
      <c r="N12" s="41">
        <f>[10]Valuation!AL4+[10]Valuation!AL8</f>
        <v>25223.111048675146</v>
      </c>
      <c r="O12" s="41">
        <f>[10]Valuation!AM4+[10]Valuation!AM8</f>
        <v>26629.492538952411</v>
      </c>
    </row>
    <row r="13" spans="1:15" x14ac:dyDescent="0.3">
      <c r="A13" s="1" t="s">
        <v>79</v>
      </c>
      <c r="B13" s="41">
        <f>[10]Valuation!D7</f>
        <v>50895.621668761829</v>
      </c>
      <c r="C13" s="41">
        <f>[10]Valuation!E7</f>
        <v>55019.02147988294</v>
      </c>
      <c r="D13" s="41">
        <f>[10]Valuation!F7</f>
        <v>59476.485900981876</v>
      </c>
      <c r="E13" s="41">
        <f>[10]Valuation!G7</f>
        <v>64295.079773876452</v>
      </c>
      <c r="F13" s="41">
        <f>[10]Valuation!H7</f>
        <v>69504.060646947066</v>
      </c>
      <c r="G13" s="41">
        <f>[10]Valuation!I7</f>
        <v>75135.056421180314</v>
      </c>
      <c r="I13" s="1" t="s">
        <v>79</v>
      </c>
      <c r="J13" s="41">
        <f>[10]Valuation!AH7</f>
        <v>12489.442870163821</v>
      </c>
      <c r="K13" s="41">
        <f>[10]Valuation!AI7</f>
        <v>13018.213192714637</v>
      </c>
      <c r="L13" s="41">
        <f>[10]Valuation!AJ7</f>
        <v>13569.370266773676</v>
      </c>
      <c r="M13" s="41">
        <f>[10]Valuation!AK7</f>
        <v>14143.861888807038</v>
      </c>
      <c r="N13" s="41">
        <f>[10]Valuation!AL7</f>
        <v>14742.675982502526</v>
      </c>
      <c r="O13" s="41">
        <f>[10]Valuation!AM7</f>
        <v>15366.842297651201</v>
      </c>
    </row>
    <row r="14" spans="1:15" x14ac:dyDescent="0.3">
      <c r="A14" s="1" t="s">
        <v>78</v>
      </c>
      <c r="B14" s="52">
        <f>B12/B11</f>
        <v>0.27448136463034306</v>
      </c>
      <c r="C14" s="52">
        <f t="shared" ref="C14:G14" si="4">C12/C11</f>
        <v>0.27275876787959163</v>
      </c>
      <c r="D14" s="52">
        <f t="shared" si="4"/>
        <v>0.27104839692070881</v>
      </c>
      <c r="E14" s="52">
        <f t="shared" si="4"/>
        <v>0.26935014671444163</v>
      </c>
      <c r="F14" s="52">
        <f t="shared" si="4"/>
        <v>0.26766391333255374</v>
      </c>
      <c r="G14" s="52">
        <f t="shared" si="4"/>
        <v>0.26598959394410709</v>
      </c>
      <c r="I14" s="1" t="s">
        <v>78</v>
      </c>
      <c r="J14" s="52">
        <f>J12/J11</f>
        <v>0.20519195585746794</v>
      </c>
      <c r="K14" s="52">
        <f t="shared" ref="K14:O14" si="5">K12/K11</f>
        <v>0.20078574757064011</v>
      </c>
      <c r="L14" s="52">
        <f t="shared" si="5"/>
        <v>0.19657250652732344</v>
      </c>
      <c r="M14" s="52">
        <f t="shared" si="5"/>
        <v>0.19254737446752074</v>
      </c>
      <c r="N14" s="52">
        <f t="shared" si="5"/>
        <v>0.18870567979369476</v>
      </c>
      <c r="O14" s="52">
        <f t="shared" si="5"/>
        <v>0.18504293240372324</v>
      </c>
    </row>
    <row r="15" spans="1:15" x14ac:dyDescent="0.3">
      <c r="A15" s="1" t="s">
        <v>80</v>
      </c>
      <c r="B15" s="52">
        <f>B13/B11</f>
        <v>0.1908394040398243</v>
      </c>
      <c r="C15" s="52">
        <f t="shared" ref="C15:G15" si="6">C13/C11</f>
        <v>0.1897632994346953</v>
      </c>
      <c r="D15" s="52">
        <f t="shared" si="6"/>
        <v>0.18869326276468171</v>
      </c>
      <c r="E15" s="52">
        <f t="shared" si="6"/>
        <v>0.18762925981393092</v>
      </c>
      <c r="F15" s="52">
        <f t="shared" si="6"/>
        <v>0.18657125655952653</v>
      </c>
      <c r="G15" s="52">
        <f t="shared" si="6"/>
        <v>0.18551921917040057</v>
      </c>
      <c r="I15" s="1" t="s">
        <v>80</v>
      </c>
      <c r="J15" s="52">
        <f>J13/J11</f>
        <v>0.12555563809481751</v>
      </c>
      <c r="K15" s="52">
        <f t="shared" ref="K15:O15" si="7">K13/K11</f>
        <v>0.12155359976640009</v>
      </c>
      <c r="L15" s="52">
        <f t="shared" si="7"/>
        <v>0.11767912489132619</v>
      </c>
      <c r="M15" s="52">
        <f t="shared" si="7"/>
        <v>0.11392814743291811</v>
      </c>
      <c r="N15" s="52">
        <f t="shared" si="7"/>
        <v>0.11029673095787457</v>
      </c>
      <c r="O15" s="52">
        <f t="shared" si="7"/>
        <v>0.10678106450521228</v>
      </c>
    </row>
    <row r="17" spans="1:15" x14ac:dyDescent="0.3">
      <c r="A17" s="49" t="s">
        <v>60</v>
      </c>
      <c r="B17" s="50" t="s">
        <v>16</v>
      </c>
      <c r="C17" s="50" t="s">
        <v>17</v>
      </c>
      <c r="D17" s="50" t="s">
        <v>18</v>
      </c>
      <c r="E17" s="50" t="s">
        <v>19</v>
      </c>
      <c r="F17" s="50" t="s">
        <v>20</v>
      </c>
      <c r="I17" s="49" t="s">
        <v>60</v>
      </c>
      <c r="J17" s="50" t="s">
        <v>16</v>
      </c>
      <c r="K17" s="50" t="s">
        <v>17</v>
      </c>
      <c r="L17" s="50" t="s">
        <v>18</v>
      </c>
      <c r="M17" s="50" t="s">
        <v>19</v>
      </c>
      <c r="N17" s="50" t="s">
        <v>20</v>
      </c>
    </row>
    <row r="18" spans="1:15" x14ac:dyDescent="0.3">
      <c r="A18" s="1" t="s">
        <v>14</v>
      </c>
      <c r="B18" s="41">
        <f>'[10]Income Statement'!I5</f>
        <v>93594</v>
      </c>
      <c r="C18" s="41">
        <f>'[10]Income Statement'!J5</f>
        <v>102673</v>
      </c>
      <c r="D18" s="41">
        <f>'[10]Income Statement'!K5</f>
        <v>123936</v>
      </c>
      <c r="E18" s="41">
        <f>'[10]Income Statement'!L5</f>
        <v>149468</v>
      </c>
      <c r="F18" s="41">
        <f>'[10]Income Statement'!M5</f>
        <v>166590</v>
      </c>
      <c r="I18" s="1" t="s">
        <v>14</v>
      </c>
      <c r="J18" s="41">
        <f>'[10]Income Statement'!AD5</f>
        <v>11207.800000000001</v>
      </c>
      <c r="K18" s="41">
        <f>'[10]Income Statement'!AE5</f>
        <v>12644.199999999999</v>
      </c>
      <c r="L18" s="41">
        <f>'[10]Income Statement'!AF5</f>
        <v>26874.5</v>
      </c>
      <c r="M18" s="41">
        <f>'[10]Income Statement'!AG5</f>
        <v>33739.9</v>
      </c>
      <c r="N18" s="41">
        <f>'[10]Income Statement'!AH5</f>
        <v>36218.9</v>
      </c>
    </row>
    <row r="19" spans="1:15" x14ac:dyDescent="0.3">
      <c r="A19" s="1" t="s">
        <v>77</v>
      </c>
      <c r="B19" s="41">
        <f>'[10]Income Statement'!I17+'[10]Income Statement'!I14+'[10]Income Statement'!I13</f>
        <v>25070</v>
      </c>
      <c r="C19" s="41">
        <f>'[10]Income Statement'!J17+'[10]Income Statement'!J14+'[10]Income Statement'!J13</f>
        <v>30090</v>
      </c>
      <c r="D19" s="41">
        <f>'[10]Income Statement'!K17+'[10]Income Statement'!K14+'[10]Income Statement'!K13</f>
        <v>33786</v>
      </c>
      <c r="E19" s="41">
        <f>'[10]Income Statement'!L17+'[10]Income Statement'!L14+'[10]Income Statement'!L13</f>
        <v>37831</v>
      </c>
      <c r="F19" s="41">
        <f>'[10]Income Statement'!M17+'[10]Income Statement'!M14+'[10]Income Statement'!M13</f>
        <v>42836</v>
      </c>
      <c r="I19" s="1" t="s">
        <v>77</v>
      </c>
      <c r="J19" s="41">
        <f>'[10]Income Statement'!AD13+'[10]Income Statement'!AD9+'[10]Income Statement'!AD10</f>
        <v>2358.4999999999995</v>
      </c>
      <c r="K19" s="41">
        <f>'[10]Income Statement'!AE13+'[10]Income Statement'!AE9+'[10]Income Statement'!AE10</f>
        <v>2999.5000000000009</v>
      </c>
      <c r="L19" s="41">
        <f>'[10]Income Statement'!AF13+'[10]Income Statement'!AF9+'[10]Income Statement'!AF10</f>
        <v>6014.4000000000015</v>
      </c>
      <c r="M19" s="41">
        <f>'[10]Income Statement'!AG13+'[10]Income Statement'!AG9+'[10]Income Statement'!AG10</f>
        <v>6664.5999999999995</v>
      </c>
      <c r="N19" s="41">
        <f>'[10]Income Statement'!AH13+'[10]Income Statement'!AH9+'[10]Income Statement'!AH10</f>
        <v>7089.2999999999965</v>
      </c>
    </row>
    <row r="20" spans="1:15" x14ac:dyDescent="0.3">
      <c r="A20" s="1" t="s">
        <v>79</v>
      </c>
      <c r="B20" s="41">
        <f>'[10]Income Statement'!I22</f>
        <v>16639</v>
      </c>
      <c r="C20" s="41">
        <f>'[10]Income Statement'!J22</f>
        <v>19423</v>
      </c>
      <c r="D20" s="41">
        <f>'[10]Income Statement'!K22</f>
        <v>22146</v>
      </c>
      <c r="E20" s="41">
        <f>'[10]Income Statement'!L22</f>
        <v>24108</v>
      </c>
      <c r="F20" s="41">
        <f>'[10]Income Statement'!M22</f>
        <v>26750</v>
      </c>
      <c r="I20" s="1" t="s">
        <v>79</v>
      </c>
      <c r="J20" s="41">
        <f>'[10]Income Statement'!AD18</f>
        <v>1520.4999999999995</v>
      </c>
      <c r="K20" s="41">
        <f>'[10]Income Statement'!AE18</f>
        <v>1938.2000000000007</v>
      </c>
      <c r="L20" s="41">
        <f>'[10]Income Statement'!AF18</f>
        <v>3950.0000000000018</v>
      </c>
      <c r="M20" s="41">
        <f>'[10]Income Statement'!AG18</f>
        <v>4410.3</v>
      </c>
      <c r="N20" s="41">
        <f>'[10]Income Statement'!AH18</f>
        <v>4584.5999999999967</v>
      </c>
    </row>
    <row r="21" spans="1:15" x14ac:dyDescent="0.3">
      <c r="A21" s="1" t="s">
        <v>78</v>
      </c>
      <c r="B21" s="52">
        <f>B19/B18</f>
        <v>0.2678590507938543</v>
      </c>
      <c r="C21" s="52">
        <f t="shared" ref="C21:F21" si="8">C19/C18</f>
        <v>0.29306633681688465</v>
      </c>
      <c r="D21" s="52">
        <f t="shared" si="8"/>
        <v>0.27260844306738963</v>
      </c>
      <c r="E21" s="52">
        <f t="shared" si="8"/>
        <v>0.25310434340460836</v>
      </c>
      <c r="F21" s="52">
        <f t="shared" si="8"/>
        <v>0.257134281769614</v>
      </c>
      <c r="I21" s="1" t="s">
        <v>78</v>
      </c>
      <c r="J21" s="52">
        <f>J19/J18</f>
        <v>0.2104338050286407</v>
      </c>
      <c r="K21" s="52">
        <f t="shared" ref="K21:N21" si="9">K19/K18</f>
        <v>0.23722339096186404</v>
      </c>
      <c r="L21" s="52">
        <f t="shared" si="9"/>
        <v>0.22379579154961027</v>
      </c>
      <c r="M21" s="52">
        <f t="shared" si="9"/>
        <v>0.19752874193462339</v>
      </c>
      <c r="N21" s="52">
        <f t="shared" si="9"/>
        <v>0.1957348235313606</v>
      </c>
    </row>
    <row r="22" spans="1:15" x14ac:dyDescent="0.3">
      <c r="A22" s="1" t="s">
        <v>80</v>
      </c>
      <c r="B22" s="52">
        <f>B20/B18</f>
        <v>0.17777849007415006</v>
      </c>
      <c r="C22" s="52">
        <f t="shared" ref="C22:F22" si="10">C20/C18</f>
        <v>0.18917339514770193</v>
      </c>
      <c r="D22" s="52">
        <f t="shared" si="10"/>
        <v>0.17868900077459335</v>
      </c>
      <c r="E22" s="52">
        <f t="shared" si="10"/>
        <v>0.16129204913426284</v>
      </c>
      <c r="F22" s="52">
        <f t="shared" si="10"/>
        <v>0.16057386397742962</v>
      </c>
      <c r="I22" s="1" t="s">
        <v>80</v>
      </c>
      <c r="J22" s="52">
        <f>J20/J18</f>
        <v>0.13566444797373253</v>
      </c>
      <c r="K22" s="52">
        <f t="shared" ref="K22:N22" si="11">K20/K18</f>
        <v>0.15328767339966157</v>
      </c>
      <c r="L22" s="52">
        <f t="shared" si="11"/>
        <v>0.14697947868797565</v>
      </c>
      <c r="M22" s="52">
        <f t="shared" si="11"/>
        <v>0.13071467313181129</v>
      </c>
      <c r="N22" s="52">
        <f t="shared" si="11"/>
        <v>0.12658032132394956</v>
      </c>
    </row>
    <row r="23" spans="1:15" x14ac:dyDescent="0.3">
      <c r="A23" s="1" t="s">
        <v>66</v>
      </c>
      <c r="B23" s="42">
        <f>'[10]Financial Ratios'!K8</f>
        <v>0.25270335945568312</v>
      </c>
      <c r="C23" s="42">
        <f>'[10]Financial Ratios'!L8</f>
        <v>0.27236268282080406</v>
      </c>
      <c r="D23" s="42">
        <f>'[10]Financial Ratios'!M8</f>
        <v>0.29040506694291823</v>
      </c>
      <c r="E23" s="42">
        <f>'[10]Financial Ratios'!N8</f>
        <v>0.31819231708363305</v>
      </c>
      <c r="F23" s="42">
        <f>'[10]Financial Ratios'!O8</f>
        <v>0.32571108513539843</v>
      </c>
      <c r="I23" s="1" t="s">
        <v>66</v>
      </c>
      <c r="J23" s="42">
        <f>'[10]Financial Ratios'!AI8</f>
        <v>0.28130839392425661</v>
      </c>
      <c r="K23" s="42">
        <f>'[10]Financial Ratios'!AJ8</f>
        <v>0.30493541637167454</v>
      </c>
      <c r="L23" s="42">
        <f>'[10]Financial Ratios'!AK8</f>
        <v>0.36574074074074092</v>
      </c>
      <c r="M23" s="42">
        <f>'[10]Financial Ratios'!AL8</f>
        <v>0.28552931008251303</v>
      </c>
      <c r="N23" s="42">
        <f>'[10]Financial Ratios'!AM8</f>
        <v>0.25034948232929954</v>
      </c>
    </row>
    <row r="24" spans="1:15" x14ac:dyDescent="0.3">
      <c r="A24" s="1" t="s">
        <v>86</v>
      </c>
      <c r="B24" s="41">
        <f>'[10]Financial Ratios'!K18</f>
        <v>7.0363282911123259E-2</v>
      </c>
      <c r="C24" s="41">
        <f>'[10]Financial Ratios'!L18</f>
        <v>6.9352191919981251E-2</v>
      </c>
      <c r="D24" s="41">
        <f>'[10]Financial Ratios'!M18</f>
        <v>0.11534805112496038</v>
      </c>
      <c r="E24" s="41">
        <f>'[10]Financial Ratios'!N18</f>
        <v>0.14409921498779601</v>
      </c>
      <c r="F24" s="41">
        <f>'[10]Financial Ratios'!O18</f>
        <v>0.11706853867806152</v>
      </c>
      <c r="I24" s="1" t="s">
        <v>86</v>
      </c>
      <c r="J24" s="52">
        <f>'[10]Financial Ratios'!AI18</f>
        <v>5.9203344988991878E-3</v>
      </c>
      <c r="K24" s="52">
        <f>'[10]Financial Ratios'!AJ18</f>
        <v>5.6657223796033997E-3</v>
      </c>
      <c r="L24" s="52">
        <f>'[10]Financial Ratios'!AK18</f>
        <v>3.6311735197195809E-3</v>
      </c>
      <c r="M24" s="52">
        <f>'[10]Financial Ratios'!AL18</f>
        <v>7.5485565569425048E-3</v>
      </c>
      <c r="N24" s="52">
        <f>'[10]Financial Ratios'!AM18</f>
        <v>2.0323173411097351E-3</v>
      </c>
    </row>
    <row r="26" spans="1:15" x14ac:dyDescent="0.3">
      <c r="A26" s="49" t="s">
        <v>82</v>
      </c>
      <c r="B26" s="50" t="s">
        <v>21</v>
      </c>
      <c r="C26" s="50" t="s">
        <v>22</v>
      </c>
      <c r="D26" s="50" t="s">
        <v>23</v>
      </c>
      <c r="E26" s="50" t="s">
        <v>24</v>
      </c>
      <c r="F26" s="50" t="s">
        <v>25</v>
      </c>
      <c r="G26" s="50" t="s">
        <v>26</v>
      </c>
      <c r="I26" s="49" t="s">
        <v>82</v>
      </c>
      <c r="J26" s="50" t="s">
        <v>21</v>
      </c>
      <c r="K26" s="50" t="s">
        <v>22</v>
      </c>
      <c r="L26" s="50" t="s">
        <v>23</v>
      </c>
      <c r="M26" s="50" t="s">
        <v>24</v>
      </c>
      <c r="N26" s="50" t="s">
        <v>25</v>
      </c>
      <c r="O26" s="50" t="s">
        <v>26</v>
      </c>
    </row>
    <row r="27" spans="1:15" x14ac:dyDescent="0.3">
      <c r="A27" s="1" t="s">
        <v>14</v>
      </c>
      <c r="B27" s="41">
        <f>[10]Valuation!N3</f>
        <v>186951.56805154632</v>
      </c>
      <c r="C27" s="41">
        <f>[10]Valuation!O3</f>
        <v>209801.84162874095</v>
      </c>
      <c r="D27" s="41">
        <f>[10]Valuation!P3</f>
        <v>235445.00433756711</v>
      </c>
      <c r="E27" s="41">
        <f>[10]Valuation!Q3</f>
        <v>264222.41881752381</v>
      </c>
      <c r="F27" s="41">
        <f>[10]Valuation!R3</f>
        <v>296517.17097249819</v>
      </c>
      <c r="G27" s="41">
        <f>[10]Valuation!S3</f>
        <v>332759.16962312855</v>
      </c>
      <c r="I27" s="1" t="s">
        <v>14</v>
      </c>
      <c r="J27" s="41">
        <f>[10]Valuation!AR3</f>
        <v>45795.017891588599</v>
      </c>
      <c r="K27" s="41">
        <f>[10]Valuation!AS3</f>
        <v>57903.019243845614</v>
      </c>
      <c r="L27" s="41">
        <f>[10]Valuation!AT3</f>
        <v>73212.322910107949</v>
      </c>
      <c r="M27" s="41">
        <f>[10]Valuation!AU3</f>
        <v>92569.339144843034</v>
      </c>
      <c r="N27" s="41">
        <f>[10]Valuation!AV3</f>
        <v>117044.26535180857</v>
      </c>
      <c r="O27" s="41">
        <f>[10]Valuation!AW3</f>
        <v>147990.25442224686</v>
      </c>
    </row>
    <row r="28" spans="1:15" x14ac:dyDescent="0.3">
      <c r="A28" s="1" t="s">
        <v>77</v>
      </c>
      <c r="B28" s="41">
        <f>[10]Valuation!N4+[10]Valuation!N8</f>
        <v>47680.921468136141</v>
      </c>
      <c r="C28" s="41">
        <f>[10]Valuation!O4+[10]Valuation!O8</f>
        <v>53074.016757719248</v>
      </c>
      <c r="D28" s="41">
        <f>[10]Valuation!P4+[10]Valuation!P8</f>
        <v>59077.329370377105</v>
      </c>
      <c r="E28" s="41">
        <f>[10]Valuation!Q4+[10]Valuation!Q8</f>
        <v>65759.927280933291</v>
      </c>
      <c r="F28" s="41">
        <f>[10]Valuation!R4+[10]Valuation!R8</f>
        <v>73198.698480865889</v>
      </c>
      <c r="G28" s="41">
        <f>[10]Valuation!S4+[10]Valuation!S8</f>
        <v>81479.236645720812</v>
      </c>
      <c r="I28" s="1" t="s">
        <v>77</v>
      </c>
      <c r="J28" s="41">
        <f>[10]Valuation!AR4+[10]Valuation!AR8</f>
        <v>8834.8031831049666</v>
      </c>
      <c r="K28" s="41">
        <f>[10]Valuation!AS4+[10]Valuation!AS8</f>
        <v>11010.078432596756</v>
      </c>
      <c r="L28" s="41">
        <f>[10]Valuation!AT4+[10]Valuation!AT8</f>
        <v>13720.942877088892</v>
      </c>
      <c r="M28" s="41">
        <f>[10]Valuation!AU4+[10]Valuation!AU8</f>
        <v>17099.267621207924</v>
      </c>
      <c r="N28" s="41">
        <f>[10]Valuation!AV4+[10]Valuation!AV8</f>
        <v>21309.3926810798</v>
      </c>
      <c r="O28" s="41">
        <f>[10]Valuation!AW4+[10]Valuation!AW8</f>
        <v>26556.121387791103</v>
      </c>
    </row>
    <row r="29" spans="1:15" x14ac:dyDescent="0.3">
      <c r="A29" s="1" t="s">
        <v>79</v>
      </c>
      <c r="B29" s="41">
        <f>[10]Valuation!N7</f>
        <v>31765.088206654531</v>
      </c>
      <c r="C29" s="41">
        <f>[10]Valuation!O7</f>
        <v>35381.893147364572</v>
      </c>
      <c r="D29" s="41">
        <f>[10]Valuation!P7</f>
        <v>39410.511141891475</v>
      </c>
      <c r="E29" s="41">
        <f>[10]Valuation!Q7</f>
        <v>43897.83163936896</v>
      </c>
      <c r="F29" s="41">
        <f>[10]Valuation!R7</f>
        <v>48896.082968841612</v>
      </c>
      <c r="G29" s="41">
        <f>[10]Valuation!S7</f>
        <v>54463.440229509506</v>
      </c>
      <c r="I29" s="1" t="s">
        <v>79</v>
      </c>
      <c r="J29" s="41">
        <f>[10]Valuation!AR7</f>
        <v>5861.0242720854794</v>
      </c>
      <c r="K29" s="41">
        <f>[10]Valuation!AS7</f>
        <v>7304.5006204761303</v>
      </c>
      <c r="L29" s="41">
        <f>[10]Valuation!AT7</f>
        <v>9103.4820600650819</v>
      </c>
      <c r="M29" s="41">
        <f>[10]Valuation!AU7</f>
        <v>11345.523797426256</v>
      </c>
      <c r="N29" s="41">
        <f>[10]Valuation!AV7</f>
        <v>14139.744483337321</v>
      </c>
      <c r="O29" s="41">
        <f>[10]Valuation!AW7</f>
        <v>17622.136943507452</v>
      </c>
    </row>
    <row r="30" spans="1:15" x14ac:dyDescent="0.3">
      <c r="A30" s="1" t="s">
        <v>78</v>
      </c>
      <c r="B30" s="52">
        <f>B28/B27</f>
        <v>0.25504424469437748</v>
      </c>
      <c r="C30" s="52">
        <f t="shared" ref="C30:G30" si="12">C28/C27</f>
        <v>0.25297212048137041</v>
      </c>
      <c r="D30" s="52">
        <f t="shared" si="12"/>
        <v>0.25091774419505425</v>
      </c>
      <c r="E30" s="52">
        <f t="shared" si="12"/>
        <v>0.24888095255213047</v>
      </c>
      <c r="F30" s="52">
        <f t="shared" si="12"/>
        <v>0.24686158390353397</v>
      </c>
      <c r="G30" s="52">
        <f t="shared" si="12"/>
        <v>0.24485947821663745</v>
      </c>
      <c r="I30" s="1" t="s">
        <v>78</v>
      </c>
      <c r="J30" s="52">
        <f>J28/J27</f>
        <v>0.19292061865812044</v>
      </c>
      <c r="K30" s="52">
        <f t="shared" ref="K30:O30" si="13">K28/K27</f>
        <v>0.19014687966840335</v>
      </c>
      <c r="L30" s="52">
        <f t="shared" si="13"/>
        <v>0.18741302463433421</v>
      </c>
      <c r="M30" s="52">
        <f t="shared" si="13"/>
        <v>0.18471847999749397</v>
      </c>
      <c r="N30" s="52">
        <f t="shared" si="13"/>
        <v>0.18206268044853449</v>
      </c>
      <c r="O30" s="52">
        <f t="shared" si="13"/>
        <v>0.17944506880852429</v>
      </c>
    </row>
    <row r="31" spans="1:15" x14ac:dyDescent="0.3">
      <c r="A31" s="1" t="s">
        <v>80</v>
      </c>
      <c r="B31" s="52">
        <f>B29/B27</f>
        <v>0.16991078779235622</v>
      </c>
      <c r="C31" s="52">
        <f t="shared" ref="C31:G31" si="14">C29/C27</f>
        <v>0.16864434016730562</v>
      </c>
      <c r="D31" s="52">
        <f t="shared" si="14"/>
        <v>0.16738733214057502</v>
      </c>
      <c r="E31" s="52">
        <f t="shared" si="14"/>
        <v>0.16613969335314238</v>
      </c>
      <c r="F31" s="52">
        <f t="shared" si="14"/>
        <v>0.16490135397041372</v>
      </c>
      <c r="G31" s="52">
        <f t="shared" si="14"/>
        <v>0.16367224467831465</v>
      </c>
      <c r="I31" s="1" t="s">
        <v>80</v>
      </c>
      <c r="J31" s="52">
        <f>J29/J27</f>
        <v>0.1279838843159837</v>
      </c>
      <c r="K31" s="52">
        <f t="shared" ref="K31:O31" si="15">K29/K27</f>
        <v>0.12615060001819353</v>
      </c>
      <c r="L31" s="52">
        <f t="shared" si="15"/>
        <v>0.12434357630262027</v>
      </c>
      <c r="M31" s="52">
        <f t="shared" si="15"/>
        <v>0.12256243700383278</v>
      </c>
      <c r="N31" s="52">
        <f t="shared" si="15"/>
        <v>0.12080681134472031</v>
      </c>
      <c r="O31" s="52">
        <f t="shared" si="15"/>
        <v>0.11907633385930835</v>
      </c>
    </row>
    <row r="33" spans="1:14" x14ac:dyDescent="0.3">
      <c r="A33" s="49" t="s">
        <v>60</v>
      </c>
      <c r="B33" s="50" t="s">
        <v>16</v>
      </c>
      <c r="C33" s="50" t="s">
        <v>17</v>
      </c>
      <c r="D33" s="50" t="s">
        <v>18</v>
      </c>
      <c r="E33" s="50" t="s">
        <v>19</v>
      </c>
      <c r="F33" s="50" t="s">
        <v>20</v>
      </c>
    </row>
    <row r="34" spans="1:14" x14ac:dyDescent="0.3">
      <c r="A34" s="1" t="s">
        <v>14</v>
      </c>
      <c r="B34" s="41">
        <f>'[10]Income Statement'!P5</f>
        <v>71265</v>
      </c>
      <c r="C34" s="41">
        <f>'[10]Income Statement'!Q5</f>
        <v>76306</v>
      </c>
      <c r="D34" s="41">
        <f>'[10]Income Statement'!R5</f>
        <v>86718</v>
      </c>
      <c r="E34" s="41">
        <f>'[10]Income Statement'!S5</f>
        <v>102814</v>
      </c>
      <c r="F34" s="41">
        <f>'[10]Income Statement'!T5</f>
        <v>111408</v>
      </c>
      <c r="L34" s="1" t="s">
        <v>93</v>
      </c>
      <c r="M34" s="52">
        <f>(G13-B13)/B13</f>
        <v>0.47625775965903777</v>
      </c>
      <c r="N34" s="1">
        <f>(G13/B13)^(1/6)-1</f>
        <v>6.7071937951854954E-2</v>
      </c>
    </row>
    <row r="35" spans="1:14" x14ac:dyDescent="0.3">
      <c r="A35" s="1" t="s">
        <v>77</v>
      </c>
      <c r="B35" s="41">
        <f>'[10]Income Statement'!P15+'[10]Income Statement'!P10+'[10]Income Statement'!P11</f>
        <v>17905</v>
      </c>
      <c r="C35" s="41">
        <f>'[10]Income Statement'!Q15+'[10]Income Statement'!Q10+'[10]Income Statement'!Q11</f>
        <v>20975</v>
      </c>
      <c r="D35" s="41">
        <f>'[10]Income Statement'!R15+'[10]Income Statement'!R10+'[10]Income Statement'!R11</f>
        <v>29785</v>
      </c>
      <c r="E35" s="41">
        <f>'[10]Income Statement'!S15+'[10]Income Statement'!S10+'[10]Income Statement'!S11</f>
        <v>34791</v>
      </c>
      <c r="F35" s="41">
        <f>'[10]Income Statement'!T15+'[10]Income Statement'!T10+'[10]Income Statement'!T11</f>
        <v>36098</v>
      </c>
      <c r="L35" s="1" t="s">
        <v>29</v>
      </c>
      <c r="M35" s="52">
        <f>(G29-B29)/B29</f>
        <v>0.71456914821662143</v>
      </c>
      <c r="N35" s="1">
        <f>(O13/J13)^(1/6)-1</f>
        <v>3.5158679947024707E-2</v>
      </c>
    </row>
    <row r="36" spans="1:14" x14ac:dyDescent="0.3">
      <c r="A36" s="1" t="s">
        <v>79</v>
      </c>
      <c r="B36" s="41">
        <f>'[10]Income Statement'!P20</f>
        <v>11057</v>
      </c>
      <c r="C36" s="41">
        <f>'[10]Income Statement'!Q20</f>
        <v>11169</v>
      </c>
      <c r="D36" s="41">
        <f>'[10]Income Statement'!R20</f>
        <v>13523</v>
      </c>
      <c r="E36" s="41">
        <f>'[10]Income Statement'!S20</f>
        <v>14845</v>
      </c>
      <c r="F36" s="41">
        <f>'[10]Income Statement'!T20</f>
        <v>15710</v>
      </c>
      <c r="L36" s="1" t="s">
        <v>241</v>
      </c>
      <c r="M36" s="52">
        <f>(G45-B45)/B45</f>
        <v>1.4539178460476359</v>
      </c>
      <c r="N36" s="1">
        <f>(G29/B29)^(1/6)-1</f>
        <v>9.4021442523906096E-2</v>
      </c>
    </row>
    <row r="37" spans="1:14" x14ac:dyDescent="0.3">
      <c r="A37" s="1" t="s">
        <v>78</v>
      </c>
      <c r="B37" s="52">
        <f>B35/B34</f>
        <v>0.25124535185574964</v>
      </c>
      <c r="C37" s="52">
        <f t="shared" ref="C37:F37" si="16">C35/C34</f>
        <v>0.27488008806646924</v>
      </c>
      <c r="D37" s="52">
        <f t="shared" si="16"/>
        <v>0.34346963721488044</v>
      </c>
      <c r="E37" s="52">
        <f t="shared" si="16"/>
        <v>0.33838776820277394</v>
      </c>
      <c r="F37" s="52">
        <f t="shared" si="16"/>
        <v>0.32401622863708174</v>
      </c>
      <c r="L37" s="1" t="s">
        <v>31</v>
      </c>
      <c r="M37" s="52">
        <f>(O13-J13)/J13</f>
        <v>0.23038653184132291</v>
      </c>
      <c r="N37" s="1">
        <f>(O29/J29)^(1/6)-1</f>
        <v>0.20138122891335697</v>
      </c>
    </row>
    <row r="38" spans="1:14" x14ac:dyDescent="0.3">
      <c r="A38" s="1" t="s">
        <v>80</v>
      </c>
      <c r="B38" s="52">
        <f>B36/B34</f>
        <v>0.1551533010594261</v>
      </c>
      <c r="C38" s="52">
        <f t="shared" ref="C38:F38" si="17">C36/C34</f>
        <v>0.14637118968364218</v>
      </c>
      <c r="D38" s="52">
        <f t="shared" si="17"/>
        <v>0.15594224959062708</v>
      </c>
      <c r="E38" s="52">
        <f t="shared" si="17"/>
        <v>0.14438695119341724</v>
      </c>
      <c r="F38" s="52">
        <f t="shared" si="17"/>
        <v>0.14101321269567715</v>
      </c>
      <c r="L38" s="1" t="s">
        <v>242</v>
      </c>
      <c r="M38" s="52">
        <f>(O29-J29)/J29</f>
        <v>2.006665068328938</v>
      </c>
      <c r="N38" s="1">
        <f>(G45/B45)^(1/6)-1</f>
        <v>0.16138622286296567</v>
      </c>
    </row>
    <row r="39" spans="1:14" x14ac:dyDescent="0.3">
      <c r="A39" s="1" t="s">
        <v>66</v>
      </c>
      <c r="B39" s="42">
        <f>'[10]Financial Ratios'!S8</f>
        <v>0.21502887925166761</v>
      </c>
      <c r="C39" s="42">
        <f>'[10]Financial Ratios'!T8</f>
        <v>0.20033541698429638</v>
      </c>
      <c r="D39" s="42">
        <f>'[10]Financial Ratios'!U8</f>
        <v>0.22152873337264925</v>
      </c>
      <c r="E39" s="42">
        <f>'[10]Financial Ratios'!V8</f>
        <v>0.2330382091614078</v>
      </c>
      <c r="F39" s="42">
        <f>'[10]Financial Ratios'!W8</f>
        <v>0.23505824087858815</v>
      </c>
      <c r="M39" s="52">
        <f>AVERAGE(M34:M38)</f>
        <v>0.97635927081871121</v>
      </c>
      <c r="N39" s="52">
        <f>AVERAGE(N34:N38)</f>
        <v>0.11180390243982168</v>
      </c>
    </row>
    <row r="40" spans="1:14" x14ac:dyDescent="0.3">
      <c r="A40" s="1" t="s">
        <v>86</v>
      </c>
      <c r="B40" s="41">
        <f>'[10]Financial Ratios'!S18</f>
        <v>9.1266214192645023E-2</v>
      </c>
      <c r="C40" s="41">
        <f>'[10]Financial Ratios'!T18</f>
        <v>6.3712925668253387E-2</v>
      </c>
      <c r="D40" s="41">
        <f>'[10]Financial Ratios'!U18</f>
        <v>6.4267974067025765E-2</v>
      </c>
      <c r="E40" s="41">
        <f>'[10]Financial Ratios'!V18</f>
        <v>3.4420012844429491E-2</v>
      </c>
      <c r="F40" s="41">
        <f>'[10]Financial Ratios'!W18</f>
        <v>3.4084750479705876E-2</v>
      </c>
    </row>
    <row r="42" spans="1:14" x14ac:dyDescent="0.3">
      <c r="A42" s="49" t="s">
        <v>82</v>
      </c>
      <c r="B42" s="50" t="s">
        <v>21</v>
      </c>
      <c r="C42" s="50" t="s">
        <v>22</v>
      </c>
      <c r="D42" s="50" t="s">
        <v>23</v>
      </c>
      <c r="E42" s="50" t="s">
        <v>24</v>
      </c>
      <c r="F42" s="50" t="s">
        <v>25</v>
      </c>
      <c r="G42" s="50" t="s">
        <v>26</v>
      </c>
    </row>
    <row r="43" spans="1:14" x14ac:dyDescent="0.3">
      <c r="A43" s="1" t="s">
        <v>14</v>
      </c>
      <c r="B43" s="41">
        <f>[10]Valuation!X3</f>
        <v>121821.62701082628</v>
      </c>
      <c r="C43" s="41">
        <f>[10]Valuation!Y3</f>
        <v>133208.64576659558</v>
      </c>
      <c r="D43" s="41">
        <f>[10]Valuation!Z3</f>
        <v>145660.04200053398</v>
      </c>
      <c r="E43" s="41">
        <f>[10]Valuation!AA3</f>
        <v>159275.30614471438</v>
      </c>
      <c r="F43" s="41">
        <f>[10]Valuation!AB3</f>
        <v>174163.22828878145</v>
      </c>
      <c r="G43" s="41">
        <f>[10]Valuation!AC3</f>
        <v>190442.76744576081</v>
      </c>
    </row>
    <row r="44" spans="1:14" x14ac:dyDescent="0.3">
      <c r="A44" s="1" t="s">
        <v>77</v>
      </c>
      <c r="B44" s="41">
        <f>[10]Valuation!X4+[10]Valuation!X8</f>
        <v>46877.830251956198</v>
      </c>
      <c r="C44" s="41">
        <f>[10]Valuation!Y4+[10]Valuation!Y8</f>
        <v>55419.295391352534</v>
      </c>
      <c r="D44" s="41">
        <f>[10]Valuation!Z4+[10]Valuation!Z8</f>
        <v>65613.038847030009</v>
      </c>
      <c r="E44" s="41">
        <f>[10]Valuation!AA4+[10]Valuation!AA8</f>
        <v>77782.886112855238</v>
      </c>
      <c r="F44" s="41">
        <f>[10]Valuation!AB4+[10]Valuation!AB8</f>
        <v>92316.301943026367</v>
      </c>
      <c r="G44" s="41">
        <f>[10]Valuation!AC4+[10]Valuation!AC8</f>
        <v>109676.90402297708</v>
      </c>
    </row>
    <row r="45" spans="1:14" x14ac:dyDescent="0.3">
      <c r="A45" s="1" t="s">
        <v>79</v>
      </c>
      <c r="B45" s="41">
        <f>[10]Valuation!X7</f>
        <v>31901.550083251055</v>
      </c>
      <c r="C45" s="41">
        <f>[10]Valuation!Y7</f>
        <v>38175.416991200844</v>
      </c>
      <c r="D45" s="41">
        <f>[10]Valuation!Z7</f>
        <v>45683.123818400607</v>
      </c>
      <c r="E45" s="41">
        <f>[10]Valuation!AA7</f>
        <v>54667.321703083086</v>
      </c>
      <c r="F45" s="41">
        <f>[10]Valuation!AB7</f>
        <v>65418.382378322407</v>
      </c>
      <c r="G45" s="41">
        <f>[10]Valuation!AC7</f>
        <v>78283.783065872209</v>
      </c>
    </row>
    <row r="46" spans="1:14" x14ac:dyDescent="0.3">
      <c r="A46" s="1" t="s">
        <v>78</v>
      </c>
      <c r="B46" s="52">
        <f>B44/B43</f>
        <v>0.38480712663433864</v>
      </c>
      <c r="C46" s="52">
        <f t="shared" ref="C46:G46" si="18">C44/C43</f>
        <v>0.4160337722256906</v>
      </c>
      <c r="D46" s="52">
        <f t="shared" si="18"/>
        <v>0.45045324679220861</v>
      </c>
      <c r="E46" s="52">
        <f t="shared" si="18"/>
        <v>0.48835496220728186</v>
      </c>
      <c r="F46" s="52">
        <f t="shared" si="18"/>
        <v>0.53005621709053286</v>
      </c>
      <c r="G46" s="52">
        <f t="shared" si="18"/>
        <v>0.5759048006599341</v>
      </c>
    </row>
    <row r="47" spans="1:14" x14ac:dyDescent="0.3">
      <c r="A47" s="1" t="s">
        <v>80</v>
      </c>
      <c r="B47" s="52">
        <f>B45/B43</f>
        <v>0.26187099011915155</v>
      </c>
      <c r="C47" s="52">
        <f t="shared" ref="C47:G47" si="19">C45/C43</f>
        <v>0.28658362804836801</v>
      </c>
      <c r="D47" s="52">
        <f t="shared" si="19"/>
        <v>0.31362838559550282</v>
      </c>
      <c r="E47" s="52">
        <f t="shared" si="19"/>
        <v>0.34322534375425051</v>
      </c>
      <c r="F47" s="52">
        <f t="shared" si="19"/>
        <v>0.37561535245460459</v>
      </c>
      <c r="G47" s="52">
        <f t="shared" si="19"/>
        <v>0.41106199051727116</v>
      </c>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BBDEB-22FD-4D58-A362-F1139FC0B685}">
  <dimension ref="A1:S44"/>
  <sheetViews>
    <sheetView topLeftCell="F1" workbookViewId="0">
      <selection activeCell="P5" sqref="P5"/>
    </sheetView>
  </sheetViews>
  <sheetFormatPr defaultRowHeight="14.4" x14ac:dyDescent="0.3"/>
  <cols>
    <col min="1" max="1" width="15.21875" style="1" bestFit="1" customWidth="1"/>
    <col min="2" max="7" width="10.88671875" style="1" bestFit="1" customWidth="1"/>
    <col min="8" max="8" width="8.88671875" style="1"/>
    <col min="9" max="9" width="15.21875" style="1" bestFit="1" customWidth="1"/>
    <col min="10" max="15" width="10.88671875" style="1" bestFit="1" customWidth="1"/>
    <col min="16" max="16384" width="8.88671875" style="1"/>
  </cols>
  <sheetData>
    <row r="1" spans="1:19" x14ac:dyDescent="0.3">
      <c r="A1" s="49" t="s">
        <v>60</v>
      </c>
      <c r="B1" s="50" t="s">
        <v>16</v>
      </c>
      <c r="C1" s="50" t="s">
        <v>17</v>
      </c>
      <c r="D1" s="50" t="s">
        <v>18</v>
      </c>
      <c r="E1" s="50" t="s">
        <v>19</v>
      </c>
      <c r="F1" s="50" t="s">
        <v>20</v>
      </c>
      <c r="G1" s="50" t="s">
        <v>21</v>
      </c>
      <c r="I1" s="49" t="s">
        <v>60</v>
      </c>
      <c r="J1" s="50" t="s">
        <v>16</v>
      </c>
      <c r="K1" s="50" t="s">
        <v>17</v>
      </c>
      <c r="L1" s="50" t="s">
        <v>18</v>
      </c>
      <c r="M1" s="50" t="s">
        <v>19</v>
      </c>
      <c r="N1" s="50" t="s">
        <v>20</v>
      </c>
      <c r="O1" s="2"/>
    </row>
    <row r="2" spans="1:19" x14ac:dyDescent="0.3">
      <c r="A2" s="1" t="s">
        <v>14</v>
      </c>
      <c r="B2" s="41">
        <f>'[11]Income Statement'!B6</f>
        <v>78994.399999999994</v>
      </c>
      <c r="C2" s="41">
        <f>'[11]Income Statement'!C6</f>
        <v>73308.3</v>
      </c>
      <c r="D2" s="41">
        <f>'[11]Income Statement'!D6</f>
        <v>90074.5</v>
      </c>
      <c r="E2" s="41">
        <f>'[11]Income Statement'!E6</f>
        <v>119712</v>
      </c>
      <c r="F2" s="41">
        <f>'[11]Income Statement'!F6</f>
        <v>144787.29999999999</v>
      </c>
      <c r="G2" s="41">
        <f>'[11]Income Statement'!G6</f>
        <v>156650.5</v>
      </c>
      <c r="I2" s="1" t="s">
        <v>14</v>
      </c>
      <c r="J2" s="54">
        <f>'[11]Income Statement'!Z6</f>
        <v>18901.140000000003</v>
      </c>
      <c r="K2" s="54">
        <f>'[11]Income Statement'!AA6</f>
        <v>19468.04</v>
      </c>
      <c r="L2" s="54">
        <f>'[11]Income Statement'!AB6</f>
        <v>24388.18</v>
      </c>
      <c r="M2" s="54">
        <f>'[11]Income Statement'!AC6</f>
        <v>32111.99</v>
      </c>
      <c r="N2" s="54">
        <f>'[11]Income Statement'!AD6</f>
        <v>39250.559999999998</v>
      </c>
    </row>
    <row r="3" spans="1:19" x14ac:dyDescent="0.3">
      <c r="A3" s="1" t="s">
        <v>94</v>
      </c>
      <c r="B3" s="52">
        <f>'[11]Financial Ratios'!C9</f>
        <v>0.14228654507005015</v>
      </c>
      <c r="C3" s="52">
        <f>'[11]Financial Ratios'!D9</f>
        <v>0.1201742170181322</v>
      </c>
      <c r="D3" s="52">
        <f>'[11]Financial Ratios'!E9</f>
        <v>8.618608895299211E-2</v>
      </c>
      <c r="E3" s="52">
        <f>'[11]Financial Ratios'!F9</f>
        <v>0.11342734153658245</v>
      </c>
      <c r="F3" s="52">
        <f>'[11]Financial Ratios'!G9</f>
        <v>0.15011212573496818</v>
      </c>
      <c r="G3" s="52">
        <f>'[11]Financial Ratios'!H9</f>
        <v>0.15529455219025973</v>
      </c>
      <c r="I3" s="1" t="s">
        <v>94</v>
      </c>
      <c r="J3" s="55">
        <f>'[11]Financial Ratios'!AD9</f>
        <v>0.12334032386331402</v>
      </c>
      <c r="K3" s="55">
        <f>'[11]Financial Ratios'!AE9</f>
        <v>0.11765981045084632</v>
      </c>
      <c r="L3" s="55">
        <f>'[11]Financial Ratios'!AF9</f>
        <v>0.11445142763528766</v>
      </c>
      <c r="M3" s="55">
        <f>'[11]Financial Ratios'!AG9</f>
        <v>0.13152503018860021</v>
      </c>
      <c r="N3" s="55">
        <f>'[11]Financial Ratios'!AH9</f>
        <v>0.14431645222321057</v>
      </c>
    </row>
    <row r="4" spans="1:19" x14ac:dyDescent="0.3">
      <c r="A4" s="1" t="s">
        <v>80</v>
      </c>
      <c r="B4" s="52">
        <f>'[11]Financial Ratios'!C8</f>
        <v>7.5040972772931452E-2</v>
      </c>
      <c r="C4" s="52">
        <f>'[11]Financial Ratios'!D8</f>
        <v>6.2369976695276538E-2</v>
      </c>
      <c r="D4" s="52">
        <f>'[11]Financial Ratios'!E8</f>
        <v>4.3920624749518314E-2</v>
      </c>
      <c r="E4" s="52">
        <f>'[11]Financial Ratios'!F8</f>
        <v>6.9838472484356262E-2</v>
      </c>
      <c r="F4" s="52">
        <f>'[11]Financial Ratios'!G8</f>
        <v>9.7891769393009143E-2</v>
      </c>
      <c r="G4" s="52">
        <f>'[11]Financial Ratios'!H8</f>
        <v>9.6166356108801712E-2</v>
      </c>
      <c r="I4" s="1" t="s">
        <v>80</v>
      </c>
      <c r="J4" s="55">
        <f>'[11]Financial Ratios'!AD8</f>
        <v>3.3137552515185104E-2</v>
      </c>
      <c r="K4" s="55">
        <f>'[11]Financial Ratios'!AE8</f>
        <v>3.0599119913577555E-2</v>
      </c>
      <c r="L4" s="55">
        <f>'[11]Financial Ratios'!AF8</f>
        <v>3.1074127161592208E-2</v>
      </c>
      <c r="M4" s="55">
        <f>'[11]Financial Ratios'!AG8</f>
        <v>4.1554713690721772E-2</v>
      </c>
      <c r="N4" s="55">
        <f>'[11]Financial Ratios'!AH8</f>
        <v>4.3080372995196785E-2</v>
      </c>
    </row>
    <row r="5" spans="1:19" x14ac:dyDescent="0.3">
      <c r="A5" s="1" t="s">
        <v>66</v>
      </c>
      <c r="B5" s="52">
        <f>'[11]Financial Ratios'!C11</f>
        <v>0.11485630823633167</v>
      </c>
      <c r="C5" s="52">
        <f>'[11]Financial Ratios'!D11</f>
        <v>8.3600949322483936E-2</v>
      </c>
      <c r="D5" s="52">
        <f>'[11]Financial Ratios'!E11</f>
        <v>7.0111234604715092E-2</v>
      </c>
      <c r="E5" s="52">
        <f>'[11]Financial Ratios'!F11</f>
        <v>0.13288278446965829</v>
      </c>
      <c r="F5" s="52">
        <f>'[11]Financial Ratios'!G11</f>
        <v>0.15728727584482374</v>
      </c>
      <c r="G5" s="52">
        <f>'[11]Financial Ratios'!H11</f>
        <v>0.14838585511240673</v>
      </c>
      <c r="I5" s="1" t="s">
        <v>66</v>
      </c>
      <c r="J5" s="55">
        <f>'[11]Financial Ratios'!AD11</f>
        <v>0.17335916337315257</v>
      </c>
      <c r="K5" s="55">
        <f>'[11]Financial Ratios'!AE11</f>
        <v>0.14100334321190486</v>
      </c>
      <c r="L5" s="55">
        <f>'[11]Financial Ratios'!AF11</f>
        <v>0.14977607406278601</v>
      </c>
      <c r="M5" s="55">
        <f>'[11]Financial Ratios'!AG11</f>
        <v>0.22482296504987451</v>
      </c>
      <c r="N5" s="55">
        <f>'[11]Financial Ratios'!AH11</f>
        <v>0.22451674918886813</v>
      </c>
      <c r="R5" s="52">
        <f>(F12-B12)/B12</f>
        <v>0.92815311446720683</v>
      </c>
      <c r="S5" s="1">
        <f>(F12/B12)^(1/5)-1</f>
        <v>0.14032410182858612</v>
      </c>
    </row>
    <row r="6" spans="1:19" x14ac:dyDescent="0.3">
      <c r="A6" s="1" t="s">
        <v>86</v>
      </c>
      <c r="B6" s="53">
        <f>'[11]Financial Ratios'!C5</f>
        <v>2.2596607069885625E-3</v>
      </c>
      <c r="C6" s="53">
        <f>'[11]Financial Ratios'!D5</f>
        <v>9.363702510066553E-3</v>
      </c>
      <c r="D6" s="53">
        <f>'[11]Financial Ratios'!E5</f>
        <v>6.9017864404022876E-3</v>
      </c>
      <c r="E6" s="53">
        <f>'[11]Financial Ratios'!F5</f>
        <v>1.9675909068105055E-2</v>
      </c>
      <c r="F6" s="53">
        <f>'[11]Financial Ratios'!G5</f>
        <v>3.9413207592103069E-4</v>
      </c>
      <c r="G6" s="53">
        <f>'[11]Financial Ratios'!H5</f>
        <v>0</v>
      </c>
      <c r="I6" s="1" t="s">
        <v>86</v>
      </c>
      <c r="J6" s="54">
        <f>'[11]Financial Ratios'!AD5</f>
        <v>2.4984263288778363</v>
      </c>
      <c r="K6" s="54">
        <f>'[11]Financial Ratios'!AE5</f>
        <v>2.218409732092224</v>
      </c>
      <c r="L6" s="54">
        <f>'[11]Financial Ratios'!AF5</f>
        <v>3.0273599300219076</v>
      </c>
      <c r="M6" s="54">
        <f>'[11]Financial Ratios'!AG5</f>
        <v>3.6593534522872826</v>
      </c>
      <c r="N6" s="54">
        <f>'[11]Financial Ratios'!AH5</f>
        <v>3.3665623323317058</v>
      </c>
      <c r="R6" s="52">
        <f>(F27-B27)/B27</f>
        <v>0.8189362810898545</v>
      </c>
      <c r="S6" s="1">
        <f>(F27/B27)^(1/5)-1</f>
        <v>0.12710271810765383</v>
      </c>
    </row>
    <row r="7" spans="1:19" x14ac:dyDescent="0.3">
      <c r="A7" s="1" t="s">
        <v>95</v>
      </c>
      <c r="B7" s="53">
        <f>'[11]Financial Ratios'!C21</f>
        <v>47.051721255132215</v>
      </c>
      <c r="C7" s="53">
        <f>'[11]Financial Ratios'!D21</f>
        <v>59.938097884567632</v>
      </c>
      <c r="D7" s="53">
        <f>'[11]Financial Ratios'!E21</f>
        <v>66.570315783942817</v>
      </c>
      <c r="E7" s="53">
        <f>'[11]Financial Ratios'!F21</f>
        <v>38.064323100226474</v>
      </c>
      <c r="F7" s="53">
        <f>'[11]Financial Ratios'!G21</f>
        <v>24.981343615162089</v>
      </c>
      <c r="G7" s="53">
        <f>'[11]Financial Ratios'!H21</f>
        <v>22.469412840128527</v>
      </c>
      <c r="I7" s="1" t="s">
        <v>95</v>
      </c>
      <c r="J7" s="54">
        <f>'[11]Financial Ratios'!AD21</f>
        <v>75.133400433570642</v>
      </c>
      <c r="K7" s="54">
        <f>'[11]Financial Ratios'!AE21</f>
        <v>76.378919498479064</v>
      </c>
      <c r="L7" s="54">
        <f>'[11]Financial Ratios'!AF21</f>
        <v>64.791210762331886</v>
      </c>
      <c r="M7" s="54">
        <f>'[11]Financial Ratios'!AG21</f>
        <v>44.354835948237721</v>
      </c>
      <c r="N7" s="54">
        <f>'[11]Financial Ratios'!AH21</f>
        <v>33.577092807338346</v>
      </c>
      <c r="R7" s="52">
        <f>(F42-B42)/B42</f>
        <v>0.18700038098611421</v>
      </c>
      <c r="S7" s="1">
        <f>(F42/B42)^(1/5)-1</f>
        <v>3.4880423630343049E-2</v>
      </c>
    </row>
    <row r="8" spans="1:19" x14ac:dyDescent="0.3">
      <c r="R8" s="52">
        <f>(O12-J12)/J12</f>
        <v>1.6424121477997313</v>
      </c>
      <c r="S8" s="1">
        <f>(O12/J12)^(1/6)-1</f>
        <v>0.17579991973749132</v>
      </c>
    </row>
    <row r="9" spans="1:19" x14ac:dyDescent="0.3">
      <c r="A9" s="49" t="s">
        <v>82</v>
      </c>
      <c r="B9" s="50" t="s">
        <v>22</v>
      </c>
      <c r="C9" s="50" t="s">
        <v>23</v>
      </c>
      <c r="D9" s="50" t="s">
        <v>24</v>
      </c>
      <c r="E9" s="50" t="s">
        <v>25</v>
      </c>
      <c r="F9" s="50" t="s">
        <v>26</v>
      </c>
      <c r="I9" s="49" t="s">
        <v>82</v>
      </c>
      <c r="J9" s="50" t="s">
        <v>21</v>
      </c>
      <c r="K9" s="50" t="s">
        <v>22</v>
      </c>
      <c r="L9" s="50" t="s">
        <v>23</v>
      </c>
      <c r="M9" s="50" t="s">
        <v>24</v>
      </c>
      <c r="N9" s="50" t="s">
        <v>25</v>
      </c>
      <c r="O9" s="50" t="s">
        <v>26</v>
      </c>
      <c r="R9" s="52">
        <f>(N27-J27)/J27</f>
        <v>0.14075466242465218</v>
      </c>
      <c r="S9" s="1">
        <f>(N27/J27)^(1/5)-1</f>
        <v>2.6687916091452601E-2</v>
      </c>
    </row>
    <row r="10" spans="1:19" x14ac:dyDescent="0.3">
      <c r="A10" s="1" t="s">
        <v>96</v>
      </c>
      <c r="B10" s="41">
        <f>'[11]Valuation-FCFF'!D3</f>
        <v>161753.61646641558</v>
      </c>
      <c r="C10" s="41">
        <f>'[11]Valuation-FCFF'!E3</f>
        <v>180299.73731190301</v>
      </c>
      <c r="D10" s="41">
        <f>'[11]Valuation-FCFF'!F3</f>
        <v>200972.29344786098</v>
      </c>
      <c r="E10" s="41">
        <f>'[11]Valuation-FCFF'!G3</f>
        <v>224015.09472985068</v>
      </c>
      <c r="F10" s="41">
        <f>'[11]Valuation-FCFF'!H3</f>
        <v>249699.90542424237</v>
      </c>
      <c r="I10" s="1" t="s">
        <v>96</v>
      </c>
      <c r="J10" s="54">
        <f>'[11]Valuation-FCFF'!AE3</f>
        <v>45305.299316393772</v>
      </c>
      <c r="K10" s="54">
        <f>'[11]Valuation-FCFF'!AF3</f>
        <v>52435.401184118993</v>
      </c>
      <c r="L10" s="54">
        <f>'[11]Valuation-FCFF'!AG3</f>
        <v>60687.63122252695</v>
      </c>
      <c r="M10" s="54">
        <f>'[11]Valuation-FCFF'!AH3</f>
        <v>70238.588820350007</v>
      </c>
      <c r="N10" s="54">
        <f>'[11]Valuation-FCFF'!AI3</f>
        <v>81292.666398271307</v>
      </c>
      <c r="O10" s="54">
        <f>'[11]Valuation-FCFF'!AJ3</f>
        <v>94086.423447988884</v>
      </c>
      <c r="R10" s="52">
        <f>(O42-J42)/J42</f>
        <v>1.6250000000000107</v>
      </c>
      <c r="S10" s="1">
        <f>(O42/J42)^(1/6)-1</f>
        <v>0.17450503966162789</v>
      </c>
    </row>
    <row r="11" spans="1:19" x14ac:dyDescent="0.3">
      <c r="A11" s="1" t="s">
        <v>77</v>
      </c>
      <c r="B11" s="41">
        <f>'[11]Valuation-FCFF'!D4+'[11]Valuation-FCFF'!D7</f>
        <v>25934.297086718889</v>
      </c>
      <c r="C11" s="41">
        <f>'[11]Valuation-FCFF'!E4+'[11]Valuation-FCFF'!E7</f>
        <v>29950.589114132355</v>
      </c>
      <c r="D11" s="41">
        <f>'[11]Valuation-FCFF'!F4+'[11]Valuation-FCFF'!F7</f>
        <v>34694.435860775513</v>
      </c>
      <c r="E11" s="41">
        <f>'[11]Valuation-FCFF'!G4+'[11]Valuation-FCFF'!G7</f>
        <v>40295.415509608007</v>
      </c>
      <c r="F11" s="41">
        <f>'[11]Valuation-FCFF'!H4+'[11]Valuation-FCFF'!H7</f>
        <v>46906.224111016913</v>
      </c>
      <c r="I11" s="1" t="s">
        <v>77</v>
      </c>
      <c r="J11" s="54">
        <f>'[11]Valuation-FCFF'!AE4+'[11]Valuation-FCFF'!AE7</f>
        <v>6767.8157650832181</v>
      </c>
      <c r="K11" s="54">
        <f>'[11]Valuation-FCFF'!AF4+'[11]Valuation-FCFF'!AF7</f>
        <v>8115.2617273571404</v>
      </c>
      <c r="L11" s="54">
        <f>'[11]Valuation-FCFF'!AG4+'[11]Valuation-FCFF'!AG7</f>
        <v>9739.3419505510465</v>
      </c>
      <c r="M11" s="54">
        <f>'[11]Valuation-FCFF'!AH4+'[11]Valuation-FCFF'!AH7</f>
        <v>11697.921640123093</v>
      </c>
      <c r="N11" s="54">
        <f>'[11]Valuation-FCFF'!AI4+'[11]Valuation-FCFF'!AI7</f>
        <v>14061.103127605438</v>
      </c>
      <c r="O11" s="54">
        <f>'[11]Valuation-FCFF'!AJ4+'[11]Valuation-FCFF'!AJ7</f>
        <v>16913.829967747446</v>
      </c>
      <c r="R11" s="153">
        <f>AVERAGE(R5:R10)</f>
        <v>0.89037609779459492</v>
      </c>
      <c r="S11" s="153">
        <f>AVERAGE(S5:S10)</f>
        <v>0.11321668650952581</v>
      </c>
    </row>
    <row r="12" spans="1:19" x14ac:dyDescent="0.3">
      <c r="A12" s="1" t="s">
        <v>79</v>
      </c>
      <c r="B12" s="41">
        <f>'[11]Valuation-FCFF'!D6</f>
        <v>17124.483954047937</v>
      </c>
      <c r="C12" s="41">
        <f>'[11]Valuation-FCFF'!E6</f>
        <v>20179.15017779078</v>
      </c>
      <c r="D12" s="41">
        <f>'[11]Valuation-FCFF'!F6</f>
        <v>23778.707900951311</v>
      </c>
      <c r="E12" s="41">
        <f>'[11]Valuation-FCFF'!G6</f>
        <v>28020.354893888172</v>
      </c>
      <c r="F12" s="41">
        <f>'[11]Valuation-FCFF'!H6</f>
        <v>33018.627069641239</v>
      </c>
      <c r="I12" s="1" t="s">
        <v>79</v>
      </c>
      <c r="J12" s="54">
        <f>'[11]Valuation-FCFF'!AE6</f>
        <v>4257.5553595590418</v>
      </c>
      <c r="K12" s="54">
        <f>'[11]Valuation-FCFF'!AF6</f>
        <v>5170.8318488325185</v>
      </c>
      <c r="L12" s="54">
        <f>'[11]Valuation-FCFF'!AG6</f>
        <v>6280.0127657459143</v>
      </c>
      <c r="M12" s="54">
        <f>'[11]Valuation-FCFF'!AH6</f>
        <v>7627.1210302141571</v>
      </c>
      <c r="N12" s="54">
        <f>'[11]Valuation-FCFF'!AI6</f>
        <v>9263.1937831141513</v>
      </c>
      <c r="O12" s="54">
        <f>'[11]Valuation-FCFF'!AJ6</f>
        <v>11250.216002028665</v>
      </c>
    </row>
    <row r="13" spans="1:19" x14ac:dyDescent="0.3">
      <c r="A13" s="1" t="s">
        <v>78</v>
      </c>
      <c r="B13" s="52">
        <f>B11/B10</f>
        <v>0.16033210047024543</v>
      </c>
      <c r="C13" s="52">
        <f t="shared" ref="C13:F13" si="0">C11/C10</f>
        <v>0.16611554492905564</v>
      </c>
      <c r="D13" s="52">
        <f t="shared" si="0"/>
        <v>0.17263292997040125</v>
      </c>
      <c r="E13" s="52">
        <f t="shared" si="0"/>
        <v>0.17987812632984379</v>
      </c>
      <c r="F13" s="52">
        <f t="shared" si="0"/>
        <v>0.18785038797400752</v>
      </c>
      <c r="I13" s="1" t="s">
        <v>78</v>
      </c>
      <c r="J13" s="55">
        <f>J11/J10</f>
        <v>0.14938243135354978</v>
      </c>
      <c r="K13" s="55">
        <f t="shared" ref="K13:O13" si="1">K11/K10</f>
        <v>0.15476684728436851</v>
      </c>
      <c r="L13" s="55">
        <f t="shared" si="1"/>
        <v>0.16048314548378437</v>
      </c>
      <c r="M13" s="55">
        <f t="shared" si="1"/>
        <v>0.16654551061729034</v>
      </c>
      <c r="N13" s="55">
        <f t="shared" si="1"/>
        <v>0.17296890052439526</v>
      </c>
      <c r="O13" s="55">
        <f t="shared" si="1"/>
        <v>0.17976908195577693</v>
      </c>
    </row>
    <row r="14" spans="1:19" x14ac:dyDescent="0.3">
      <c r="A14" s="1" t="s">
        <v>97</v>
      </c>
      <c r="B14" s="52">
        <f>B12/B10</f>
        <v>0.10586770378394256</v>
      </c>
      <c r="C14" s="52">
        <f t="shared" ref="C14:F14" si="2">C12/C10</f>
        <v>0.11192001984385917</v>
      </c>
      <c r="D14" s="52">
        <f t="shared" si="2"/>
        <v>0.11831833877698326</v>
      </c>
      <c r="E14" s="52">
        <f t="shared" si="2"/>
        <v>0.12508244110817224</v>
      </c>
      <c r="F14" s="52">
        <f t="shared" si="2"/>
        <v>0.13223323818862606</v>
      </c>
      <c r="I14" s="1" t="s">
        <v>97</v>
      </c>
      <c r="J14" s="55">
        <f>J12/J10</f>
        <v>9.3974776103475405E-2</v>
      </c>
      <c r="K14" s="55">
        <f t="shared" ref="K14:O14" si="3">K12/K10</f>
        <v>9.8613374400930459E-2</v>
      </c>
      <c r="L14" s="55">
        <f t="shared" si="3"/>
        <v>0.10348093407565402</v>
      </c>
      <c r="M14" s="55">
        <f t="shared" si="3"/>
        <v>0.10858875666938762</v>
      </c>
      <c r="N14" s="55">
        <f t="shared" si="3"/>
        <v>0.11394870156837583</v>
      </c>
      <c r="O14" s="55">
        <f t="shared" si="3"/>
        <v>0.11957321353859095</v>
      </c>
    </row>
    <row r="16" spans="1:19" x14ac:dyDescent="0.3">
      <c r="A16" s="49" t="s">
        <v>60</v>
      </c>
      <c r="B16" s="50" t="s">
        <v>16</v>
      </c>
      <c r="C16" s="50" t="s">
        <v>17</v>
      </c>
      <c r="D16" s="50" t="s">
        <v>18</v>
      </c>
      <c r="E16" s="50" t="s">
        <v>19</v>
      </c>
      <c r="F16" s="50" t="s">
        <v>20</v>
      </c>
      <c r="G16" s="50" t="s">
        <v>21</v>
      </c>
      <c r="I16" s="49" t="s">
        <v>60</v>
      </c>
      <c r="J16" s="50" t="s">
        <v>16</v>
      </c>
      <c r="K16" s="50" t="s">
        <v>17</v>
      </c>
      <c r="L16" s="50" t="s">
        <v>18</v>
      </c>
      <c r="M16" s="50" t="s">
        <v>19</v>
      </c>
      <c r="N16" s="50" t="s">
        <v>20</v>
      </c>
      <c r="O16" s="50" t="s">
        <v>21</v>
      </c>
    </row>
    <row r="17" spans="1:15" x14ac:dyDescent="0.3">
      <c r="A17" s="1" t="s">
        <v>14</v>
      </c>
      <c r="B17" s="41">
        <f>'[11]Income Statement'!J6</f>
        <v>76410.62</v>
      </c>
      <c r="C17" s="41">
        <f>'[11]Income Statement'!K6</f>
        <v>75310.89</v>
      </c>
      <c r="D17" s="41">
        <f>'[11]Income Statement'!L6</f>
        <v>91105.08</v>
      </c>
      <c r="E17" s="41">
        <f>'[11]Income Statement'!M6</f>
        <v>122475.04000000001</v>
      </c>
      <c r="F17" s="41">
        <f>'[11]Income Statement'!N6</f>
        <v>141254.69</v>
      </c>
      <c r="G17" s="41">
        <f>'[11]Income Statement'!O6</f>
        <v>161391.87</v>
      </c>
      <c r="I17" s="1" t="s">
        <v>14</v>
      </c>
      <c r="J17" s="54">
        <f>'[11]Income Statement'!AH6</f>
        <v>14532.89</v>
      </c>
      <c r="K17" s="54">
        <f>'[11]Income Statement'!AI6</f>
        <v>15367.34</v>
      </c>
      <c r="L17" s="54">
        <f>'[11]Income Statement'!AJ6</f>
        <v>12851.289999999999</v>
      </c>
      <c r="M17" s="54">
        <f>'[11]Income Statement'!AK6</f>
        <v>15202.9</v>
      </c>
      <c r="N17" s="54">
        <f>'[11]Income Statement'!AL6</f>
        <v>16859.68</v>
      </c>
      <c r="O17" s="54">
        <f>'[11]Income Statement'!AM6</f>
        <v>17350.649999999998</v>
      </c>
    </row>
    <row r="18" spans="1:15" x14ac:dyDescent="0.3">
      <c r="A18" s="1" t="s">
        <v>94</v>
      </c>
      <c r="B18" s="52">
        <f>'[11]Financial Ratios'!L9</f>
        <v>0.18864282196011689</v>
      </c>
      <c r="C18" s="52">
        <f>'[11]Financial Ratios'!M9</f>
        <v>0.19803580559354364</v>
      </c>
      <c r="D18" s="52">
        <f>'[11]Financial Ratios'!N9</f>
        <v>0.17319797357386096</v>
      </c>
      <c r="E18" s="52">
        <f>'[11]Financial Ratios'!O9</f>
        <v>0.17722468026541111</v>
      </c>
      <c r="F18" s="52">
        <f>'[11]Financial Ratios'!P9</f>
        <v>0.19575128019884394</v>
      </c>
      <c r="G18" s="52">
        <f>'[11]Financial Ratios'!Q9</f>
        <v>0.20597978894454941</v>
      </c>
      <c r="I18" s="1" t="s">
        <v>94</v>
      </c>
      <c r="J18" s="55">
        <f>'[11]Financial Ratios'!AM9</f>
        <v>0.10420419860120328</v>
      </c>
      <c r="K18" s="55">
        <f>'[11]Financial Ratios'!AN9</f>
        <v>0.10792193707348351</v>
      </c>
      <c r="L18" s="55">
        <f>'[11]Financial Ratios'!AO9</f>
        <v>0.11431502468485163</v>
      </c>
      <c r="M18" s="55">
        <f>'[11]Financial Ratios'!AP9</f>
        <v>0.11362593313773024</v>
      </c>
      <c r="N18" s="55">
        <f>'[11]Financial Ratios'!AQ9</f>
        <v>0.11371918331422147</v>
      </c>
      <c r="O18" s="55">
        <f>'[11]Financial Ratios'!AR9</f>
        <v>0.1108508311651394</v>
      </c>
    </row>
    <row r="19" spans="1:15" x14ac:dyDescent="0.3">
      <c r="A19" s="1" t="s">
        <v>80</v>
      </c>
      <c r="B19" s="52">
        <f>'[11]Financial Ratios'!L8</f>
        <v>-4.2583149569135051E-3</v>
      </c>
      <c r="C19" s="52">
        <f>'[11]Financial Ratios'!M8</f>
        <v>2.0361270894202827E-2</v>
      </c>
      <c r="D19" s="52">
        <f>'[11]Financial Ratios'!N8</f>
        <v>8.0436554853761943E-2</v>
      </c>
      <c r="E19" s="52">
        <f>'[11]Financial Ratios'!O8</f>
        <v>9.3795794540299349E-2</v>
      </c>
      <c r="F19" s="52">
        <f>'[11]Financial Ratios'!P8</f>
        <v>8.8732152968665615E-2</v>
      </c>
      <c r="G19" s="52">
        <f>'[11]Financial Ratios'!Q8</f>
        <v>8.8650029370124867E-2</v>
      </c>
      <c r="I19" s="1" t="s">
        <v>80</v>
      </c>
      <c r="J19" s="55">
        <f>'[11]Financial Ratios'!AM8</f>
        <v>5.269017159134011E-2</v>
      </c>
      <c r="K19" s="55">
        <f>'[11]Financial Ratios'!AN8</f>
        <v>5.2500867823459474E-2</v>
      </c>
      <c r="L19" s="55">
        <f>'[11]Financial Ratios'!AO8</f>
        <v>5.428869000611438E-2</v>
      </c>
      <c r="M19" s="55">
        <f>'[11]Financial Ratios'!AP8</f>
        <v>5.4567002870376663E-2</v>
      </c>
      <c r="N19" s="55">
        <f>'[11]Financial Ratios'!AQ8</f>
        <v>5.2643662122168866E-2</v>
      </c>
      <c r="O19" s="55">
        <f>'[11]Financial Ratios'!AR8</f>
        <v>4.6438505962170355E-2</v>
      </c>
    </row>
    <row r="20" spans="1:15" x14ac:dyDescent="0.3">
      <c r="A20" s="1" t="s">
        <v>66</v>
      </c>
      <c r="B20" s="52">
        <f>'[11]Financial Ratios'!L11</f>
        <v>-6.7350593409084957E-3</v>
      </c>
      <c r="C20" s="52">
        <f>'[11]Financial Ratios'!M11</f>
        <v>3.0766748907166984E-2</v>
      </c>
      <c r="D20" s="52">
        <f>'[11]Financial Ratios'!N11</f>
        <v>0.1349679825980302</v>
      </c>
      <c r="E20" s="52">
        <f>'[11]Financial Ratios'!O11</f>
        <v>0.18359650438872233</v>
      </c>
      <c r="F20" s="52">
        <f>'[11]Financial Ratios'!P11</f>
        <v>0.16971708908099339</v>
      </c>
      <c r="G20" s="52">
        <f>'[11]Financial Ratios'!Q11</f>
        <v>0.16893817523285565</v>
      </c>
      <c r="I20" s="1" t="s">
        <v>66</v>
      </c>
      <c r="J20" s="55">
        <f>'[11]Financial Ratios'!AM11</f>
        <v>0.11704783045196211</v>
      </c>
      <c r="K20" s="55">
        <f>'[11]Financial Ratios'!AN11</f>
        <v>0.10973575150065094</v>
      </c>
      <c r="L20" s="55">
        <f>'[11]Financial Ratios'!AO11</f>
        <v>6.5353281971394644E-2</v>
      </c>
      <c r="M20" s="55">
        <f>'[11]Financial Ratios'!AP11</f>
        <v>7.3848653209230383E-2</v>
      </c>
      <c r="N20" s="55">
        <f>'[11]Financial Ratios'!AQ11</f>
        <v>6.842770220516986E-2</v>
      </c>
      <c r="O20" s="55">
        <f>'[11]Financial Ratios'!AR11</f>
        <v>5.7448909583095183E-2</v>
      </c>
    </row>
    <row r="21" spans="1:15" x14ac:dyDescent="0.3">
      <c r="A21" s="1" t="s">
        <v>86</v>
      </c>
      <c r="B21" s="41">
        <f>'[11]Financial Ratios'!L5</f>
        <v>1.3116702212813189</v>
      </c>
      <c r="C21" s="41">
        <f>'[11]Financial Ratios'!M5</f>
        <v>1.1757261230157092</v>
      </c>
      <c r="D21" s="41">
        <f>'[11]Financial Ratios'!N5</f>
        <v>1.3139786777922351</v>
      </c>
      <c r="E21" s="41">
        <f>'[11]Financial Ratios'!O5</f>
        <v>1.3232590626621614</v>
      </c>
      <c r="F21" s="41">
        <f>'[11]Financial Ratios'!P5</f>
        <v>1.3314941141286976</v>
      </c>
      <c r="G21" s="41">
        <f>'[11]Financial Ratios'!Q5</f>
        <v>1.3599962962131587</v>
      </c>
      <c r="I21" s="1" t="s">
        <v>86</v>
      </c>
      <c r="J21" s="54">
        <f>'[11]Financial Ratios'!AM5</f>
        <v>1.0343461882086378E-2</v>
      </c>
      <c r="K21" s="54">
        <f>'[11]Financial Ratios'!AN5</f>
        <v>1.8070667583066996E-2</v>
      </c>
      <c r="L21" s="54">
        <f>'[11]Financial Ratios'!AO5</f>
        <v>1.9694181542646572E-2</v>
      </c>
      <c r="M21" s="54">
        <f>'[11]Financial Ratios'!AP5</f>
        <v>2.5076068322368122E-2</v>
      </c>
      <c r="N21" s="54">
        <f>'[11]Financial Ratios'!AQ5</f>
        <v>5.4021625392396237E-2</v>
      </c>
      <c r="O21" s="54">
        <f>'[11]Financial Ratios'!AR5</f>
        <v>0.112039368112231</v>
      </c>
    </row>
    <row r="22" spans="1:15" x14ac:dyDescent="0.3">
      <c r="A22" s="1" t="s">
        <v>95</v>
      </c>
      <c r="B22" s="41">
        <f>'[11]Financial Ratios'!L21</f>
        <v>33.872928604615161</v>
      </c>
      <c r="C22" s="41">
        <f>'[11]Financial Ratios'!M21</f>
        <v>32.048168135278651</v>
      </c>
      <c r="D22" s="41">
        <f>'[11]Financial Ratios'!N21</f>
        <v>27.405625325649702</v>
      </c>
      <c r="E22" s="41">
        <f>'[11]Financial Ratios'!O21</f>
        <v>20.798969263496847</v>
      </c>
      <c r="F22" s="41">
        <f>'[11]Financial Ratios'!P21</f>
        <v>18.365050383507782</v>
      </c>
      <c r="G22" s="41">
        <f>'[11]Financial Ratios'!Q21</f>
        <v>15.634780378693492</v>
      </c>
      <c r="I22" s="1" t="s">
        <v>95</v>
      </c>
      <c r="J22" s="54">
        <f>'[11]Financial Ratios'!AM21</f>
        <v>22.532832871334421</v>
      </c>
      <c r="K22" s="54">
        <f>'[11]Financial Ratios'!AN21</f>
        <v>20.614627438865579</v>
      </c>
      <c r="L22" s="54">
        <f>'[11]Financial Ratios'!AO21</f>
        <v>23.43527359781125</v>
      </c>
      <c r="M22" s="54">
        <f>'[11]Financial Ratios'!AP21</f>
        <v>20.072638871864928</v>
      </c>
      <c r="N22" s="54">
        <f>'[11]Financial Ratios'!AQ21</f>
        <v>18.151805940095656</v>
      </c>
      <c r="O22" s="54">
        <f>'[11]Financial Ratios'!AR21</f>
        <v>18.642474736109456</v>
      </c>
    </row>
    <row r="24" spans="1:15" x14ac:dyDescent="0.3">
      <c r="A24" s="49" t="s">
        <v>82</v>
      </c>
      <c r="B24" s="50" t="s">
        <v>22</v>
      </c>
      <c r="C24" s="50" t="s">
        <v>23</v>
      </c>
      <c r="D24" s="50" t="s">
        <v>24</v>
      </c>
      <c r="E24" s="50" t="s">
        <v>25</v>
      </c>
      <c r="F24" s="50" t="s">
        <v>26</v>
      </c>
      <c r="I24" s="49" t="s">
        <v>82</v>
      </c>
      <c r="J24" s="50" t="s">
        <v>22</v>
      </c>
      <c r="K24" s="50" t="s">
        <v>23</v>
      </c>
      <c r="L24" s="50" t="s">
        <v>24</v>
      </c>
      <c r="M24" s="50" t="s">
        <v>25</v>
      </c>
      <c r="N24" s="50" t="s">
        <v>26</v>
      </c>
    </row>
    <row r="25" spans="1:15" x14ac:dyDescent="0.3">
      <c r="A25" s="1" t="s">
        <v>96</v>
      </c>
      <c r="B25" s="41">
        <f>'[11]Valuation-FCFF'!M3</f>
        <v>179730.04496472565</v>
      </c>
      <c r="C25" s="41">
        <f>'[11]Valuation-FCFF'!N3</f>
        <v>203483.08619712663</v>
      </c>
      <c r="D25" s="41">
        <f>'[11]Valuation-FCFF'!O3</f>
        <v>230375.31858645895</v>
      </c>
      <c r="E25" s="41">
        <f>'[11]Valuation-FCFF'!P3</f>
        <v>260821.61621235474</v>
      </c>
      <c r="F25" s="41">
        <f>'[11]Valuation-FCFF'!Q3</f>
        <v>295291.68272465898</v>
      </c>
      <c r="I25" s="1" t="s">
        <v>96</v>
      </c>
      <c r="J25" s="54">
        <f>'[11]Valuation-FCFF'!AO3</f>
        <v>17747.906803958085</v>
      </c>
      <c r="K25" s="54">
        <f>'[11]Valuation-FCFF'!AP3</f>
        <v>18273.055858009073</v>
      </c>
      <c r="L25" s="54">
        <f>'[11]Valuation-FCFF'!AQ3</f>
        <v>18813.743732046943</v>
      </c>
      <c r="M25" s="54">
        <f>'[11]Valuation-FCFF'!AR3</f>
        <v>19370.430209679267</v>
      </c>
      <c r="N25" s="54">
        <f>'[11]Valuation-FCFF'!AS3</f>
        <v>19943.588679212426</v>
      </c>
    </row>
    <row r="26" spans="1:15" x14ac:dyDescent="0.3">
      <c r="A26" s="1" t="s">
        <v>77</v>
      </c>
      <c r="B26" s="41">
        <f>'[11]Valuation-FCFF'!M4+'[11]Valuation-FCFF'!M7</f>
        <v>37622.285509205605</v>
      </c>
      <c r="C26" s="41">
        <f>'[11]Valuation-FCFF'!N4+'[11]Valuation-FCFF'!N7</f>
        <v>43303.152876978515</v>
      </c>
      <c r="D26" s="41">
        <f>'[11]Valuation-FCFF'!O4+'[11]Valuation-FCFF'!O7</f>
        <v>49860.337855679682</v>
      </c>
      <c r="E26" s="41">
        <f>'[11]Valuation-FCFF'!P4+'[11]Valuation-FCFF'!P7</f>
        <v>57431.064058298281</v>
      </c>
      <c r="F26" s="41">
        <f>'[11]Valuation-FCFF'!Q4+'[11]Valuation-FCFF'!Q7</f>
        <v>66174.264098119645</v>
      </c>
      <c r="I26" s="1" t="s">
        <v>77</v>
      </c>
      <c r="J26" s="54">
        <f>'[11]Valuation-FCFF'!AO4+'[11]Valuation-FCFF'!AO7</f>
        <v>1988.4854684503546</v>
      </c>
      <c r="K26" s="54">
        <f>'[11]Valuation-FCFF'!AP4+'[11]Valuation-FCFF'!AP7</f>
        <v>2069.5208785232394</v>
      </c>
      <c r="L26" s="54">
        <f>'[11]Valuation-FCFF'!AQ4+'[11]Valuation-FCFF'!AQ7</f>
        <v>2154.0938586261873</v>
      </c>
      <c r="M26" s="54">
        <f>'[11]Valuation-FCFF'!AR4+'[11]Valuation-FCFF'!AR7</f>
        <v>2242.3698493396805</v>
      </c>
      <c r="N26" s="54">
        <f>'[11]Valuation-FCFF'!AS4+'[11]Valuation-FCFF'!AS7</f>
        <v>2334.5225094486423</v>
      </c>
    </row>
    <row r="27" spans="1:15" x14ac:dyDescent="0.3">
      <c r="A27" s="1" t="s">
        <v>79</v>
      </c>
      <c r="B27" s="41">
        <f>'[11]Valuation-FCFF'!M6</f>
        <v>23190.754313642537</v>
      </c>
      <c r="C27" s="41">
        <f>'[11]Valuation-FCFF'!N6</f>
        <v>26932.039722474015</v>
      </c>
      <c r="D27" s="41">
        <f>'[11]Valuation-FCFF'!O6</f>
        <v>31276.893963997634</v>
      </c>
      <c r="E27" s="41">
        <f>'[11]Valuation-FCFF'!P6</f>
        <v>36322.68874231739</v>
      </c>
      <c r="F27" s="41">
        <f>'[11]Valuation-FCFF'!Q6</f>
        <v>42182.504406925458</v>
      </c>
      <c r="I27" s="1" t="s">
        <v>79</v>
      </c>
      <c r="J27" s="54">
        <f>'[11]Valuation-FCFF'!AO6</f>
        <v>1029.7163679984972</v>
      </c>
      <c r="K27" s="54">
        <f>'[11]Valuation-FCFF'!AP6</f>
        <v>1064.1814375960857</v>
      </c>
      <c r="L27" s="54">
        <f>'[11]Valuation-FCFF'!AQ6</f>
        <v>1099.8000685619136</v>
      </c>
      <c r="M27" s="54">
        <f>'[11]Valuation-FCFF'!AR6</f>
        <v>1136.6108711133929</v>
      </c>
      <c r="N27" s="54">
        <f>'[11]Valuation-FCFF'!AS6</f>
        <v>1174.6537477692646</v>
      </c>
    </row>
    <row r="28" spans="1:15" x14ac:dyDescent="0.3">
      <c r="A28" s="1" t="s">
        <v>78</v>
      </c>
      <c r="B28" s="52">
        <f>B26/B25</f>
        <v>0.2093266349351299</v>
      </c>
      <c r="C28" s="52">
        <f t="shared" ref="C28:F28" si="4">C26/C25</f>
        <v>0.21280959359456578</v>
      </c>
      <c r="D28" s="52">
        <f t="shared" si="4"/>
        <v>0.21643090137265417</v>
      </c>
      <c r="E28" s="52">
        <f t="shared" si="4"/>
        <v>0.22019288467079845</v>
      </c>
      <c r="F28" s="52">
        <f t="shared" si="4"/>
        <v>0.22409796133615795</v>
      </c>
      <c r="I28" s="1" t="s">
        <v>78</v>
      </c>
      <c r="J28" s="55">
        <f>J26/J25</f>
        <v>0.11204056289088066</v>
      </c>
      <c r="K28" s="55">
        <f t="shared" ref="K28:N28" si="5">K26/K25</f>
        <v>0.11325532492235935</v>
      </c>
      <c r="L28" s="55">
        <f t="shared" si="5"/>
        <v>0.11449575848941475</v>
      </c>
      <c r="M28" s="55">
        <f t="shared" si="5"/>
        <v>0.11576252179567928</v>
      </c>
      <c r="N28" s="55">
        <f t="shared" si="5"/>
        <v>0.11705629047002752</v>
      </c>
    </row>
    <row r="29" spans="1:15" x14ac:dyDescent="0.3">
      <c r="A29" s="1" t="s">
        <v>97</v>
      </c>
      <c r="B29" s="52">
        <f>B27/B25</f>
        <v>0.12903103828964169</v>
      </c>
      <c r="C29" s="52">
        <f t="shared" ref="C29:F29" si="6">C27/C25</f>
        <v>0.13235517617608417</v>
      </c>
      <c r="D29" s="52">
        <f t="shared" si="6"/>
        <v>0.13576495154041227</v>
      </c>
      <c r="E29" s="52">
        <f t="shared" si="6"/>
        <v>0.1392625706020636</v>
      </c>
      <c r="F29" s="52">
        <f t="shared" si="6"/>
        <v>0.14285029641778973</v>
      </c>
      <c r="I29" s="1" t="s">
        <v>97</v>
      </c>
      <c r="J29" s="55">
        <f>J27/J25</f>
        <v>5.8019031729919436E-2</v>
      </c>
      <c r="K29" s="55">
        <f t="shared" ref="K29:N29" si="7">K27/K25</f>
        <v>5.8237737894817163E-2</v>
      </c>
      <c r="L29" s="55">
        <f t="shared" si="7"/>
        <v>5.8457268485513428E-2</v>
      </c>
      <c r="M29" s="55">
        <f t="shared" si="7"/>
        <v>5.8677626609729944E-2</v>
      </c>
      <c r="N29" s="55">
        <f t="shared" si="7"/>
        <v>5.8898815386903162E-2</v>
      </c>
    </row>
    <row r="31" spans="1:15" x14ac:dyDescent="0.3">
      <c r="A31" s="49" t="s">
        <v>60</v>
      </c>
      <c r="B31" s="50" t="s">
        <v>16</v>
      </c>
      <c r="C31" s="50" t="s">
        <v>17</v>
      </c>
      <c r="D31" s="50" t="s">
        <v>18</v>
      </c>
      <c r="E31" s="50" t="s">
        <v>19</v>
      </c>
      <c r="F31" s="50" t="s">
        <v>20</v>
      </c>
      <c r="G31" s="50" t="s">
        <v>21</v>
      </c>
      <c r="I31" s="49" t="s">
        <v>60</v>
      </c>
      <c r="J31" s="50" t="s">
        <v>16</v>
      </c>
      <c r="K31" s="50" t="s">
        <v>17</v>
      </c>
      <c r="L31" s="50" t="s">
        <v>18</v>
      </c>
      <c r="M31" s="50" t="s">
        <v>19</v>
      </c>
      <c r="N31" s="50" t="s">
        <v>20</v>
      </c>
      <c r="O31" s="2"/>
    </row>
    <row r="32" spans="1:15" x14ac:dyDescent="0.3">
      <c r="A32" s="1" t="s">
        <v>14</v>
      </c>
      <c r="B32" s="41">
        <f>'[11]Income Statement'!R8</f>
        <v>264041.12</v>
      </c>
      <c r="C32" s="41">
        <f>'[11]Income Statement'!S8</f>
        <v>252437.94</v>
      </c>
      <c r="D32" s="41">
        <f>'[11]Income Statement'!T8</f>
        <v>281507.25</v>
      </c>
      <c r="E32" s="41">
        <f>'[11]Income Statement'!U8</f>
        <v>350600.15</v>
      </c>
      <c r="F32" s="41">
        <f>'[11]Income Statement'!V8</f>
        <v>439708</v>
      </c>
      <c r="G32" s="41">
        <f>'[11]Income Statement'!W8</f>
        <v>445939</v>
      </c>
      <c r="I32" s="1" t="s">
        <v>14</v>
      </c>
      <c r="J32" s="54">
        <f>'[11]Income Statement'!AP8</f>
        <v>60953.5</v>
      </c>
      <c r="K32" s="54">
        <f>'[11]Income Statement'!AQ8</f>
        <v>57599.200000000004</v>
      </c>
      <c r="L32" s="54">
        <f>'[11]Income Statement'!AR8</f>
        <v>64031.7</v>
      </c>
      <c r="M32" s="54">
        <f>'[11]Income Statement'!AS8</f>
        <v>78957.7</v>
      </c>
      <c r="N32" s="54">
        <f>'[11]Income Statement'!AT8</f>
        <v>98879.3</v>
      </c>
    </row>
    <row r="33" spans="1:15" x14ac:dyDescent="0.3">
      <c r="A33" s="1" t="s">
        <v>94</v>
      </c>
      <c r="B33" s="52">
        <f>'[11]Financial Ratios'!U9</f>
        <v>8.1054435990019366E-2</v>
      </c>
      <c r="C33" s="52">
        <f>'[11]Financial Ratios'!V9</f>
        <v>0.141435449994224</v>
      </c>
      <c r="D33" s="52">
        <f>'[11]Financial Ratios'!W9</f>
        <v>0.10090902970524537</v>
      </c>
      <c r="E33" s="52">
        <f>'[11]Financial Ratios'!X9</f>
        <v>0.10660708336537861</v>
      </c>
      <c r="F33" s="52">
        <f>'[11]Financial Ratios'!Y9</f>
        <v>0.1472616717531052</v>
      </c>
      <c r="G33" s="52">
        <f>'[11]Financial Ratios'!Z9</f>
        <v>0.14280906824534534</v>
      </c>
      <c r="I33" s="1" t="s">
        <v>94</v>
      </c>
      <c r="J33" s="55">
        <f>'[11]Financial Ratios'!AV9</f>
        <v>8.0934598354631695E-2</v>
      </c>
      <c r="K33" s="55">
        <f>'[11]Financial Ratios'!AW9</f>
        <v>8.0563569224934364E-2</v>
      </c>
      <c r="L33" s="55">
        <f>'[11]Financial Ratios'!AX9</f>
        <v>7.8763265312607786E-2</v>
      </c>
      <c r="M33" s="55">
        <f>'[11]Financial Ratios'!AY9</f>
        <v>8.3018388174242702E-2</v>
      </c>
      <c r="N33" s="55">
        <f>'[11]Financial Ratios'!AZ9</f>
        <v>9.6893619719491175E-2</v>
      </c>
    </row>
    <row r="34" spans="1:15" x14ac:dyDescent="0.3">
      <c r="A34" s="1" t="s">
        <v>80</v>
      </c>
      <c r="B34" s="52">
        <f>'[11]Financial Ratios'!U8</f>
        <v>-4.0913421313597008E-2</v>
      </c>
      <c r="C34" s="52">
        <f>'[11]Financial Ratios'!V8</f>
        <v>-4.2410770411905142E-2</v>
      </c>
      <c r="D34" s="52">
        <f>'[11]Financial Ratios'!W8</f>
        <v>-4.1087618034943992E-2</v>
      </c>
      <c r="E34" s="52">
        <f>'[11]Financial Ratios'!X8</f>
        <v>7.8450549514328793E-3</v>
      </c>
      <c r="F34" s="52">
        <f>'[11]Financial Ratios'!Y8</f>
        <v>7.3761861914789006E-2</v>
      </c>
      <c r="G34" s="52">
        <f>'[11]Financial Ratios'!Z8</f>
        <v>6.4440583213719121E-2</v>
      </c>
      <c r="I34" s="1" t="s">
        <v>80</v>
      </c>
      <c r="J34" s="55">
        <f>'[11]Financial Ratios'!AV8</f>
        <v>2.1475389982796394E-2</v>
      </c>
      <c r="K34" s="55">
        <f>'[11]Financial Ratios'!AW8</f>
        <v>2.755687754274273E-2</v>
      </c>
      <c r="L34" s="55">
        <f>'[11]Financial Ratios'!AX8</f>
        <v>1.8772830478878032E-2</v>
      </c>
      <c r="M34" s="55">
        <f>'[11]Financial Ratios'!AY8</f>
        <v>2.144067023925559E-2</v>
      </c>
      <c r="N34" s="55">
        <f>'[11]Financial Ratios'!AZ8</f>
        <v>3.0881760370793997E-2</v>
      </c>
    </row>
    <row r="35" spans="1:15" x14ac:dyDescent="0.3">
      <c r="A35" s="1" t="s">
        <v>66</v>
      </c>
      <c r="B35" s="52">
        <f>'[11]Financial Ratios'!U11</f>
        <v>-0.16559139010791443</v>
      </c>
      <c r="C35" s="52">
        <f>'[11]Financial Ratios'!V11</f>
        <v>-0.18434074777266765</v>
      </c>
      <c r="D35" s="52">
        <f>'[11]Financial Ratios'!W11</f>
        <v>-0.23158360347556756</v>
      </c>
      <c r="E35" s="52">
        <f>'[11]Financial Ratios'!X11</f>
        <v>5.1138689314786753E-2</v>
      </c>
      <c r="F35" s="52">
        <f>'[11]Financial Ratios'!Y11</f>
        <v>0.34166541345306894</v>
      </c>
      <c r="G35" s="52">
        <f>'[11]Financial Ratios'!Z11</f>
        <v>0.22931228310279095</v>
      </c>
      <c r="I35" s="1" t="s">
        <v>66</v>
      </c>
      <c r="J35" s="55">
        <f>'[11]Financial Ratios'!AV11</f>
        <v>8.7313417735179394E-2</v>
      </c>
      <c r="K35" s="55">
        <f>'[11]Financial Ratios'!AW11</f>
        <v>9.4633952206658531E-2</v>
      </c>
      <c r="L35" s="55">
        <f>'[11]Financial Ratios'!AX11</f>
        <v>5.2829024440410426E-2</v>
      </c>
      <c r="M35" s="55">
        <f>'[11]Financial Ratios'!AY11</f>
        <v>6.8491071465198616E-2</v>
      </c>
      <c r="N35" s="55">
        <f>'[11]Financial Ratios'!AZ11</f>
        <v>0.10701919157909712</v>
      </c>
    </row>
    <row r="36" spans="1:15" x14ac:dyDescent="0.3">
      <c r="A36" s="1" t="s">
        <v>86</v>
      </c>
      <c r="B36" s="41">
        <f>'[11]Financial Ratios'!U5</f>
        <v>1.5601015712586643</v>
      </c>
      <c r="C36" s="41">
        <f>'[11]Financial Ratios'!V5</f>
        <v>2.0199777508742049</v>
      </c>
      <c r="D36" s="41">
        <f>'[11]Financial Ratios'!W5</f>
        <v>2.8603412085853015</v>
      </c>
      <c r="E36" s="41">
        <f>'[11]Financial Ratios'!X5</f>
        <v>2.3890045743772141</v>
      </c>
      <c r="F36" s="41">
        <f>'[11]Financial Ratios'!Y5</f>
        <v>1.0580810793391626</v>
      </c>
      <c r="G36" s="41">
        <f>'[11]Financial Ratios'!Z5</f>
        <v>0.50914023168287792</v>
      </c>
      <c r="I36" s="1" t="s">
        <v>86</v>
      </c>
      <c r="J36" s="54">
        <f>'[11]Financial Ratios'!AV5</f>
        <v>0.78707532089114329</v>
      </c>
      <c r="K36" s="54">
        <f>'[11]Financial Ratios'!AW5</f>
        <v>0.53221497958863728</v>
      </c>
      <c r="L36" s="54">
        <f>'[11]Financial Ratios'!AX5</f>
        <v>0.57058476342076325</v>
      </c>
      <c r="M36" s="54">
        <f>'[11]Financial Ratios'!AY5</f>
        <v>0.49906673941313301</v>
      </c>
      <c r="N36" s="54">
        <f>'[11]Financial Ratios'!AZ5</f>
        <v>0.61495631833566666</v>
      </c>
    </row>
    <row r="37" spans="1:15" x14ac:dyDescent="0.3">
      <c r="A37" s="1" t="s">
        <v>95</v>
      </c>
      <c r="B37" s="41">
        <f>'[11]Financial Ratios'!U21</f>
        <v>16.1379770823016</v>
      </c>
      <c r="C37" s="41">
        <f>'[11]Financial Ratios'!V21</f>
        <v>9.7370373042333664</v>
      </c>
      <c r="D37" s="41">
        <f>'[11]Financial Ratios'!W21</f>
        <v>12.910162196493644</v>
      </c>
      <c r="E37" s="41">
        <f>'[11]Financial Ratios'!X21</f>
        <v>9.5975723924201795</v>
      </c>
      <c r="F37" s="41">
        <f>'[11]Financial Ratios'!Y21</f>
        <v>4.9689170249287411</v>
      </c>
      <c r="G37" s="41">
        <f>'[11]Financial Ratios'!Z21</f>
        <v>4.5717546728222889</v>
      </c>
      <c r="I37" s="1" t="s">
        <v>95</v>
      </c>
      <c r="J37" s="54">
        <f>'[11]Financial Ratios'!AV21</f>
        <v>23.919403107448879</v>
      </c>
      <c r="K37" s="54">
        <f>'[11]Financial Ratios'!AW21</f>
        <v>24.589098121267575</v>
      </c>
      <c r="L37" s="54">
        <f>'[11]Financial Ratios'!AX21</f>
        <v>23.759113191180315</v>
      </c>
      <c r="M37" s="54">
        <f>'[11]Financial Ratios'!AY21</f>
        <v>18.178801800547586</v>
      </c>
      <c r="N37" s="54">
        <f>'[11]Financial Ratios'!AZ21</f>
        <v>12.718857528867852</v>
      </c>
    </row>
    <row r="39" spans="1:15" x14ac:dyDescent="0.3">
      <c r="A39" s="49" t="s">
        <v>82</v>
      </c>
      <c r="B39" s="50" t="s">
        <v>22</v>
      </c>
      <c r="C39" s="50" t="s">
        <v>23</v>
      </c>
      <c r="D39" s="50" t="s">
        <v>24</v>
      </c>
      <c r="E39" s="50" t="s">
        <v>25</v>
      </c>
      <c r="F39" s="50" t="s">
        <v>26</v>
      </c>
      <c r="I39" s="49" t="s">
        <v>82</v>
      </c>
      <c r="J39" s="50" t="s">
        <v>21</v>
      </c>
      <c r="K39" s="50" t="s">
        <v>22</v>
      </c>
      <c r="L39" s="50" t="s">
        <v>23</v>
      </c>
      <c r="M39" s="50" t="s">
        <v>24</v>
      </c>
      <c r="N39" s="50" t="s">
        <v>25</v>
      </c>
      <c r="O39" s="50" t="s">
        <v>26</v>
      </c>
    </row>
    <row r="40" spans="1:15" x14ac:dyDescent="0.3">
      <c r="A40" s="1" t="s">
        <v>96</v>
      </c>
      <c r="B40" s="41">
        <f>'[11]Valuation-FCFF'!V3</f>
        <v>476706.32996391284</v>
      </c>
      <c r="C40" s="41">
        <f>'[11]Valuation-FCFF'!W3</f>
        <v>520233.5167669662</v>
      </c>
      <c r="D40" s="41">
        <f>'[11]Valuation-FCFF'!X3</f>
        <v>567735.09172452823</v>
      </c>
      <c r="E40" s="41">
        <f>'[11]Valuation-FCFF'!Y3</f>
        <v>619573.94898076158</v>
      </c>
      <c r="F40" s="41">
        <f>'[11]Valuation-FCFF'!Z3</f>
        <v>676146.11788322311</v>
      </c>
      <c r="I40" s="1" t="s">
        <v>96</v>
      </c>
      <c r="J40" s="54">
        <f>'[11]Valuation-FCFF'!AX3</f>
        <v>107712.13703060281</v>
      </c>
      <c r="K40" s="54">
        <f>'[11]Valuation-FCFF'!AY3</f>
        <v>118653.87253040374</v>
      </c>
      <c r="L40" s="54">
        <f>'[11]Valuation-FCFF'!AZ3</f>
        <v>130707.10371720963</v>
      </c>
      <c r="M40" s="54">
        <f>'[11]Valuation-FCFF'!BA3</f>
        <v>143984.73979653485</v>
      </c>
      <c r="N40" s="54">
        <f>'[11]Valuation-FCFF'!BB3</f>
        <v>158611.15964385192</v>
      </c>
      <c r="O40" s="54">
        <f>'[11]Valuation-FCFF'!BC3</f>
        <v>174723.3769295107</v>
      </c>
    </row>
    <row r="41" spans="1:15" x14ac:dyDescent="0.3">
      <c r="A41" s="1" t="s">
        <v>77</v>
      </c>
      <c r="B41" s="41">
        <f>'[11]Valuation-FCFF'!V4+'[11]Valuation-FCFF'!V7</f>
        <v>64479.758665773392</v>
      </c>
      <c r="C41" s="41">
        <f>'[11]Valuation-FCFF'!W4+'[11]Valuation-FCFF'!W7</f>
        <v>66658.896608360199</v>
      </c>
      <c r="D41" s="41">
        <f>'[11]Valuation-FCFF'!X4+'[11]Valuation-FCFF'!X7</f>
        <v>68922.804097089262</v>
      </c>
      <c r="E41" s="41">
        <f>'[11]Valuation-FCFF'!Y4+'[11]Valuation-FCFF'!Y7</f>
        <v>71275.016993638288</v>
      </c>
      <c r="F41" s="41">
        <f>'[11]Valuation-FCFF'!Z4+'[11]Valuation-FCFF'!Z7</f>
        <v>73719.223080026626</v>
      </c>
      <c r="I41" s="1" t="s">
        <v>77</v>
      </c>
      <c r="J41" s="54">
        <f>'[11]Valuation-FCFF'!AX4+'[11]Valuation-FCFF'!AX7</f>
        <v>10945.501111828349</v>
      </c>
      <c r="K41" s="54">
        <f>'[11]Valuation-FCFF'!AY4+'[11]Valuation-FCFF'!AY7</f>
        <v>12692.020197684749</v>
      </c>
      <c r="L41" s="54">
        <f>'[11]Valuation-FCFF'!AZ4+'[11]Valuation-FCFF'!AZ7</f>
        <v>14769.702505299323</v>
      </c>
      <c r="M41" s="54">
        <f>'[11]Valuation-FCFF'!BA4+'[11]Valuation-FCFF'!BA7</f>
        <v>17246.219576785392</v>
      </c>
      <c r="N41" s="54">
        <f>'[11]Valuation-FCFF'!BB4+'[11]Valuation-FCFF'!BB7</f>
        <v>20203.452944689554</v>
      </c>
      <c r="O41" s="54">
        <f>'[11]Valuation-FCFF'!BC4+'[11]Valuation-FCFF'!BC7</f>
        <v>23740.50571692489</v>
      </c>
    </row>
    <row r="42" spans="1:15" x14ac:dyDescent="0.3">
      <c r="A42" s="1" t="s">
        <v>79</v>
      </c>
      <c r="B42" s="41">
        <f>'[11]Valuation-FCFF'!V6</f>
        <v>30629.466230677583</v>
      </c>
      <c r="C42" s="41">
        <f>'[11]Valuation-FCFF'!W6</f>
        <v>31970.699844134964</v>
      </c>
      <c r="D42" s="41">
        <f>'[11]Valuation-FCFF'!X6</f>
        <v>33370.664732643621</v>
      </c>
      <c r="E42" s="41">
        <f>'[11]Valuation-FCFF'!Y6</f>
        <v>34831.932679847028</v>
      </c>
      <c r="F42" s="41">
        <f>'[11]Valuation-FCFF'!Z6</f>
        <v>36357.18808521561</v>
      </c>
      <c r="I42" s="1" t="s">
        <v>79</v>
      </c>
      <c r="J42" s="54">
        <f>'[11]Valuation-FCFF'!AX6</f>
        <v>5152.136565059197</v>
      </c>
      <c r="K42" s="54">
        <f>'[11]Valuation-FCFF'!AY6</f>
        <v>6249.038893307652</v>
      </c>
      <c r="L42" s="54">
        <f>'[11]Valuation-FCFF'!AZ6</f>
        <v>7579.4743786305362</v>
      </c>
      <c r="M42" s="54">
        <f>'[11]Valuation-FCFF'!BA6</f>
        <v>9193.1627946564076</v>
      </c>
      <c r="N42" s="54">
        <f>'[11]Valuation-FCFF'!BB6</f>
        <v>11150.409375000076</v>
      </c>
      <c r="O42" s="54">
        <f>'[11]Valuation-FCFF'!BC6</f>
        <v>13524.358483280448</v>
      </c>
    </row>
    <row r="43" spans="1:15" x14ac:dyDescent="0.3">
      <c r="A43" s="1" t="s">
        <v>78</v>
      </c>
      <c r="B43" s="52">
        <f>B41/B40</f>
        <v>0.13526096595078688</v>
      </c>
      <c r="C43" s="52">
        <f t="shared" ref="C43:F43" si="8">C41/C40</f>
        <v>0.12813264516791878</v>
      </c>
      <c r="D43" s="52">
        <f t="shared" si="8"/>
        <v>0.12139958424576548</v>
      </c>
      <c r="E43" s="52">
        <f t="shared" si="8"/>
        <v>0.11503875705376285</v>
      </c>
      <c r="F43" s="52">
        <f t="shared" si="8"/>
        <v>0.10902853855142394</v>
      </c>
      <c r="I43" s="1" t="s">
        <v>78</v>
      </c>
      <c r="J43" s="55">
        <f>J41/J40</f>
        <v>0.10161808514409616</v>
      </c>
      <c r="K43" s="55">
        <f t="shared" ref="K43:O43" si="9">K41/K40</f>
        <v>0.10696675908687733</v>
      </c>
      <c r="L43" s="55">
        <f t="shared" si="9"/>
        <v>0.1129984682183319</v>
      </c>
      <c r="M43" s="55">
        <f t="shared" si="9"/>
        <v>0.11977810704909467</v>
      </c>
      <c r="N43" s="55">
        <f t="shared" si="9"/>
        <v>0.12737724754080806</v>
      </c>
      <c r="O43" s="55">
        <f t="shared" si="9"/>
        <v>0.13587481042392291</v>
      </c>
    </row>
    <row r="44" spans="1:15" x14ac:dyDescent="0.3">
      <c r="A44" s="1" t="s">
        <v>97</v>
      </c>
      <c r="B44" s="52">
        <f>B42/B40</f>
        <v>6.425227504949696E-2</v>
      </c>
      <c r="C44" s="52">
        <f t="shared" ref="C44:F44" si="10">C42/C40</f>
        <v>6.1454517661260075E-2</v>
      </c>
      <c r="D44" s="52">
        <f t="shared" si="10"/>
        <v>5.8778583918915939E-2</v>
      </c>
      <c r="E44" s="52">
        <f t="shared" si="10"/>
        <v>5.6219169216439401E-2</v>
      </c>
      <c r="F44" s="52">
        <f t="shared" si="10"/>
        <v>5.3771199927964156E-2</v>
      </c>
      <c r="I44" s="1" t="s">
        <v>97</v>
      </c>
      <c r="J44" s="55">
        <f>J42/J40</f>
        <v>4.7832460733699761E-2</v>
      </c>
      <c r="K44" s="55">
        <f t="shared" ref="K44:O44" si="11">K42/K40</f>
        <v>5.2666118349457204E-2</v>
      </c>
      <c r="L44" s="55">
        <f t="shared" si="11"/>
        <v>5.7988236010714851E-2</v>
      </c>
      <c r="M44" s="55">
        <f t="shared" si="11"/>
        <v>6.3848174519378131E-2</v>
      </c>
      <c r="N44" s="55">
        <f t="shared" si="11"/>
        <v>7.0300282779833315E-2</v>
      </c>
      <c r="O44" s="55">
        <f t="shared" si="11"/>
        <v>7.7404401866251873E-2</v>
      </c>
    </row>
  </sheetData>
  <phoneticPr fontId="2"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F9A52-BE98-4A72-8A47-EBE17A4E1120}">
  <dimension ref="A1:W29"/>
  <sheetViews>
    <sheetView topLeftCell="O5" workbookViewId="0">
      <selection activeCell="W22" sqref="W22"/>
    </sheetView>
  </sheetViews>
  <sheetFormatPr defaultRowHeight="14.4" x14ac:dyDescent="0.3"/>
  <cols>
    <col min="1" max="1" width="15.109375" style="1" bestFit="1" customWidth="1"/>
    <col min="2" max="3" width="9.88671875" style="1" bestFit="1" customWidth="1"/>
    <col min="4" max="7" width="10.88671875" style="1" bestFit="1" customWidth="1"/>
    <col min="8" max="8" width="8.88671875" style="1"/>
    <col min="9" max="9" width="15.109375" style="1" bestFit="1" customWidth="1"/>
    <col min="10" max="11" width="9.88671875" style="1" bestFit="1" customWidth="1"/>
    <col min="12" max="15" width="10.88671875" style="1" bestFit="1" customWidth="1"/>
    <col min="16" max="16" width="8.88671875" style="1"/>
    <col min="17" max="17" width="15.109375" style="1" bestFit="1" customWidth="1"/>
    <col min="18" max="23" width="10.88671875" style="1" bestFit="1" customWidth="1"/>
    <col min="24" max="16384" width="8.88671875" style="1"/>
  </cols>
  <sheetData>
    <row r="1" spans="1:23" x14ac:dyDescent="0.3">
      <c r="A1" s="57" t="s">
        <v>60</v>
      </c>
      <c r="B1" s="58" t="s">
        <v>16</v>
      </c>
      <c r="C1" s="58" t="s">
        <v>17</v>
      </c>
      <c r="D1" s="58" t="s">
        <v>18</v>
      </c>
      <c r="E1" s="58" t="s">
        <v>19</v>
      </c>
      <c r="F1" s="58" t="s">
        <v>20</v>
      </c>
      <c r="I1" s="57" t="s">
        <v>60</v>
      </c>
      <c r="J1" s="58" t="s">
        <v>16</v>
      </c>
      <c r="K1" s="58" t="s">
        <v>17</v>
      </c>
      <c r="L1" s="58" t="s">
        <v>18</v>
      </c>
      <c r="M1" s="58" t="s">
        <v>19</v>
      </c>
      <c r="N1" s="58" t="s">
        <v>20</v>
      </c>
      <c r="Q1" s="57" t="s">
        <v>60</v>
      </c>
      <c r="R1" s="58" t="s">
        <v>16</v>
      </c>
      <c r="S1" s="58" t="s">
        <v>17</v>
      </c>
      <c r="T1" s="58" t="s">
        <v>18</v>
      </c>
      <c r="U1" s="58" t="s">
        <v>19</v>
      </c>
      <c r="V1" s="58" t="s">
        <v>20</v>
      </c>
    </row>
    <row r="2" spans="1:23" x14ac:dyDescent="0.3">
      <c r="A2" s="1" t="s">
        <v>14</v>
      </c>
      <c r="B2" s="41">
        <f>'[12]Income Statement'!B6</f>
        <v>27841.81</v>
      </c>
      <c r="C2" s="41">
        <f>'[12]Income Statement'!C6</f>
        <v>28149.68</v>
      </c>
      <c r="D2" s="41">
        <f>'[12]Income Statement'!D6</f>
        <v>31686.47</v>
      </c>
      <c r="E2" s="41">
        <f>'[12]Income Statement'!E6</f>
        <v>43040.520000000004</v>
      </c>
      <c r="F2" s="41">
        <f>'[12]Income Statement'!F6</f>
        <v>60281.479999999996</v>
      </c>
      <c r="I2" s="1" t="s">
        <v>14</v>
      </c>
      <c r="J2" s="41">
        <f>'[12]Income Statement'!P5</f>
        <v>29698.98</v>
      </c>
      <c r="K2" s="41">
        <f>'[12]Income Statement'!Q5</f>
        <v>32907.339999999997</v>
      </c>
      <c r="L2" s="41">
        <f>'[12]Income Statement'!R5</f>
        <v>43735.63</v>
      </c>
      <c r="M2" s="41">
        <f>'[12]Income Statement'!S5</f>
        <v>56547.1</v>
      </c>
      <c r="N2" s="41">
        <f>'[12]Income Statement'!T5</f>
        <v>63272.32</v>
      </c>
      <c r="Q2" s="1" t="s">
        <v>14</v>
      </c>
      <c r="R2" s="41">
        <f>'[12]Income Statement'!AD6</f>
        <v>112372.57999999999</v>
      </c>
      <c r="S2" s="41">
        <f>'[12]Income Statement'!AE6</f>
        <v>115546.82999999999</v>
      </c>
      <c r="T2" s="41">
        <f>'[12]Income Statement'!AF6</f>
        <v>134994.31</v>
      </c>
      <c r="U2" s="41">
        <f>'[12]Income Statement'!AG6</f>
        <v>177977.16999999998</v>
      </c>
      <c r="V2" s="41">
        <f>'[12]Income Statement'!AH6</f>
        <v>181165.86000000002</v>
      </c>
    </row>
    <row r="3" spans="1:23" x14ac:dyDescent="0.3">
      <c r="A3" s="1" t="s">
        <v>101</v>
      </c>
      <c r="B3" s="41">
        <f>'[12]Income Statement'!B16+'[12]Income Statement'!B12+'[12]Income Statement'!B13</f>
        <v>7059.3900000000031</v>
      </c>
      <c r="C3" s="41">
        <f>'[12]Income Statement'!C16+'[12]Income Statement'!C12+'[12]Income Statement'!C13</f>
        <v>10596.720000000001</v>
      </c>
      <c r="D3" s="41">
        <f>'[12]Income Statement'!D16+'[12]Income Statement'!D12+'[12]Income Statement'!D13</f>
        <v>13789.450000000004</v>
      </c>
      <c r="E3" s="41">
        <f>'[12]Income Statement'!E16+'[12]Income Statement'!E12+'[12]Income Statement'!E13</f>
        <v>14311.880000000005</v>
      </c>
      <c r="F3" s="41">
        <f>'[12]Income Statement'!F16+'[12]Income Statement'!F12+'[12]Income Statement'!F13</f>
        <v>28110.929999999993</v>
      </c>
      <c r="I3" s="1" t="s">
        <v>94</v>
      </c>
      <c r="J3" s="41">
        <f>'[12]Income Statement'!P17+'[12]Income Statement'!P13+'[12]Income Statement'!P14</f>
        <v>8505.4299999999985</v>
      </c>
      <c r="K3" s="41">
        <f>'[12]Income Statement'!Q17+'[12]Income Statement'!Q13+'[12]Income Statement'!Q14</f>
        <v>7366.92</v>
      </c>
      <c r="L3" s="41">
        <f>'[12]Income Statement'!R17+'[12]Income Statement'!R13+'[12]Income Statement'!R14</f>
        <v>8431.1299999999974</v>
      </c>
      <c r="M3" s="41">
        <f>'[12]Income Statement'!S17+'[12]Income Statement'!S13+'[12]Income Statement'!S14</f>
        <v>9144.3399999999965</v>
      </c>
      <c r="N3" s="41">
        <f>'[12]Income Statement'!T17+'[12]Income Statement'!T13+'[12]Income Statement'!T14</f>
        <v>12607.250000000004</v>
      </c>
      <c r="Q3" s="1" t="s">
        <v>94</v>
      </c>
      <c r="R3" s="41">
        <f>'[12]Income Statement'!AD15+'[12]Income Statement'!AD11+'[12]Income Statement'!AD12</f>
        <v>34445.049999999974</v>
      </c>
      <c r="S3" s="41">
        <f>'[12]Income Statement'!AE15+'[12]Income Statement'!AE11+'[12]Income Statement'!AE12</f>
        <v>37989.509999999995</v>
      </c>
      <c r="T3" s="41">
        <f>'[12]Income Statement'!AF15+'[12]Income Statement'!AF11+'[12]Income Statement'!AF12</f>
        <v>42604.59</v>
      </c>
      <c r="U3" s="41">
        <f>'[12]Income Statement'!AG15+'[12]Income Statement'!AG11+'[12]Income Statement'!AG12</f>
        <v>49499.14999999998</v>
      </c>
      <c r="V3" s="41">
        <f>'[12]Income Statement'!AH15+'[12]Income Statement'!AH11+'[12]Income Statement'!AH12</f>
        <v>53757.69</v>
      </c>
    </row>
    <row r="4" spans="1:23" x14ac:dyDescent="0.3">
      <c r="A4" s="1" t="s">
        <v>102</v>
      </c>
      <c r="B4" s="41">
        <f>'[12]Income Statement'!B37</f>
        <v>-2264.4499999999962</v>
      </c>
      <c r="C4" s="41">
        <f>'[12]Income Statement'!C37</f>
        <v>1239.5800000000015</v>
      </c>
      <c r="D4" s="41">
        <f>'[12]Income Statement'!D37</f>
        <v>4955.2100000000046</v>
      </c>
      <c r="E4" s="41">
        <f>'[12]Income Statement'!E37</f>
        <v>10760.380000000003</v>
      </c>
      <c r="F4" s="41">
        <f>'[12]Income Statement'!F37</f>
        <v>20801.299999999992</v>
      </c>
      <c r="I4" s="1" t="s">
        <v>97</v>
      </c>
      <c r="J4" s="41">
        <f>'[12]Income Statement'!P44</f>
        <v>1316.4399999999994</v>
      </c>
      <c r="K4" s="41">
        <f>'[12]Income Statement'!Q44</f>
        <v>1438.6499999999999</v>
      </c>
      <c r="L4" s="41">
        <f>'[12]Income Statement'!R44</f>
        <v>2155.609999999996</v>
      </c>
      <c r="M4" s="41">
        <f>'[12]Income Statement'!S44</f>
        <v>3809.6699999999983</v>
      </c>
      <c r="N4" s="41">
        <f>'[12]Income Statement'!T44</f>
        <v>4280.1000000000031</v>
      </c>
      <c r="Q4" s="1" t="s">
        <v>97</v>
      </c>
      <c r="R4" s="41">
        <f>'[12]Income Statement'!AD27</f>
        <v>11908.909999999978</v>
      </c>
      <c r="S4" s="41">
        <f>'[12]Income Statement'!AE27</f>
        <v>14969.399999999996</v>
      </c>
      <c r="T4" s="41">
        <f>'[12]Income Statement'!AF27</f>
        <v>16960.29</v>
      </c>
      <c r="U4" s="41">
        <f>'[12]Income Statement'!AG27</f>
        <v>17121.34999999998</v>
      </c>
      <c r="V4" s="41">
        <f>'[12]Income Statement'!AH27</f>
        <v>21332.250000000007</v>
      </c>
    </row>
    <row r="5" spans="1:23" x14ac:dyDescent="0.3">
      <c r="A5" s="1" t="s">
        <v>66</v>
      </c>
      <c r="B5" s="52">
        <f>'[12]Financial Ratio'!B8</f>
        <v>-0.35102037667137254</v>
      </c>
      <c r="C5" s="52">
        <f>'[12]Financial Ratio'!C8</f>
        <v>9.6851882921770036E-2</v>
      </c>
      <c r="D5" s="52">
        <f>'[12]Financial Ratio'!D8</f>
        <v>0.26260302917538192</v>
      </c>
      <c r="E5" s="52">
        <f>'[12]Financial Ratio'!E8</f>
        <v>0.35904277930596362</v>
      </c>
      <c r="F5" s="52">
        <f>'[12]Financial Ratio'!F8</f>
        <v>0.48276220922780666</v>
      </c>
      <c r="I5" s="1" t="s">
        <v>66</v>
      </c>
      <c r="J5" s="42">
        <f>'[12]Financial Ratio'!P8</f>
        <v>6.0116740935041699E-2</v>
      </c>
      <c r="K5" s="42">
        <f>'[12]Financial Ratio'!Q8</f>
        <v>5.6977230494313559E-2</v>
      </c>
      <c r="L5" s="42">
        <f>'[12]Financial Ratio'!R8</f>
        <v>8.2817423696983833E-2</v>
      </c>
      <c r="M5" s="42">
        <f>'[12]Financial Ratio'!S8</f>
        <v>0.11138044188828708</v>
      </c>
      <c r="N5" s="42">
        <f>'[12]Financial Ratio'!T8</f>
        <v>0.11165642347265806</v>
      </c>
      <c r="Q5" s="1" t="s">
        <v>66</v>
      </c>
      <c r="R5" s="42">
        <f>'[12]Financial Ratio'!AD8</f>
        <v>9.7489078545650532E-2</v>
      </c>
      <c r="S5" s="42">
        <f>'[12]Financial Ratio'!AE8</f>
        <v>0.11580649498561757</v>
      </c>
      <c r="T5" s="42">
        <f>'[12]Financial Ratio'!AF8</f>
        <v>0.12189882929532396</v>
      </c>
      <c r="U5" s="42">
        <f>'[12]Financial Ratio'!AG8</f>
        <v>0.11342126144440907</v>
      </c>
      <c r="V5" s="42">
        <f>'[12]Financial Ratio'!AH8</f>
        <v>0.12919062164112563</v>
      </c>
    </row>
    <row r="6" spans="1:23" x14ac:dyDescent="0.3">
      <c r="A6" s="1" t="s">
        <v>86</v>
      </c>
      <c r="B6" s="56">
        <f>'[12]Financial Ratio'!B13</f>
        <v>8.0809434530009465</v>
      </c>
      <c r="C6" s="56">
        <f>'[12]Financial Ratio'!C13</f>
        <v>3.9970158473529285</v>
      </c>
      <c r="D6" s="56">
        <f>'[12]Financial Ratio'!D13</f>
        <v>2.6089147237085801</v>
      </c>
      <c r="E6" s="56">
        <f>'[12]Financial Ratio'!E13</f>
        <v>1.414263316693255</v>
      </c>
      <c r="F6" s="56">
        <f>'[12]Financial Ratio'!F13</f>
        <v>0.79862871807019264</v>
      </c>
      <c r="I6" s="1" t="s">
        <v>86</v>
      </c>
      <c r="J6" s="56">
        <f>'[12]Financial Ratio'!P13</f>
        <v>2.0339472994411376</v>
      </c>
      <c r="K6" s="56">
        <f>'[12]Financial Ratio'!Q13</f>
        <v>1.5240360624105924</v>
      </c>
      <c r="L6" s="56">
        <f>'[12]Financial Ratio'!R13</f>
        <v>1.8283832389622743</v>
      </c>
      <c r="M6" s="56">
        <f>'[12]Financial Ratio'!S13</f>
        <v>1.4318283879251972</v>
      </c>
      <c r="N6" s="56">
        <f>'[12]Financial Ratio'!T13</f>
        <v>1.2907966212720863</v>
      </c>
      <c r="Q6" s="1" t="s">
        <v>86</v>
      </c>
      <c r="R6" s="56">
        <f>'[12]Financial Ratio'!AD13</f>
        <v>1.576473511201014</v>
      </c>
      <c r="S6" s="56">
        <f>'[12]Financial Ratio'!AE13</f>
        <v>1.5258641777509863</v>
      </c>
      <c r="T6" s="56">
        <f>'[12]Financial Ratio'!AF13</f>
        <v>1.50613821265304</v>
      </c>
      <c r="U6" s="56">
        <f>'[12]Financial Ratio'!AG13</f>
        <v>1.456110691482589</v>
      </c>
      <c r="V6" s="56">
        <f>'[12]Financial Ratio'!AH13</f>
        <v>1.4234317743190075</v>
      </c>
    </row>
    <row r="7" spans="1:23" x14ac:dyDescent="0.3">
      <c r="A7" s="1" t="s">
        <v>95</v>
      </c>
      <c r="B7" s="56">
        <f>'[12]Financial Ratio'!B23</f>
        <v>-51.755556964332541</v>
      </c>
      <c r="C7" s="56">
        <f>'[12]Financial Ratio'!C23</f>
        <v>37.182539082639337</v>
      </c>
      <c r="D7" s="56">
        <f>'[12]Financial Ratio'!D23</f>
        <v>18.154503408021419</v>
      </c>
      <c r="E7" s="56">
        <f>'[12]Financial Ratio'!E23</f>
        <v>15.0886710881207</v>
      </c>
      <c r="F7" s="56">
        <f>'[12]Financial Ratio'!F23</f>
        <v>11.504788829671345</v>
      </c>
      <c r="I7" s="1" t="s">
        <v>95</v>
      </c>
      <c r="J7" s="56">
        <f>'[12]Financial Ratio'!P23</f>
        <v>41.366566894510008</v>
      </c>
      <c r="K7" s="56">
        <f>'[12]Financial Ratio'!Q23</f>
        <v>110.67905377785769</v>
      </c>
      <c r="L7" s="56">
        <f>'[12]Financial Ratio'!R23</f>
        <v>83.293855825534209</v>
      </c>
      <c r="M7" s="56">
        <f>'[12]Financial Ratio'!S23</f>
        <v>79.172136648943876</v>
      </c>
      <c r="N7" s="56">
        <f>'[12]Financial Ratio'!T23</f>
        <v>41.10032715167894</v>
      </c>
      <c r="Q7" s="1" t="s">
        <v>95</v>
      </c>
      <c r="R7" s="56">
        <f>'[12]Financial Ratio'!AD23</f>
        <v>17.836178597098449</v>
      </c>
      <c r="S7" s="56">
        <f>'[12]Financial Ratio'!AE23</f>
        <v>18.363633538583372</v>
      </c>
      <c r="T7" s="56">
        <f>'[12]Financial Ratio'!AF23</f>
        <v>17.424102523078563</v>
      </c>
      <c r="U7" s="56">
        <f>'[12]Financial Ratio'!AG23</f>
        <v>16.522864002187621</v>
      </c>
      <c r="V7" s="56">
        <f>'[12]Financial Ratio'!AH23</f>
        <v>21.94746648317934</v>
      </c>
    </row>
    <row r="9" spans="1:23" x14ac:dyDescent="0.3">
      <c r="A9" s="57" t="s">
        <v>82</v>
      </c>
      <c r="B9" s="58" t="s">
        <v>21</v>
      </c>
      <c r="C9" s="58" t="s">
        <v>22</v>
      </c>
      <c r="D9" s="58" t="s">
        <v>23</v>
      </c>
      <c r="E9" s="58" t="s">
        <v>24</v>
      </c>
      <c r="F9" s="58" t="s">
        <v>25</v>
      </c>
      <c r="G9" s="58" t="s">
        <v>26</v>
      </c>
      <c r="I9" s="57" t="s">
        <v>82</v>
      </c>
      <c r="J9" s="58" t="s">
        <v>21</v>
      </c>
      <c r="K9" s="58" t="s">
        <v>22</v>
      </c>
      <c r="L9" s="58" t="s">
        <v>23</v>
      </c>
      <c r="M9" s="58" t="s">
        <v>24</v>
      </c>
      <c r="N9" s="58" t="s">
        <v>25</v>
      </c>
      <c r="O9" s="58" t="s">
        <v>26</v>
      </c>
      <c r="Q9" s="57" t="s">
        <v>82</v>
      </c>
      <c r="R9" s="58" t="s">
        <v>21</v>
      </c>
      <c r="S9" s="58" t="s">
        <v>22</v>
      </c>
      <c r="T9" s="58" t="s">
        <v>23</v>
      </c>
      <c r="U9" s="58" t="s">
        <v>24</v>
      </c>
      <c r="V9" s="58" t="s">
        <v>25</v>
      </c>
      <c r="W9" s="58" t="s">
        <v>26</v>
      </c>
    </row>
    <row r="10" spans="1:23" x14ac:dyDescent="0.3">
      <c r="A10" s="1" t="s">
        <v>14</v>
      </c>
      <c r="B10" s="41">
        <f>'[12]FCFF Projections (5y )'!D3</f>
        <v>73778.504262243165</v>
      </c>
      <c r="C10" s="41">
        <f>'[12]FCFF Projections (5y )'!E3</f>
        <v>90297.512456128039</v>
      </c>
      <c r="D10" s="41">
        <f>'[12]FCFF Projections (5y )'!F3</f>
        <v>110515.12682857817</v>
      </c>
      <c r="E10" s="41">
        <f>'[12]FCFF Projections (5y )'!G3</f>
        <v>135259.46535759571</v>
      </c>
      <c r="F10" s="41">
        <f>'[12]FCFF Projections (5y )'!H3</f>
        <v>165544.06164868723</v>
      </c>
      <c r="G10" s="41">
        <f>'[12]FCFF Projections (5y )'!I3</f>
        <v>202609.37949660025</v>
      </c>
      <c r="I10" s="1" t="s">
        <v>14</v>
      </c>
      <c r="J10" s="41">
        <f>'[12]FCFF Projections (5y )'!X3</f>
        <v>76700.989735291965</v>
      </c>
      <c r="K10" s="41">
        <f>'[12]FCFF Projections (5y )'!Y3</f>
        <v>92979.707814939669</v>
      </c>
      <c r="L10" s="41">
        <f>'[12]FCFF Projections (5y )'!Z3</f>
        <v>112713.35735285404</v>
      </c>
      <c r="M10" s="41">
        <f>'[12]FCFF Projections (5y )'!AA3</f>
        <v>136635.19948931149</v>
      </c>
      <c r="N10" s="41">
        <f>'[12]FCFF Projections (5y )'!AB3</f>
        <v>165634.1198411762</v>
      </c>
      <c r="O10" s="41">
        <f>'[12]FCFF Projections (5y )'!AC3</f>
        <v>200787.65763215534</v>
      </c>
      <c r="Q10" s="1" t="s">
        <v>14</v>
      </c>
      <c r="R10" s="41">
        <f>'[12]FCFF Projections (5y )'!AR3</f>
        <v>205300.6409305374</v>
      </c>
      <c r="S10" s="41">
        <f>'[12]FCFF Projections (5y )'!AS3</f>
        <v>232650.63940021282</v>
      </c>
      <c r="T10" s="41">
        <f>'[12]FCFF Projections (5y )'!AT3</f>
        <v>263644.18429478392</v>
      </c>
      <c r="U10" s="41">
        <f>'[12]FCFF Projections (5y )'!AU3</f>
        <v>298766.66615513462</v>
      </c>
      <c r="V10" s="41">
        <f>'[12]FCFF Projections (5y )'!AV3</f>
        <v>338568.13888846949</v>
      </c>
      <c r="W10" s="41">
        <f>'[12]FCFF Projections (5y )'!AW3</f>
        <v>383671.93417381163</v>
      </c>
    </row>
    <row r="11" spans="1:23" x14ac:dyDescent="0.3">
      <c r="A11" s="1" t="s">
        <v>77</v>
      </c>
      <c r="B11" s="41">
        <f>'[12]FCFF Projections (5y )'!D4+'[12]FCFF Projections (5y )'!D7</f>
        <v>30798.324327556264</v>
      </c>
      <c r="C11" s="41">
        <f>'[12]FCFF Projections (5y )'!E4+'[12]FCFF Projections (5y )'!E7</f>
        <v>36002.380762709261</v>
      </c>
      <c r="D11" s="41">
        <f>'[12]FCFF Projections (5y )'!F4+'[12]FCFF Projections (5y )'!F7</f>
        <v>42112.198067767</v>
      </c>
      <c r="E11" s="41">
        <f>'[12]FCFF Projections (5y )'!G4+'[12]FCFF Projections (5y )'!G7</f>
        <v>49290.791849230947</v>
      </c>
      <c r="F11" s="41">
        <f>'[12]FCFF Projections (5y )'!H4+'[12]FCFF Projections (5y )'!H7</f>
        <v>57731.575829494534</v>
      </c>
      <c r="G11" s="41">
        <f>'[12]FCFF Projections (5y )'!I4+'[12]FCFF Projections (5y )'!I7</f>
        <v>67664.23235959775</v>
      </c>
      <c r="I11" s="1" t="s">
        <v>77</v>
      </c>
      <c r="J11" s="41">
        <f>'[12]FCFF Projections (5y )'!X4+'[12]FCFF Projections (5y )'!X7</f>
        <v>11533.415214148197</v>
      </c>
      <c r="K11" s="41">
        <f>'[12]FCFF Projections (5y )'!Y4+'[12]FCFF Projections (5y )'!Y7</f>
        <v>12942.474491729778</v>
      </c>
      <c r="L11" s="41">
        <f>'[12]FCFF Projections (5y )'!Z4+'[12]FCFF Projections (5y )'!Z7</f>
        <v>14611.549374923667</v>
      </c>
      <c r="M11" s="41">
        <f>'[12]FCFF Projections (5y )'!AA4+'[12]FCFF Projections (5y )'!AA7</f>
        <v>16594.3574690965</v>
      </c>
      <c r="N11" s="41">
        <f>'[12]FCFF Projections (5y )'!AB4+'[12]FCFF Projections (5y )'!AB7</f>
        <v>18955.962058748595</v>
      </c>
      <c r="O11" s="41">
        <f>'[12]FCFF Projections (5y )'!AC4+'[12]FCFF Projections (5y )'!AC7</f>
        <v>21775.177998014813</v>
      </c>
      <c r="Q11" s="1" t="s">
        <v>77</v>
      </c>
      <c r="R11" s="41">
        <f>'[12]FCFF Projections (5y )'!AR4+'[12]FCFF Projections (5y )'!AR7</f>
        <v>50598.843896164086</v>
      </c>
      <c r="S11" s="41">
        <f>'[12]FCFF Projections (5y )'!AS4+'[12]FCFF Projections (5y )'!AS7</f>
        <v>57745.891049757731</v>
      </c>
      <c r="T11" s="41">
        <f>'[12]FCFF Projections (5y )'!AT4+'[12]FCFF Projections (5y )'!AT7</f>
        <v>65904.496615227021</v>
      </c>
      <c r="U11" s="41">
        <f>'[12]FCFF Projections (5y )'!AU4+'[12]FCFF Projections (5y )'!AU7</f>
        <v>75218.113606509418</v>
      </c>
      <c r="V11" s="41">
        <f>'[12]FCFF Projections (5y )'!AV4+'[12]FCFF Projections (5y )'!AV7</f>
        <v>85850.577483350149</v>
      </c>
      <c r="W11" s="41">
        <f>'[12]FCFF Projections (5y )'!AW4+'[12]FCFF Projections (5y )'!AW7</f>
        <v>97989.007514571305</v>
      </c>
    </row>
    <row r="12" spans="1:23" x14ac:dyDescent="0.3">
      <c r="A12" s="1" t="s">
        <v>79</v>
      </c>
      <c r="B12" s="41">
        <f>'[12]FCFF Projections (5y )'!D6</f>
        <v>17618.497096115192</v>
      </c>
      <c r="C12" s="41">
        <f>'[12]FCFF Projections (5y )'!E6</f>
        <v>20320.366109098839</v>
      </c>
      <c r="D12" s="41">
        <f>'[12]FCFF Projections (5y )'!F6</f>
        <v>23436.577850834921</v>
      </c>
      <c r="E12" s="41">
        <f>'[12]FCFF Projections (5y )'!G6</f>
        <v>27030.673483402359</v>
      </c>
      <c r="F12" s="41">
        <f>'[12]FCFF Projections (5y )'!H6</f>
        <v>31175.9384674961</v>
      </c>
      <c r="G12" s="41">
        <f>'[12]FCFF Projections (5y )'!I6</f>
        <v>35956.896890708354</v>
      </c>
      <c r="I12" s="1" t="s">
        <v>79</v>
      </c>
      <c r="J12" s="41">
        <f>'[12]FCFF Projections (5y )'!X6</f>
        <v>4440.9522871744393</v>
      </c>
      <c r="K12" s="41">
        <f>'[12]FCFF Projections (5y )'!Y6</f>
        <v>4607.8496336440439</v>
      </c>
      <c r="L12" s="41">
        <f>'[12]FCFF Projections (5y )'!Z6</f>
        <v>4781.0192213937535</v>
      </c>
      <c r="M12" s="41">
        <f>'[12]FCFF Projections (5y )'!AA6</f>
        <v>4960.6967702328293</v>
      </c>
      <c r="N12" s="41">
        <f>'[12]FCFF Projections (5y )'!AB6</f>
        <v>5147.1268586585184</v>
      </c>
      <c r="O12" s="41">
        <f>'[12]FCFF Projections (5y )'!AC6</f>
        <v>5340.5632567782341</v>
      </c>
      <c r="Q12" s="1" t="s">
        <v>79</v>
      </c>
      <c r="R12" s="41">
        <f>'[12]FCFF Projections (5y )'!AR6</f>
        <v>23306.428827337681</v>
      </c>
      <c r="S12" s="41">
        <f>'[12]FCFF Projections (5y )'!AS6</f>
        <v>26715.667212618217</v>
      </c>
      <c r="T12" s="41">
        <f>'[12]FCFF Projections (5y )'!AT6</f>
        <v>30623.605182197014</v>
      </c>
      <c r="U12" s="41">
        <f>'[12]FCFF Projections (5y )'!AU6</f>
        <v>35103.191954425303</v>
      </c>
      <c r="V12" s="41">
        <f>'[12]FCFF Projections (5y )'!AV6</f>
        <v>40238.047677860835</v>
      </c>
      <c r="W12" s="41">
        <f>'[12]FCFF Projections (5y )'!AW6</f>
        <v>46124.024363023447</v>
      </c>
    </row>
    <row r="13" spans="1:23" x14ac:dyDescent="0.3">
      <c r="A13" s="1" t="s">
        <v>78</v>
      </c>
      <c r="B13" s="52">
        <f>B11/B10</f>
        <v>0.41744305655865122</v>
      </c>
      <c r="C13" s="52">
        <f t="shared" ref="C13:G13" si="0">C11/C10</f>
        <v>0.39870844482234635</v>
      </c>
      <c r="D13" s="52">
        <f t="shared" si="0"/>
        <v>0.3810537007579779</v>
      </c>
      <c r="E13" s="52">
        <f t="shared" si="0"/>
        <v>0.36441658052482423</v>
      </c>
      <c r="F13" s="52">
        <f t="shared" si="0"/>
        <v>0.34873842803259714</v>
      </c>
      <c r="G13" s="52">
        <f t="shared" si="0"/>
        <v>0.33396396814261575</v>
      </c>
      <c r="I13" s="1" t="s">
        <v>78</v>
      </c>
      <c r="J13" s="52">
        <f>J11/J10</f>
        <v>0.15036853180059287</v>
      </c>
      <c r="K13" s="52">
        <f t="shared" ref="K13:O13" si="1">K11/K10</f>
        <v>0.13919676449714788</v>
      </c>
      <c r="L13" s="52">
        <f t="shared" si="1"/>
        <v>0.12963458562574423</v>
      </c>
      <c r="M13" s="52">
        <f t="shared" si="1"/>
        <v>0.12145009141948536</v>
      </c>
      <c r="N13" s="52">
        <f t="shared" si="1"/>
        <v>0.11444478998001832</v>
      </c>
      <c r="O13" s="52">
        <f t="shared" si="1"/>
        <v>0.10844878741454876</v>
      </c>
      <c r="Q13" s="1" t="s">
        <v>78</v>
      </c>
      <c r="R13" s="52">
        <f>R11/R10</f>
        <v>0.24646218183646096</v>
      </c>
      <c r="S13" s="52">
        <f t="shared" ref="S13:W13" si="2">S11/S10</f>
        <v>0.24820860668438338</v>
      </c>
      <c r="T13" s="52">
        <f t="shared" si="2"/>
        <v>0.24997515796342529</v>
      </c>
      <c r="U13" s="52">
        <f t="shared" si="2"/>
        <v>0.25176206761785269</v>
      </c>
      <c r="V13" s="52">
        <f t="shared" si="2"/>
        <v>0.25356957026494126</v>
      </c>
      <c r="W13" s="52">
        <f t="shared" si="2"/>
        <v>0.25539790322578088</v>
      </c>
    </row>
    <row r="14" spans="1:23" x14ac:dyDescent="0.3">
      <c r="A14" s="1" t="s">
        <v>97</v>
      </c>
      <c r="B14" s="52">
        <f>B12/B10</f>
        <v>0.23880257904783281</v>
      </c>
      <c r="C14" s="52">
        <f t="shared" ref="C14:G14" si="3">C12/C10</f>
        <v>0.22503793910127584</v>
      </c>
      <c r="D14" s="52">
        <f t="shared" si="3"/>
        <v>0.2120666964187426</v>
      </c>
      <c r="E14" s="52">
        <f t="shared" si="3"/>
        <v>0.19984311938494889</v>
      </c>
      <c r="F14" s="52">
        <f t="shared" si="3"/>
        <v>0.18832411236626997</v>
      </c>
      <c r="G14" s="52">
        <f t="shared" si="3"/>
        <v>0.17746906377210295</v>
      </c>
      <c r="I14" s="1" t="s">
        <v>97</v>
      </c>
      <c r="J14" s="52">
        <f>J12/J10</f>
        <v>5.7899543441367753E-2</v>
      </c>
      <c r="K14" s="52">
        <f t="shared" ref="K14:O14" si="4">K12/K10</f>
        <v>4.9557583497844351E-2</v>
      </c>
      <c r="L14" s="52">
        <f t="shared" si="4"/>
        <v>4.2417503423543369E-2</v>
      </c>
      <c r="M14" s="52">
        <f t="shared" si="4"/>
        <v>3.6306140648778337E-2</v>
      </c>
      <c r="N14" s="52">
        <f t="shared" si="4"/>
        <v>3.1075281249986493E-2</v>
      </c>
      <c r="O14" s="52">
        <f t="shared" si="4"/>
        <v>2.6598065437678398E-2</v>
      </c>
      <c r="Q14" s="1" t="s">
        <v>97</v>
      </c>
      <c r="R14" s="52">
        <f>R12/R10</f>
        <v>0.11352340996939855</v>
      </c>
      <c r="S14" s="52">
        <f t="shared" ref="S14:W14" si="5">S12/S10</f>
        <v>0.11483169477415921</v>
      </c>
      <c r="T14" s="52">
        <f t="shared" si="5"/>
        <v>0.11615505672583459</v>
      </c>
      <c r="U14" s="52">
        <f t="shared" si="5"/>
        <v>0.1174936695789147</v>
      </c>
      <c r="V14" s="52">
        <f t="shared" si="5"/>
        <v>0.11884770909029919</v>
      </c>
      <c r="W14" s="52">
        <f t="shared" si="5"/>
        <v>0.12021735304237363</v>
      </c>
    </row>
    <row r="16" spans="1:23" x14ac:dyDescent="0.3">
      <c r="A16" s="57" t="s">
        <v>60</v>
      </c>
      <c r="B16" s="58" t="s">
        <v>16</v>
      </c>
      <c r="C16" s="58" t="s">
        <v>17</v>
      </c>
      <c r="D16" s="58" t="s">
        <v>18</v>
      </c>
      <c r="E16" s="58" t="s">
        <v>19</v>
      </c>
      <c r="F16" s="58" t="s">
        <v>20</v>
      </c>
      <c r="I16" s="57" t="s">
        <v>60</v>
      </c>
      <c r="J16" s="58" t="s">
        <v>16</v>
      </c>
      <c r="K16" s="58" t="s">
        <v>17</v>
      </c>
      <c r="L16" s="58" t="s">
        <v>18</v>
      </c>
      <c r="M16" s="58" t="s">
        <v>19</v>
      </c>
      <c r="N16" s="58" t="s">
        <v>20</v>
      </c>
    </row>
    <row r="17" spans="1:21" x14ac:dyDescent="0.3">
      <c r="A17" s="1" t="s">
        <v>14</v>
      </c>
      <c r="B17" s="41">
        <f>'[12]Income Statement'!I6</f>
        <v>8202.41</v>
      </c>
      <c r="C17" s="41">
        <f>'[12]Income Statement'!J6</f>
        <v>8388.6</v>
      </c>
      <c r="D17" s="41">
        <f>'[12]Income Statement'!K6</f>
        <v>7686.73</v>
      </c>
      <c r="E17" s="41">
        <f>'[12]Income Statement'!L6</f>
        <v>7882.74</v>
      </c>
      <c r="F17" s="41">
        <f>'[12]Income Statement'!M6</f>
        <v>8260.23</v>
      </c>
      <c r="I17" s="1" t="s">
        <v>14</v>
      </c>
      <c r="J17" s="41">
        <f>'[12]Income Statement'!W6</f>
        <v>8559.6899999999987</v>
      </c>
      <c r="K17" s="41">
        <f>'[12]Income Statement'!X6</f>
        <v>7159.65</v>
      </c>
      <c r="L17" s="41">
        <f>'[12]Income Statement'!Y6</f>
        <v>8735.84</v>
      </c>
      <c r="M17" s="41">
        <f>'[12]Income Statement'!Z6</f>
        <v>10867.05</v>
      </c>
      <c r="N17" s="41">
        <f>'[12]Income Statement'!AA6</f>
        <v>11942.34</v>
      </c>
      <c r="T17" s="52">
        <f>(G12-B12)/B12</f>
        <v>1.0408606190727077</v>
      </c>
      <c r="U17" s="1">
        <f>(G12/B12)^(1/6)-1</f>
        <v>0.12625195429793457</v>
      </c>
    </row>
    <row r="18" spans="1:21" x14ac:dyDescent="0.3">
      <c r="A18" s="1" t="s">
        <v>94</v>
      </c>
      <c r="B18" s="41">
        <f>'[12]Income Statement'!I14+'[12]Income Statement'!I10+'[12]Income Statement'!I11</f>
        <v>3662.7699999999995</v>
      </c>
      <c r="C18" s="41">
        <f>'[12]Income Statement'!J14+'[12]Income Statement'!J10+'[12]Income Statement'!J11</f>
        <v>4029.55</v>
      </c>
      <c r="D18" s="41">
        <f>'[12]Income Statement'!K14+'[12]Income Statement'!K10+'[12]Income Statement'!K11</f>
        <v>2904.96</v>
      </c>
      <c r="E18" s="41">
        <f>'[12]Income Statement'!L14+'[12]Income Statement'!L10+'[12]Income Statement'!L11</f>
        <v>2225.0300000000007</v>
      </c>
      <c r="F18" s="41">
        <f>'[12]Income Statement'!M14+'[12]Income Statement'!M10+'[12]Income Statement'!M11</f>
        <v>1524.9399999999996</v>
      </c>
      <c r="I18" s="1" t="s">
        <v>94</v>
      </c>
      <c r="J18" s="41">
        <f>'[12]Income Statement'!W17+'[12]Income Statement'!W12+'[12]Income Statement'!W13</f>
        <v>3271.8799999999983</v>
      </c>
      <c r="K18" s="41">
        <f>'[12]Income Statement'!X17+'[12]Income Statement'!X12+'[12]Income Statement'!X13</f>
        <v>3161.18</v>
      </c>
      <c r="L18" s="41">
        <f>'[12]Income Statement'!Y17+'[12]Income Statement'!Y12+'[12]Income Statement'!Y13</f>
        <v>4146.2299999999996</v>
      </c>
      <c r="M18" s="41">
        <f>'[12]Income Statement'!Z17+'[12]Income Statement'!Z12+'[12]Income Statement'!Z13</f>
        <v>3836.3699999999994</v>
      </c>
      <c r="N18" s="41">
        <f>'[12]Income Statement'!AA17+'[12]Income Statement'!AA12+'[12]Income Statement'!AA13</f>
        <v>5854.7199999999993</v>
      </c>
      <c r="T18" s="52">
        <f>(G27-B27)/B27</f>
        <v>-0.38069371399573937</v>
      </c>
      <c r="U18" s="1">
        <f>(G27/B27)^(1/6)-1</f>
        <v>-7.6753688286584687E-2</v>
      </c>
    </row>
    <row r="19" spans="1:21" x14ac:dyDescent="0.3">
      <c r="A19" s="1" t="s">
        <v>97</v>
      </c>
      <c r="B19" s="41">
        <f>'[12]Income Statement'!I38</f>
        <v>-4050.2699999999995</v>
      </c>
      <c r="C19" s="41">
        <f>'[12]Income Statement'!J38</f>
        <v>229.73000000000005</v>
      </c>
      <c r="D19" s="41">
        <f>'[12]Income Statement'!K38</f>
        <v>-604.92999999999961</v>
      </c>
      <c r="E19" s="41">
        <f>'[12]Income Statement'!L38</f>
        <v>-506.69999999999965</v>
      </c>
      <c r="F19" s="41">
        <f>'[12]Income Statement'!M38</f>
        <v>-2065.2200000000003</v>
      </c>
      <c r="I19" s="1" t="s">
        <v>97</v>
      </c>
      <c r="J19" s="41">
        <f>'[12]Income Statement'!W24</f>
        <v>1081.1799999999985</v>
      </c>
      <c r="K19" s="41">
        <f>'[12]Income Statement'!X24</f>
        <v>822.67999999999972</v>
      </c>
      <c r="L19" s="41">
        <f>'[12]Income Statement'!Y24</f>
        <v>1743.4799999999993</v>
      </c>
      <c r="M19" s="41">
        <f>'[12]Income Statement'!Z24</f>
        <v>1480.1199999999994</v>
      </c>
      <c r="N19" s="41">
        <f>'[12]Income Statement'!AA24</f>
        <v>1725.6499999999999</v>
      </c>
      <c r="T19" s="52">
        <f>(O12-J12)/J12</f>
        <v>0.2025716358633011</v>
      </c>
      <c r="U19" s="1">
        <f>(O12/J12)^(1/6)-1</f>
        <v>3.1221184126513313E-2</v>
      </c>
    </row>
    <row r="20" spans="1:21" x14ac:dyDescent="0.3">
      <c r="A20" s="1" t="s">
        <v>66</v>
      </c>
      <c r="B20" s="42">
        <f>'[12]Financial Ratio'!I8</f>
        <v>-0.62905971035961994</v>
      </c>
      <c r="C20" s="42">
        <f>'[12]Financial Ratio'!J8</f>
        <v>1.7435901346796217E-2</v>
      </c>
      <c r="D20" s="42">
        <f>'[12]Financial Ratio'!K8</f>
        <v>-3.2395644865329566E-2</v>
      </c>
      <c r="E20" s="42">
        <f>'[12]Financial Ratio'!L8</f>
        <v>-1.5757643513147481E-2</v>
      </c>
      <c r="F20" s="42">
        <f>'[12]Financial Ratio'!M8</f>
        <v>-4.7940168311390675E-2</v>
      </c>
      <c r="I20" s="1" t="s">
        <v>66</v>
      </c>
      <c r="J20" s="52">
        <f>'[12]Financial Ratio'!W8</f>
        <v>9.3030499630865376E-2</v>
      </c>
      <c r="K20" s="52">
        <f>'[12]Financial Ratio'!X8</f>
        <v>5.6743282651459323E-2</v>
      </c>
      <c r="L20" s="52">
        <f>'[12]Financial Ratio'!Y8</f>
        <v>0.10010242889689125</v>
      </c>
      <c r="M20" s="52">
        <f>'[12]Financial Ratio'!Z8</f>
        <v>7.9006393661211718E-2</v>
      </c>
      <c r="N20" s="52">
        <f>'[12]Financial Ratio'!AA8</f>
        <v>8.2118125613869442E-2</v>
      </c>
      <c r="T20" s="52">
        <f>(O27-J27)/J27</f>
        <v>1.2529202328044671</v>
      </c>
      <c r="U20" s="1">
        <f>(O27/J27)^(1/6)-1</f>
        <v>0.14496172594338597</v>
      </c>
    </row>
    <row r="21" spans="1:21" x14ac:dyDescent="0.3">
      <c r="A21" s="1" t="s">
        <v>86</v>
      </c>
      <c r="B21" s="56">
        <f>'[12]Financial Ratio'!I13</f>
        <v>1.8313804771866771</v>
      </c>
      <c r="C21" s="56">
        <f>'[12]Financial Ratio'!J13</f>
        <v>1.4930529866764153</v>
      </c>
      <c r="D21" s="56">
        <f>'[12]Financial Ratio'!K13</f>
        <v>1.6411449790898958</v>
      </c>
      <c r="E21" s="56">
        <f>'[12]Financial Ratio'!L13</f>
        <v>1.5982405530765482</v>
      </c>
      <c r="F21" s="56">
        <f>'[12]Financial Ratio'!M13</f>
        <v>1.6158133471558982</v>
      </c>
      <c r="I21" s="1" t="s">
        <v>86</v>
      </c>
      <c r="J21" s="56">
        <f>'[12]Financial Ratio'!W13</f>
        <v>0.71251908055392554</v>
      </c>
      <c r="K21" s="56">
        <f>'[12]Financial Ratio'!X13</f>
        <v>0.50091321177408632</v>
      </c>
      <c r="L21" s="56">
        <f>'[12]Financial Ratio'!Y13</f>
        <v>0.51056786029249646</v>
      </c>
      <c r="M21" s="56">
        <f>'[12]Financial Ratio'!Z13</f>
        <v>1.3247027625441841</v>
      </c>
      <c r="N21" s="56">
        <f>'[12]Financial Ratio'!AA13</f>
        <v>1.4907324747409374</v>
      </c>
      <c r="T21" s="52">
        <f>(W12-R12)/R12</f>
        <v>0.97902581749982531</v>
      </c>
      <c r="U21" s="1">
        <f>(W12/R12)^(1/6)-1</f>
        <v>0.12049152657056927</v>
      </c>
    </row>
    <row r="22" spans="1:21" x14ac:dyDescent="0.3">
      <c r="A22" s="1" t="s">
        <v>95</v>
      </c>
      <c r="B22" s="56">
        <f>'[12]Financial Ratio'!I23</f>
        <v>-113.61152747252748</v>
      </c>
      <c r="C22" s="56">
        <f>'[12]Financial Ratio'!J23</f>
        <v>54.640440220723484</v>
      </c>
      <c r="D22" s="56">
        <f>'[12]Financial Ratio'!K23</f>
        <v>-54.722602608362138</v>
      </c>
      <c r="E22" s="56">
        <f>'[12]Financial Ratio'!L23</f>
        <v>-18.820515097690947</v>
      </c>
      <c r="F22" s="56">
        <f>'[12]Financial Ratio'!M23</f>
        <v>-15.071189829485432</v>
      </c>
      <c r="I22" s="1" t="s">
        <v>95</v>
      </c>
      <c r="J22" s="56">
        <f>'[12]Financial Ratio'!W23</f>
        <v>15.537888977544762</v>
      </c>
      <c r="K22" s="56">
        <f>'[12]Financial Ratio'!X23</f>
        <v>20.232408814935514</v>
      </c>
      <c r="L22" s="56">
        <f>'[12]Financial Ratio'!Y23</f>
        <v>27.274338663342679</v>
      </c>
      <c r="M22" s="56">
        <f>'[12]Financial Ratio'!Z23</f>
        <v>34.796291501174004</v>
      </c>
      <c r="N22" s="56">
        <f>'[12]Financial Ratio'!AA23</f>
        <v>55.601246361703204</v>
      </c>
      <c r="T22" s="154">
        <f>AVERAGE(T17:T21)</f>
        <v>0.61893691824891239</v>
      </c>
      <c r="U22" s="154">
        <f>AVERAGE(U17:U21)</f>
        <v>6.9234540530363681E-2</v>
      </c>
    </row>
    <row r="24" spans="1:21" x14ac:dyDescent="0.3">
      <c r="A24" s="57" t="s">
        <v>82</v>
      </c>
      <c r="B24" s="58" t="s">
        <v>21</v>
      </c>
      <c r="C24" s="58" t="s">
        <v>22</v>
      </c>
      <c r="D24" s="58" t="s">
        <v>23</v>
      </c>
      <c r="E24" s="58" t="s">
        <v>24</v>
      </c>
      <c r="F24" s="58" t="s">
        <v>25</v>
      </c>
      <c r="G24" s="58" t="s">
        <v>26</v>
      </c>
      <c r="I24" s="57" t="s">
        <v>82</v>
      </c>
      <c r="J24" s="58" t="s">
        <v>21</v>
      </c>
      <c r="K24" s="58" t="s">
        <v>22</v>
      </c>
      <c r="L24" s="58" t="s">
        <v>23</v>
      </c>
      <c r="M24" s="58" t="s">
        <v>24</v>
      </c>
      <c r="N24" s="58" t="s">
        <v>25</v>
      </c>
      <c r="O24" s="58" t="s">
        <v>26</v>
      </c>
    </row>
    <row r="25" spans="1:21" x14ac:dyDescent="0.3">
      <c r="A25" s="1" t="s">
        <v>14</v>
      </c>
      <c r="B25" s="41">
        <f>'[12]FCFF Projections (5y )'!N3</f>
        <v>8285.8736425387178</v>
      </c>
      <c r="C25" s="41">
        <f>'[12]FCFF Projections (5y )'!O3</f>
        <v>8311.5968950159786</v>
      </c>
      <c r="D25" s="41">
        <f>'[12]FCFF Projections (5y )'!P3</f>
        <v>8337.4000045785087</v>
      </c>
      <c r="E25" s="41">
        <f>'[12]FCFF Projections (5y )'!Q3</f>
        <v>8363.2832191402958</v>
      </c>
      <c r="F25" s="41">
        <f>'[12]FCFF Projections (5y )'!R3</f>
        <v>8389.2467873849673</v>
      </c>
      <c r="G25" s="41">
        <f>'[12]FCFF Projections (5y )'!S3</f>
        <v>8415.2909587681843</v>
      </c>
      <c r="I25" s="1" t="s">
        <v>14</v>
      </c>
      <c r="J25" s="41">
        <f>'[12]FCFF Projections (5y )'!AH3</f>
        <v>13117.003979751122</v>
      </c>
      <c r="K25" s="41">
        <f>'[12]FCFF Projections (5y )'!AI3</f>
        <v>14407.209425021123</v>
      </c>
      <c r="L25" s="41">
        <f>'[12]FCFF Projections (5y )'!AJ3</f>
        <v>15824.321143520445</v>
      </c>
      <c r="M25" s="41">
        <f>'[12]FCFF Projections (5y )'!AK3</f>
        <v>17380.82180011769</v>
      </c>
      <c r="N25" s="41">
        <f>'[12]FCFF Projections (5y )'!AL3</f>
        <v>19090.421870712842</v>
      </c>
      <c r="O25" s="41">
        <f>'[12]FCFF Projections (5y )'!AM3</f>
        <v>20968.180411315388</v>
      </c>
    </row>
    <row r="26" spans="1:21" x14ac:dyDescent="0.3">
      <c r="A26" s="1" t="s">
        <v>77</v>
      </c>
      <c r="B26" s="41">
        <f>'[12]FCFF Projections (5y )'!N4+'[12]FCFF Projections (5y )'!$N$7</f>
        <v>-797.49359064694613</v>
      </c>
      <c r="C26" s="41">
        <f>'[12]FCFF Projections (5y )'!O4+'[12]FCFF Projections (5y )'!$N$7</f>
        <v>-629.09277171136796</v>
      </c>
      <c r="D26" s="41">
        <f>'[12]FCFF Projections (5y )'!P4+'[12]FCFF Projections (5y )'!$N$7</f>
        <v>-476.08084041951997</v>
      </c>
      <c r="E26" s="41">
        <f>'[12]FCFF Projections (5y )'!Q4+'[12]FCFF Projections (5y )'!$N$7</f>
        <v>-337.05152176390357</v>
      </c>
      <c r="F26" s="41">
        <f>'[12]FCFF Projections (5y )'!R4+'[12]FCFF Projections (5y )'!$N$7</f>
        <v>-210.72704966128458</v>
      </c>
      <c r="G26" s="41">
        <f>'[12]FCFF Projections (5y )'!S4+'[12]FCFF Projections (5y )'!$N$7</f>
        <v>-95.946423486067943</v>
      </c>
      <c r="I26" s="1" t="s">
        <v>77</v>
      </c>
      <c r="J26" s="41">
        <f>'[12]FCFF Projections (5y )'!AH4+'[12]FCFF Projections (5y )'!AH7</f>
        <v>4316.6016840355178</v>
      </c>
      <c r="K26" s="41">
        <f>'[12]FCFF Projections (5y )'!AI4+'[12]FCFF Projections (5y )'!AI7</f>
        <v>4940.1694927073459</v>
      </c>
      <c r="L26" s="41">
        <f>'[12]FCFF Projections (5y )'!AJ4+'[12]FCFF Projections (5y )'!AJ7</f>
        <v>5660.1693818011572</v>
      </c>
      <c r="M26" s="41">
        <f>'[12]FCFF Projections (5y )'!AK4+'[12]FCFF Projections (5y )'!AK7</f>
        <v>6492.2771153308004</v>
      </c>
      <c r="N26" s="41">
        <f>'[12]FCFF Projections (5y )'!AL4+'[12]FCFF Projections (5y )'!AL7</f>
        <v>7454.8022658804457</v>
      </c>
      <c r="O26" s="41">
        <f>'[12]FCFF Projections (5y )'!AM4+'[12]FCFF Projections (5y )'!AM7</f>
        <v>8569.1398768254294</v>
      </c>
    </row>
    <row r="27" spans="1:21" x14ac:dyDescent="0.3">
      <c r="A27" s="1" t="s">
        <v>79</v>
      </c>
      <c r="B27" s="41">
        <f>'[12]FCFF Projections (5y )'!N6</f>
        <v>-2037.2839887150533</v>
      </c>
      <c r="C27" s="41">
        <f>'[12]FCFF Projections (5y )'!O6</f>
        <v>-1851.1118869469519</v>
      </c>
      <c r="D27" s="41">
        <f>'[12]FCFF Projections (5y )'!P6</f>
        <v>-1681.9526570556936</v>
      </c>
      <c r="E27" s="41">
        <f>'[12]FCFF Projections (5y )'!Q6</f>
        <v>-1528.2516202964548</v>
      </c>
      <c r="F27" s="41">
        <f>'[12]FCFF Projections (5y )'!R6</f>
        <v>-1388.5961683530334</v>
      </c>
      <c r="G27" s="41">
        <f>'[12]FCFF Projections (5y )'!S6</f>
        <v>-1261.7027805870657</v>
      </c>
      <c r="I27" s="1" t="s">
        <v>79</v>
      </c>
      <c r="J27" s="41">
        <f>'[12]FCFF Projections (5y )'!AH6</f>
        <v>2030.0273021342168</v>
      </c>
      <c r="K27" s="41">
        <f>'[12]FCFF Projections (5y )'!AI6</f>
        <v>2388.0919348711077</v>
      </c>
      <c r="L27" s="41">
        <f>'[12]FCFF Projections (5y )'!AJ6</f>
        <v>2809.3134921883793</v>
      </c>
      <c r="M27" s="41">
        <f>'[12]FCFF Projections (5y )'!AK6</f>
        <v>3304.8318543136966</v>
      </c>
      <c r="N27" s="41">
        <f>'[12]FCFF Projections (5y )'!AL6</f>
        <v>3887.7517997390287</v>
      </c>
      <c r="O27" s="41">
        <f>'[12]FCFF Projections (5y )'!AM6</f>
        <v>4573.4895821236441</v>
      </c>
    </row>
    <row r="28" spans="1:21" x14ac:dyDescent="0.3">
      <c r="A28" s="1" t="s">
        <v>78</v>
      </c>
      <c r="B28" s="52">
        <f>B26/B25</f>
        <v>-9.6247375358550755E-2</v>
      </c>
      <c r="C28" s="52">
        <f t="shared" ref="C28:G28" si="6">C26/C25</f>
        <v>-7.5688556562289649E-2</v>
      </c>
      <c r="D28" s="52">
        <f t="shared" si="6"/>
        <v>-5.7101835123429215E-2</v>
      </c>
      <c r="E28" s="52">
        <f t="shared" si="6"/>
        <v>-4.0301340147434445E-2</v>
      </c>
      <c r="F28" s="52">
        <f t="shared" si="6"/>
        <v>-2.5118709104869571E-2</v>
      </c>
      <c r="G28" s="52">
        <f t="shared" si="6"/>
        <v>-1.140143863785221E-2</v>
      </c>
      <c r="I28" s="1" t="s">
        <v>78</v>
      </c>
      <c r="J28" s="52">
        <f>J26/J25</f>
        <v>0.32908442283764711</v>
      </c>
      <c r="K28" s="52">
        <f t="shared" ref="K28:O28" si="7">K26/K25</f>
        <v>0.34289565362517127</v>
      </c>
      <c r="L28" s="52">
        <f t="shared" si="7"/>
        <v>0.3576879747614839</v>
      </c>
      <c r="M28" s="52">
        <f t="shared" si="7"/>
        <v>0.37353107867930846</v>
      </c>
      <c r="N28" s="52">
        <f t="shared" si="7"/>
        <v>0.39049960846161652</v>
      </c>
      <c r="O28" s="52">
        <f t="shared" si="7"/>
        <v>0.40867350951449893</v>
      </c>
    </row>
    <row r="29" spans="1:21" x14ac:dyDescent="0.3">
      <c r="A29" s="1" t="s">
        <v>97</v>
      </c>
      <c r="B29" s="52">
        <f>B27/B25</f>
        <v>-0.24587437325327685</v>
      </c>
      <c r="C29" s="52">
        <f t="shared" ref="C29:G29" si="8">C27/C25</f>
        <v>-0.2227143484372979</v>
      </c>
      <c r="D29" s="52">
        <f t="shared" si="8"/>
        <v>-0.20173587163048962</v>
      </c>
      <c r="E29" s="52">
        <f t="shared" si="8"/>
        <v>-0.18273345290984316</v>
      </c>
      <c r="F29" s="52">
        <f t="shared" si="8"/>
        <v>-0.16552095838223352</v>
      </c>
      <c r="G29" s="52">
        <f t="shared" si="8"/>
        <v>-0.14992978695198336</v>
      </c>
      <c r="I29" s="1" t="s">
        <v>97</v>
      </c>
      <c r="J29" s="52">
        <f>J27/J25</f>
        <v>0.15476303165478905</v>
      </c>
      <c r="K29" s="52">
        <f t="shared" ref="K29:O29" si="9">K27/K25</f>
        <v>0.16575673084363501</v>
      </c>
      <c r="L29" s="52">
        <f t="shared" si="9"/>
        <v>0.17753137507189076</v>
      </c>
      <c r="M29" s="52">
        <f t="shared" si="9"/>
        <v>0.19014243931154731</v>
      </c>
      <c r="N29" s="52">
        <f t="shared" si="9"/>
        <v>0.2036493392376697</v>
      </c>
      <c r="O29" s="52">
        <f t="shared" si="9"/>
        <v>0.21811571115897019</v>
      </c>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EB89F-F955-4465-AA1D-20C0674F9902}">
  <dimension ref="A1:T41"/>
  <sheetViews>
    <sheetView topLeftCell="J1" workbookViewId="0">
      <selection activeCell="T15" sqref="T15"/>
    </sheetView>
  </sheetViews>
  <sheetFormatPr defaultRowHeight="14.4" x14ac:dyDescent="0.3"/>
  <cols>
    <col min="1" max="1" width="15.21875" style="1" bestFit="1" customWidth="1"/>
    <col min="2" max="3" width="10.88671875" style="1" bestFit="1" customWidth="1"/>
    <col min="4" max="7" width="12.33203125" style="1" bestFit="1" customWidth="1"/>
    <col min="8" max="8" width="8.88671875" style="1"/>
    <col min="9" max="9" width="15.21875" style="1" bestFit="1" customWidth="1"/>
    <col min="10" max="15" width="10.88671875" style="1" bestFit="1" customWidth="1"/>
    <col min="16" max="16384" width="8.88671875" style="1"/>
  </cols>
  <sheetData>
    <row r="1" spans="1:20" x14ac:dyDescent="0.3">
      <c r="A1" s="59" t="s">
        <v>60</v>
      </c>
      <c r="B1" s="60" t="s">
        <v>16</v>
      </c>
      <c r="C1" s="60" t="s">
        <v>17</v>
      </c>
      <c r="D1" s="60" t="s">
        <v>18</v>
      </c>
      <c r="E1" s="60" t="s">
        <v>19</v>
      </c>
      <c r="F1" s="60" t="s">
        <v>20</v>
      </c>
      <c r="G1" s="60" t="s">
        <v>21</v>
      </c>
      <c r="I1" s="59" t="s">
        <v>60</v>
      </c>
      <c r="J1" s="60" t="s">
        <v>16</v>
      </c>
      <c r="K1" s="60" t="s">
        <v>17</v>
      </c>
      <c r="L1" s="60" t="s">
        <v>18</v>
      </c>
      <c r="M1" s="60" t="s">
        <v>19</v>
      </c>
      <c r="N1" s="60" t="s">
        <v>20</v>
      </c>
      <c r="O1" s="60" t="s">
        <v>21</v>
      </c>
    </row>
    <row r="2" spans="1:20" x14ac:dyDescent="0.3">
      <c r="A2" s="1" t="s">
        <v>14</v>
      </c>
      <c r="B2" s="41">
        <f>'[13]Income Statement'!B6</f>
        <v>56559.6</v>
      </c>
      <c r="C2" s="41">
        <f>'[13]Income Statement'!C6</f>
        <v>66713.8</v>
      </c>
      <c r="D2" s="41">
        <f>'[13]Income Statement'!D6</f>
        <v>71399</v>
      </c>
      <c r="E2" s="41">
        <f>'[13]Income Statement'!E6</f>
        <v>87353.900000000009</v>
      </c>
      <c r="F2" s="41">
        <f>'[13]Income Statement'!F6</f>
        <v>151417.79999999999</v>
      </c>
      <c r="G2" s="41">
        <f>'[13]Income Statement'!G6</f>
        <v>174558.90000000002</v>
      </c>
      <c r="I2" s="1" t="s">
        <v>14</v>
      </c>
      <c r="J2" s="41">
        <f>'[13]Income Statement'!Z6</f>
        <v>17137.670000000002</v>
      </c>
      <c r="K2" s="41">
        <f>'[13]Income Statement'!AA6</f>
        <v>17256.859999999997</v>
      </c>
      <c r="L2" s="41">
        <f>'[13]Income Statement'!AB6</f>
        <v>17056.82</v>
      </c>
      <c r="M2" s="41">
        <f>'[13]Income Statement'!AC6</f>
        <v>18201.41</v>
      </c>
      <c r="N2" s="41">
        <f>'[13]Income Statement'!AD6</f>
        <v>21048.799999999999</v>
      </c>
      <c r="O2" s="41">
        <f>'[13]Income Statement'!AE6</f>
        <v>23238.89</v>
      </c>
    </row>
    <row r="3" spans="1:20" x14ac:dyDescent="0.3">
      <c r="A3" s="1" t="s">
        <v>78</v>
      </c>
      <c r="B3" s="42">
        <f>'[13]Ratio Analysis'!C4</f>
        <v>0.39561984172448178</v>
      </c>
      <c r="C3" s="42">
        <f>'[13]Ratio Analysis'!D4</f>
        <v>0.45525813250032227</v>
      </c>
      <c r="D3" s="42">
        <f>'[13]Ratio Analysis'!E4</f>
        <v>0.49446770963178754</v>
      </c>
      <c r="E3" s="42">
        <f>'[13]Ratio Analysis'!F4</f>
        <v>0.53154467058711752</v>
      </c>
      <c r="F3" s="42">
        <f>'[13]Ratio Analysis'!G4</f>
        <v>0.52653783108723007</v>
      </c>
      <c r="G3" s="42">
        <f>'[13]Ratio Analysis'!H4</f>
        <v>0.54269876815218254</v>
      </c>
      <c r="I3" s="1" t="s">
        <v>78</v>
      </c>
      <c r="J3" s="42">
        <f>'[13]Ratio Analysis'!AD4</f>
        <v>0.19597938342843577</v>
      </c>
      <c r="K3" s="42">
        <f>'[13]Ratio Analysis'!AE4</f>
        <v>0.25597588437293906</v>
      </c>
      <c r="L3" s="42">
        <f>'[13]Ratio Analysis'!AF4</f>
        <v>0.26727197683976261</v>
      </c>
      <c r="M3" s="42">
        <f>'[13]Ratio Analysis'!AG4</f>
        <v>0.25719875548103138</v>
      </c>
      <c r="N3" s="42">
        <f>'[13]Ratio Analysis'!AH4</f>
        <v>0.2176523127209152</v>
      </c>
      <c r="O3" s="42">
        <f>'[13]Ratio Analysis'!AI4</f>
        <v>0.20221835036010763</v>
      </c>
    </row>
    <row r="4" spans="1:20" x14ac:dyDescent="0.3">
      <c r="A4" s="1" t="s">
        <v>80</v>
      </c>
      <c r="B4" s="42">
        <f>'[13]Ratio Analysis'!C6</f>
        <v>-0.63805613901088409</v>
      </c>
      <c r="C4" s="42">
        <f>'[13]Ratio Analysis'!D6</f>
        <v>-0.37769696824345184</v>
      </c>
      <c r="D4" s="42">
        <f>'[13]Ratio Analysis'!E6</f>
        <v>-5.4114203280157973E-2</v>
      </c>
      <c r="E4" s="42">
        <f>'[13]Ratio Analysis'!F6</f>
        <v>-1.0257126470597803E-3</v>
      </c>
      <c r="F4" s="42">
        <f>'[13]Ratio Analysis'!G6</f>
        <v>5.6519114661552225E-2</v>
      </c>
      <c r="G4" s="42">
        <f>'[13]Ratio Analysis'!H6</f>
        <v>0.21472007442760016</v>
      </c>
      <c r="I4" s="1" t="s">
        <v>80</v>
      </c>
      <c r="J4" s="42">
        <f>'[13]Ratio Analysis'!AD6</f>
        <v>-4.9499144282739776E-3</v>
      </c>
      <c r="K4" s="42">
        <f>'[13]Ratio Analysis'!AE6</f>
        <v>7.2523043010141869E-2</v>
      </c>
      <c r="L4" s="42">
        <f>'[13]Ratio Analysis'!AF6</f>
        <v>8.704260231391317E-2</v>
      </c>
      <c r="M4" s="42">
        <f>'[13]Ratio Analysis'!AG6</f>
        <v>9.8941235871286934E-2</v>
      </c>
      <c r="N4" s="42">
        <f>'[13]Ratio Analysis'!AH6</f>
        <v>5.3433449887879639E-2</v>
      </c>
      <c r="O4" s="42">
        <f>'[13]Ratio Analysis'!AI6</f>
        <v>6.995557877334066E-2</v>
      </c>
      <c r="S4" s="52">
        <f>(F31-B31)/B31</f>
        <v>1.1197783133735923</v>
      </c>
      <c r="T4" s="1">
        <f>(F31/B31)^(1/5)-1</f>
        <v>0.16213903508775096</v>
      </c>
    </row>
    <row r="5" spans="1:20" x14ac:dyDescent="0.3">
      <c r="A5" s="1" t="s">
        <v>103</v>
      </c>
      <c r="B5" s="41">
        <f>'[13]Ratio Analysis'!C14</f>
        <v>1336.1997887957816</v>
      </c>
      <c r="C5" s="41">
        <f>'[13]Ratio Analysis'!D14</f>
        <v>1415.3410754367133</v>
      </c>
      <c r="D5" s="41">
        <f>'[13]Ratio Analysis'!E14</f>
        <v>1457.9287728519241</v>
      </c>
      <c r="E5" s="41">
        <f>'[13]Ratio Analysis'!F14</f>
        <v>1684.9180049609797</v>
      </c>
      <c r="F5" s="41">
        <f>'[13]Ratio Analysis'!G14</f>
        <v>2694.4107336690568</v>
      </c>
      <c r="G5" s="41">
        <f>'[13]Ratio Analysis'!H14</f>
        <v>2956.0501529176281</v>
      </c>
      <c r="I5" s="1" t="s">
        <v>105</v>
      </c>
      <c r="J5" s="42">
        <f>'[13]Ratio Analysis'!AD12</f>
        <v>9.2753803155210424E-2</v>
      </c>
      <c r="K5" s="42">
        <f>'[13]Ratio Analysis'!AE12</f>
        <v>0.15504494782867614</v>
      </c>
      <c r="L5" s="42">
        <f>'[13]Ratio Analysis'!AF12</f>
        <v>0.20950551156998098</v>
      </c>
      <c r="M5" s="42">
        <f>'[13]Ratio Analysis'!AG12</f>
        <v>0.22472758547667443</v>
      </c>
      <c r="N5" s="42">
        <f>'[13]Ratio Analysis'!AH12</f>
        <v>0.2005355032601242</v>
      </c>
      <c r="O5" s="42">
        <f>'[13]Ratio Analysis'!AI12</f>
        <v>0.14965516310774335</v>
      </c>
      <c r="S5" s="52">
        <f>(F36-B36)/B36</f>
        <v>1.6989336337366039</v>
      </c>
      <c r="T5" s="1">
        <f>(F36/B36)^(1/5)-1</f>
        <v>0.21965904564821326</v>
      </c>
    </row>
    <row r="6" spans="1:20" x14ac:dyDescent="0.3">
      <c r="A6" s="1" t="s">
        <v>104</v>
      </c>
      <c r="B6" s="41">
        <f>'[13]Income Statement'!B32</f>
        <v>42.328699999999998</v>
      </c>
      <c r="C6" s="41">
        <f>'[13]Income Statement'!C32</f>
        <v>47.136200000000002</v>
      </c>
      <c r="D6" s="41">
        <f>'[13]Income Statement'!D32</f>
        <v>48.972900000000003</v>
      </c>
      <c r="E6" s="41">
        <f>'[13]Income Statement'!E32</f>
        <v>51.8446</v>
      </c>
      <c r="F6" s="41">
        <f>'[13]Income Statement'!F32</f>
        <v>56.197000000000003</v>
      </c>
      <c r="G6" s="41">
        <f>'[13]Income Statement'!G32</f>
        <v>59.051400000000001</v>
      </c>
      <c r="I6" s="1" t="s">
        <v>86</v>
      </c>
      <c r="J6" s="41">
        <f>'[13]Ratio Analysis'!AD9</f>
        <v>-8.4632187247273514</v>
      </c>
      <c r="K6" s="41">
        <f>'[13]Ratio Analysis'!AE9</f>
        <v>78.230731741279669</v>
      </c>
      <c r="L6" s="41">
        <f>'[13]Ratio Analysis'!AF9</f>
        <v>9.5405614592921104</v>
      </c>
      <c r="M6" s="41">
        <f>'[13]Ratio Analysis'!AG9</f>
        <v>5.538318481208834</v>
      </c>
      <c r="N6" s="41">
        <f>'[13]Ratio Analysis'!AH9</f>
        <v>6.291219348712505</v>
      </c>
      <c r="O6" s="41">
        <f>'[13]Ratio Analysis'!AI9</f>
        <v>4.0860370071554222</v>
      </c>
      <c r="S6" s="52">
        <f>(F41-B41)/B41</f>
        <v>1.1013101539431458</v>
      </c>
      <c r="T6" s="1">
        <f>(F41/B41)^(1/5)-1</f>
        <v>0.1601069586555075</v>
      </c>
    </row>
    <row r="7" spans="1:20" x14ac:dyDescent="0.3">
      <c r="A7" s="1" t="s">
        <v>105</v>
      </c>
      <c r="B7" s="42">
        <f>'[13]Ratio Analysis'!C12</f>
        <v>5.2678681763415607E-2</v>
      </c>
      <c r="C7" s="42">
        <f>'[13]Ratio Analysis'!D12</f>
        <v>8.9939929532441107E-2</v>
      </c>
      <c r="D7" s="42">
        <f>'[13]Ratio Analysis'!E12</f>
        <v>0.11321485019232534</v>
      </c>
      <c r="E7" s="42">
        <f>'[13]Ratio Analysis'!F12</f>
        <v>0.12396699674584061</v>
      </c>
      <c r="F7" s="42">
        <f>'[13]Ratio Analysis'!G12</f>
        <v>0.19547595134033763</v>
      </c>
      <c r="G7" s="42">
        <f>'[13]Ratio Analysis'!H12</f>
        <v>0.22964169283559377</v>
      </c>
      <c r="S7" s="52">
        <f>(N31-J31)/J31</f>
        <v>0.2251118376118747</v>
      </c>
      <c r="T7" s="1">
        <f>(N31/J31)^(1/5)-1</f>
        <v>4.1442141542237909E-2</v>
      </c>
    </row>
    <row r="8" spans="1:20" x14ac:dyDescent="0.3">
      <c r="A8" s="1" t="s">
        <v>86</v>
      </c>
      <c r="B8" s="41">
        <f>'[13]Ratio Analysis'!C9</f>
        <v>0.81202651701876771</v>
      </c>
      <c r="C8" s="41">
        <f>'[13]Ratio Analysis'!D9</f>
        <v>1.2203668299291235</v>
      </c>
      <c r="D8" s="41">
        <f>'[13]Ratio Analysis'!E9</f>
        <v>1.4374673603088</v>
      </c>
      <c r="E8" s="41">
        <f>'[13]Ratio Analysis'!F9</f>
        <v>1.7804145662802207</v>
      </c>
      <c r="F8" s="41">
        <f>'[13]Ratio Analysis'!G9</f>
        <v>1.4390951831071039</v>
      </c>
      <c r="G8" s="41">
        <f>'[13]Ratio Analysis'!H9</f>
        <v>0.96640726354796469</v>
      </c>
      <c r="S8" s="52">
        <f>(N36-J36)/J36</f>
        <v>0.15388835266749409</v>
      </c>
      <c r="T8" s="1">
        <f>(N36/J36)^(1/5)-1</f>
        <v>2.9041187789067946E-2</v>
      </c>
    </row>
    <row r="9" spans="1:20" x14ac:dyDescent="0.3">
      <c r="S9" s="52">
        <f>(N41-J41)/J41</f>
        <v>0.6479276065913977</v>
      </c>
      <c r="T9" s="1">
        <f>(N41/J41)^(1/5)-1</f>
        <v>0.10506449578940114</v>
      </c>
    </row>
    <row r="10" spans="1:20" x14ac:dyDescent="0.3">
      <c r="A10" s="59" t="s">
        <v>60</v>
      </c>
      <c r="B10" s="60" t="s">
        <v>16</v>
      </c>
      <c r="C10" s="60" t="s">
        <v>17</v>
      </c>
      <c r="D10" s="60" t="s">
        <v>18</v>
      </c>
      <c r="E10" s="60" t="s">
        <v>19</v>
      </c>
      <c r="F10" s="60" t="s">
        <v>20</v>
      </c>
      <c r="G10" s="60" t="s">
        <v>21</v>
      </c>
      <c r="I10" s="59" t="s">
        <v>60</v>
      </c>
      <c r="J10" s="60" t="s">
        <v>16</v>
      </c>
      <c r="K10" s="60" t="s">
        <v>17</v>
      </c>
      <c r="L10" s="60" t="s">
        <v>18</v>
      </c>
      <c r="M10" s="60" t="s">
        <v>19</v>
      </c>
      <c r="N10" s="60" t="s">
        <v>20</v>
      </c>
      <c r="O10" s="60" t="s">
        <v>21</v>
      </c>
      <c r="S10" s="153">
        <f>AVERAGE(S4:S9)</f>
        <v>0.82449164965401811</v>
      </c>
      <c r="T10" s="153">
        <f>AVERAGE(T4:T9)</f>
        <v>0.11957547741869645</v>
      </c>
    </row>
    <row r="11" spans="1:20" x14ac:dyDescent="0.3">
      <c r="A11" s="1" t="s">
        <v>14</v>
      </c>
      <c r="B11" s="41">
        <f>'[13]Income Statement'!J6</f>
        <v>6871.7</v>
      </c>
      <c r="C11" s="41">
        <f>'[13]Income Statement'!K6</f>
        <v>14151.199999999999</v>
      </c>
      <c r="D11" s="41">
        <f>'[13]Income Statement'!L6</f>
        <v>28069.7</v>
      </c>
      <c r="E11" s="41">
        <f>'[13]Income Statement'!M6</f>
        <v>28743.1</v>
      </c>
      <c r="F11" s="41">
        <f>'[13]Income Statement'!N6</f>
        <v>28961.699999999997</v>
      </c>
      <c r="G11" s="41">
        <f>'[13]Income Statement'!O6</f>
        <v>30468.6</v>
      </c>
      <c r="I11" s="1" t="s">
        <v>14</v>
      </c>
      <c r="J11" s="41">
        <f>'[13]Income Statement'!AH8</f>
        <v>45996.80000000001</v>
      </c>
      <c r="K11" s="41">
        <f>'[13]Income Statement'!AI8</f>
        <v>42126.399999999994</v>
      </c>
      <c r="L11" s="41">
        <f>'[13]Income Statement'!AJ8</f>
        <v>38644.9</v>
      </c>
      <c r="M11" s="41">
        <f>'[13]Income Statement'!AK8</f>
        <v>42488.5</v>
      </c>
      <c r="N11" s="41">
        <f>'[13]Income Statement'!AL8</f>
        <v>42764.9</v>
      </c>
      <c r="O11" s="41">
        <f>'[13]Income Statement'!AM8</f>
        <v>44591.899999999994</v>
      </c>
    </row>
    <row r="12" spans="1:20" x14ac:dyDescent="0.3">
      <c r="A12" s="1" t="s">
        <v>78</v>
      </c>
      <c r="B12" s="42">
        <f>'[13]Ratio Analysis'!L4</f>
        <v>0.54517804909993162</v>
      </c>
      <c r="C12" s="42">
        <f>'[13]Ratio Analysis'!M4</f>
        <v>0.52693764486403971</v>
      </c>
      <c r="D12" s="42">
        <f>'[13]Ratio Analysis'!N4</f>
        <v>0.54490785437678346</v>
      </c>
      <c r="E12" s="42">
        <f>'[13]Ratio Analysis'!O4</f>
        <v>0.35237326523583051</v>
      </c>
      <c r="F12" s="42">
        <f>'[13]Ratio Analysis'!P4</f>
        <v>0.51982445781842912</v>
      </c>
      <c r="G12" s="42">
        <f>'[13]Ratio Analysis'!Q4</f>
        <v>0.69548650085661967</v>
      </c>
      <c r="I12" s="1" t="s">
        <v>78</v>
      </c>
      <c r="J12" s="42">
        <f>'[13]Ratio Analysis'!AM4</f>
        <v>0.3468023862529569</v>
      </c>
      <c r="K12" s="42">
        <f>'[13]Ratio Analysis'!AN4</f>
        <v>0.40639361540506647</v>
      </c>
      <c r="L12" s="42">
        <f>'[13]Ratio Analysis'!AO4</f>
        <v>0.41830875484216556</v>
      </c>
      <c r="M12" s="42">
        <f>'[13]Ratio Analysis'!AP4</f>
        <v>0.40312790519787706</v>
      </c>
      <c r="N12" s="42">
        <f>'[13]Ratio Analysis'!AQ4</f>
        <v>0.40311563922749721</v>
      </c>
      <c r="O12" s="42">
        <f>'[13]Ratio Analysis'!AR4</f>
        <v>0.42938739995380321</v>
      </c>
    </row>
    <row r="13" spans="1:20" x14ac:dyDescent="0.3">
      <c r="A13" s="1" t="s">
        <v>80</v>
      </c>
      <c r="B13" s="42">
        <f>'[13]Ratio Analysis'!L6</f>
        <v>0.48004132892879492</v>
      </c>
      <c r="C13" s="42">
        <f>'[13]Ratio Analysis'!M6</f>
        <v>0.26704449092656435</v>
      </c>
      <c r="D13" s="42">
        <f>'[13]Ratio Analysis'!N6</f>
        <v>0.22704553308371661</v>
      </c>
      <c r="E13" s="42">
        <f>'[13]Ratio Analysis'!O6</f>
        <v>7.0973555392424628E-2</v>
      </c>
      <c r="F13" s="42">
        <f>'[13]Ratio Analysis'!P6</f>
        <v>0.20842008583750263</v>
      </c>
      <c r="G13" s="42">
        <f>'[13]Ratio Analysis'!Q6</f>
        <v>0.32596509193070905</v>
      </c>
      <c r="I13" s="1" t="s">
        <v>80</v>
      </c>
      <c r="J13" s="42">
        <f>'[13]Ratio Analysis'!AM6</f>
        <v>-1.6061573848615551</v>
      </c>
      <c r="K13" s="42">
        <f>'[13]Ratio Analysis'!AN6</f>
        <v>-1.0500090204717234</v>
      </c>
      <c r="L13" s="42">
        <f>'[13]Ratio Analysis'!AO6</f>
        <v>-0.73089592675877002</v>
      </c>
      <c r="M13" s="42">
        <f>'[13]Ratio Analysis'!AP6</f>
        <v>-0.68962425126799021</v>
      </c>
      <c r="N13" s="42">
        <f>'[13]Ratio Analysis'!AQ6</f>
        <v>-0.7304682110796471</v>
      </c>
      <c r="O13" s="42">
        <f>'[13]Ratio Analysis'!AR6</f>
        <v>-0.61408910586900345</v>
      </c>
    </row>
    <row r="14" spans="1:20" x14ac:dyDescent="0.3">
      <c r="A14" s="1" t="s">
        <v>103</v>
      </c>
      <c r="B14" s="41">
        <f>'[13]Ratio Analysis'!L14</f>
        <v>720515.4552698906</v>
      </c>
      <c r="C14" s="41">
        <f>'[13]Ratio Analysis'!M14</f>
        <v>789577.34691030812</v>
      </c>
      <c r="D14" s="41">
        <f>'[13]Ratio Analysis'!N14</f>
        <v>1489527.5594729553</v>
      </c>
      <c r="E14" s="41">
        <f>'[13]Ratio Analysis'!O14</f>
        <v>1490252.7038377386</v>
      </c>
      <c r="F14" s="41">
        <f>'[13]Ratio Analysis'!P14</f>
        <v>1318022.53613427</v>
      </c>
      <c r="G14" s="41">
        <f>'[13]Ratio Analysis'!Q14</f>
        <v>1171869.2307692308</v>
      </c>
      <c r="I14" s="1" t="s">
        <v>103</v>
      </c>
      <c r="J14" s="53">
        <f>'[13]Ratio Analysis'!AM14</f>
        <v>1566.1150834184546</v>
      </c>
      <c r="K14" s="53">
        <f>'[13]Ratio Analysis'!AN14</f>
        <v>1704.1423948220063</v>
      </c>
      <c r="L14" s="53">
        <f>'[13]Ratio Analysis'!AO14</f>
        <v>1585.1066447908122</v>
      </c>
      <c r="M14" s="53">
        <f>'[13]Ratio Analysis'!AP14</f>
        <v>1905.3139013452915</v>
      </c>
      <c r="N14" s="53">
        <f>'[13]Ratio Analysis'!AQ14</f>
        <v>2011.519285042333</v>
      </c>
      <c r="O14" s="53">
        <f>'[13]Ratio Analysis'!AR14</f>
        <v>2249.8435923309785</v>
      </c>
    </row>
    <row r="15" spans="1:20" x14ac:dyDescent="0.3">
      <c r="A15" s="1" t="s">
        <v>104</v>
      </c>
      <c r="B15" s="53">
        <f>'[13]Income Statement'!J32</f>
        <v>9.5371999999999992E-3</v>
      </c>
      <c r="C15" s="53">
        <f>'[13]Income Statement'!K32</f>
        <v>1.7922500000000001E-2</v>
      </c>
      <c r="D15" s="53">
        <f>'[13]Income Statement'!L32</f>
        <v>1.8844699999999999E-2</v>
      </c>
      <c r="E15" s="53">
        <f>'[13]Income Statement'!M32</f>
        <v>1.92874E-2</v>
      </c>
      <c r="F15" s="53">
        <f>'[13]Income Statement'!N32</f>
        <v>2.1973599999999999E-2</v>
      </c>
      <c r="G15" s="53">
        <f>'[13]Income Statement'!O32</f>
        <v>2.5999999999999999E-2</v>
      </c>
      <c r="I15" s="1" t="s">
        <v>104</v>
      </c>
      <c r="J15" s="41">
        <f>'[13]Income Statement'!AH38</f>
        <v>29.37</v>
      </c>
      <c r="K15" s="41">
        <f>'[13]Income Statement'!AI38</f>
        <v>24.72</v>
      </c>
      <c r="L15" s="41">
        <f>'[13]Income Statement'!AJ38</f>
        <v>24.38</v>
      </c>
      <c r="M15" s="41">
        <f>'[13]Income Statement'!AK38</f>
        <v>22.3</v>
      </c>
      <c r="N15" s="41">
        <f>'[13]Income Statement'!AL38</f>
        <v>21.26</v>
      </c>
      <c r="O15" s="41">
        <f>'[13]Income Statement'!AM38</f>
        <v>19.82</v>
      </c>
    </row>
    <row r="16" spans="1:20" x14ac:dyDescent="0.3">
      <c r="A16" s="1" t="s">
        <v>105</v>
      </c>
      <c r="B16" s="42">
        <f>'[13]Ratio Analysis'!L12</f>
        <v>0.23410306637534836</v>
      </c>
      <c r="C16" s="42">
        <f>'[13]Ratio Analysis'!M12</f>
        <v>0.22204619737941664</v>
      </c>
      <c r="D16" s="42">
        <f>'[13]Ratio Analysis'!N12</f>
        <v>0.35392570904454951</v>
      </c>
      <c r="E16" s="42">
        <f>'[13]Ratio Analysis'!O12</f>
        <v>0.22632623094226451</v>
      </c>
      <c r="F16" s="42">
        <f>'[13]Ratio Analysis'!P12</f>
        <v>0.31244927380876847</v>
      </c>
      <c r="G16" s="42">
        <f>'[13]Ratio Analysis'!Q12</f>
        <v>0.36797206622283335</v>
      </c>
      <c r="I16" s="1" t="s">
        <v>105</v>
      </c>
      <c r="J16" s="42">
        <f>'[13]Ratio Analysis'!AM12</f>
        <v>0.23752568605991989</v>
      </c>
      <c r="K16" s="42">
        <f>'[13]Ratio Analysis'!AN12</f>
        <v>0.23061082858345563</v>
      </c>
      <c r="L16" s="42">
        <f>'[13]Ratio Analysis'!AO12</f>
        <v>0.23204892734287175</v>
      </c>
      <c r="M16" s="42">
        <f>'[13]Ratio Analysis'!AP12</f>
        <v>0.21324726088759052</v>
      </c>
      <c r="N16" s="42">
        <f>'[13]Ratio Analysis'!AQ12</f>
        <v>0.23679125010941166</v>
      </c>
      <c r="O16" s="42">
        <f>'[13]Ratio Analysis'!AR12</f>
        <v>0.22833860541878687</v>
      </c>
    </row>
    <row r="17" spans="1:15" x14ac:dyDescent="0.3">
      <c r="A17" s="1" t="s">
        <v>86</v>
      </c>
      <c r="B17" s="41">
        <f>'[13]Ratio Analysis'!L9</f>
        <v>0.17858118635682269</v>
      </c>
      <c r="C17" s="41">
        <f>'[13]Ratio Analysis'!M9</f>
        <v>0.43901870630471745</v>
      </c>
      <c r="D17" s="41">
        <f>'[13]Ratio Analysis'!N9</f>
        <v>0.24770546940249658</v>
      </c>
      <c r="E17" s="41">
        <f>'[13]Ratio Analysis'!O9</f>
        <v>0.22324545820602101</v>
      </c>
      <c r="F17" s="41">
        <f>'[13]Ratio Analysis'!P9</f>
        <v>0.15946713611550808</v>
      </c>
      <c r="G17" s="41">
        <f>'[13]Ratio Analysis'!Q9</f>
        <v>6.9615949141955111E-2</v>
      </c>
      <c r="I17" s="1" t="s">
        <v>86</v>
      </c>
      <c r="J17" s="41">
        <f>'[13]Ratio Analysis'!AM9</f>
        <v>16.106055285205432</v>
      </c>
      <c r="K17" s="41">
        <f>'[13]Ratio Analysis'!AN9</f>
        <v>-4.1178063199748882</v>
      </c>
      <c r="L17" s="41">
        <f>'[13]Ratio Analysis'!AO9</f>
        <v>-3.4497182271224949</v>
      </c>
      <c r="M17" s="41">
        <f>'[13]Ratio Analysis'!AP9</f>
        <v>-3.197537355885157</v>
      </c>
      <c r="N17" s="41">
        <f>'[13]Ratio Analysis'!AQ9</f>
        <v>-2.3405634040788428</v>
      </c>
      <c r="O17" s="41">
        <f>'[13]Ratio Analysis'!AR9</f>
        <v>-3.3166671880910461</v>
      </c>
    </row>
    <row r="19" spans="1:15" x14ac:dyDescent="0.3">
      <c r="A19" s="59" t="s">
        <v>60</v>
      </c>
      <c r="B19" s="60" t="s">
        <v>16</v>
      </c>
      <c r="C19" s="60" t="s">
        <v>17</v>
      </c>
      <c r="D19" s="60" t="s">
        <v>18</v>
      </c>
      <c r="E19" s="60" t="s">
        <v>19</v>
      </c>
      <c r="F19" s="60" t="s">
        <v>20</v>
      </c>
      <c r="G19" s="60" t="s">
        <v>21</v>
      </c>
      <c r="I19" s="59" t="s">
        <v>60</v>
      </c>
      <c r="J19" s="60" t="s">
        <v>16</v>
      </c>
      <c r="K19" s="60" t="s">
        <v>17</v>
      </c>
      <c r="L19" s="60" t="s">
        <v>18</v>
      </c>
      <c r="M19" s="60" t="s">
        <v>19</v>
      </c>
      <c r="N19" s="60" t="s">
        <v>20</v>
      </c>
      <c r="O19" s="60" t="s">
        <v>21</v>
      </c>
    </row>
    <row r="20" spans="1:15" x14ac:dyDescent="0.3">
      <c r="A20" s="1" t="s">
        <v>14</v>
      </c>
      <c r="B20" s="41">
        <f>'[13]Income Statement'!R7</f>
        <v>1165.79</v>
      </c>
      <c r="C20" s="41">
        <f>'[13]Income Statement'!S7</f>
        <v>1411.2899999999997</v>
      </c>
      <c r="D20" s="41">
        <f>'[13]Income Statement'!T7</f>
        <v>1577.73</v>
      </c>
      <c r="E20" s="41">
        <f>'[13]Income Statement'!U7</f>
        <v>2002.2</v>
      </c>
      <c r="F20" s="41">
        <f>'[13]Income Statement'!V7</f>
        <v>2622.1700000000005</v>
      </c>
      <c r="G20" s="41">
        <f>'[13]Income Statement'!W7</f>
        <v>3551.0400000000004</v>
      </c>
      <c r="I20" s="1" t="s">
        <v>14</v>
      </c>
      <c r="J20" s="41">
        <f>'[13]Income Statement'!AP6</f>
        <v>54403</v>
      </c>
      <c r="K20" s="41">
        <f>'[13]Income Statement'!AQ6</f>
        <v>70436</v>
      </c>
      <c r="L20" s="41">
        <f>'[13]Income Statement'!AR6</f>
        <v>77585</v>
      </c>
      <c r="M20" s="41">
        <f>'[13]Income Statement'!AS6</f>
        <v>91741</v>
      </c>
      <c r="N20" s="41">
        <f>'[13]Income Statement'!AT6</f>
        <v>100577</v>
      </c>
      <c r="O20" s="41">
        <f>'[13]Income Statement'!AU6</f>
        <v>115088</v>
      </c>
    </row>
    <row r="21" spans="1:15" x14ac:dyDescent="0.3">
      <c r="A21" s="1" t="s">
        <v>78</v>
      </c>
      <c r="B21" s="42">
        <f>'[13]Ratio Analysis'!U4</f>
        <v>0.32315425591229985</v>
      </c>
      <c r="C21" s="42">
        <f>'[13]Ratio Analysis'!V4</f>
        <v>0.25895457347533091</v>
      </c>
      <c r="D21" s="42">
        <f>'[13]Ratio Analysis'!W4</f>
        <v>0.252875967370843</v>
      </c>
      <c r="E21" s="42">
        <f>'[13]Ratio Analysis'!X4</f>
        <v>0.2118569573469184</v>
      </c>
      <c r="F21" s="42">
        <f>'[13]Ratio Analysis'!Y4</f>
        <v>0.19947600651368924</v>
      </c>
      <c r="G21" s="42">
        <f>'[13]Ratio Analysis'!Z4</f>
        <v>0.17255226637830051</v>
      </c>
      <c r="I21" s="1" t="s">
        <v>78</v>
      </c>
      <c r="J21" s="42">
        <f>'[13]Ratio Analysis'!AV4</f>
        <v>0.3980295204308586</v>
      </c>
      <c r="K21" s="42">
        <f>'[13]Ratio Analysis'!AW4</f>
        <v>0.44666079845533535</v>
      </c>
      <c r="L21" s="42">
        <f>'[13]Ratio Analysis'!AX4</f>
        <v>0.49055874202487593</v>
      </c>
      <c r="M21" s="42">
        <f>'[13]Ratio Analysis'!AY4</f>
        <v>0.51520040112926613</v>
      </c>
      <c r="N21" s="42">
        <f>'[13]Ratio Analysis'!AZ4</f>
        <v>0.52574644302375295</v>
      </c>
      <c r="O21" s="42">
        <f>'[13]Ratio Analysis'!BA4</f>
        <v>0.53205373279577362</v>
      </c>
    </row>
    <row r="22" spans="1:15" x14ac:dyDescent="0.3">
      <c r="A22" s="1" t="s">
        <v>80</v>
      </c>
      <c r="B22" s="42">
        <f>'[13]Ratio Analysis'!U6</f>
        <v>0.12100807177965152</v>
      </c>
      <c r="C22" s="42">
        <f>'[13]Ratio Analysis'!V6</f>
        <v>0.10093602307109072</v>
      </c>
      <c r="D22" s="42">
        <f>'[13]Ratio Analysis'!W6</f>
        <v>6.892180537861356E-2</v>
      </c>
      <c r="E22" s="42">
        <f>'[13]Ratio Analysis'!X6</f>
        <v>9.4431125761662127E-2</v>
      </c>
      <c r="F22" s="42">
        <f>'[13]Ratio Analysis'!Y6</f>
        <v>9.3895514020830198E-2</v>
      </c>
      <c r="G22" s="42">
        <f>'[13]Ratio Analysis'!Z6</f>
        <v>8.4428787059565746E-2</v>
      </c>
      <c r="I22" s="1" t="s">
        <v>80</v>
      </c>
      <c r="J22" s="42">
        <f>'[13]Ratio Analysis'!AV6</f>
        <v>0.1022370089884749</v>
      </c>
      <c r="K22" s="42">
        <f>'[13]Ratio Analysis'!AW6</f>
        <v>0.1705803850303822</v>
      </c>
      <c r="L22" s="42">
        <f>'[13]Ratio Analysis'!AX6</f>
        <v>0.19145453373719146</v>
      </c>
      <c r="M22" s="42">
        <f>'[13]Ratio Analysis'!AY6</f>
        <v>0.19946370761164584</v>
      </c>
      <c r="N22" s="42">
        <f>'[13]Ratio Analysis'!AZ6</f>
        <v>0.20348588643526849</v>
      </c>
      <c r="O22" s="42">
        <f>'[13]Ratio Analysis'!BA6</f>
        <v>0.21544383428333103</v>
      </c>
    </row>
    <row r="23" spans="1:15" x14ac:dyDescent="0.3">
      <c r="A23" s="1" t="s">
        <v>103</v>
      </c>
      <c r="B23" s="41">
        <f>'[13]Ratio Analysis'!U14</f>
        <v>38859.666666666664</v>
      </c>
      <c r="C23" s="41">
        <f>'[13]Ratio Analysis'!V14</f>
        <v>35282.249999999993</v>
      </c>
      <c r="D23" s="41">
        <f>'[13]Ratio Analysis'!W14</f>
        <v>33426.483050847455</v>
      </c>
      <c r="E23" s="41">
        <f>'[13]Ratio Analysis'!X14</f>
        <v>38802.325581395351</v>
      </c>
      <c r="F23" s="41">
        <f>'[13]Ratio Analysis'!Y14</f>
        <v>46164.964788732403</v>
      </c>
      <c r="G23" s="41">
        <f>'[13]Ratio Analysis'!Z14</f>
        <v>61757.217391304352</v>
      </c>
      <c r="I23" s="1" t="s">
        <v>103</v>
      </c>
      <c r="J23" s="53">
        <f>'[13]Ratio Analysis'!AV14</f>
        <v>1403.9483870967742</v>
      </c>
      <c r="K23" s="53">
        <f>'[13]Ratio Analysis'!AW14</f>
        <v>1665.5474107353984</v>
      </c>
      <c r="L23" s="53">
        <f>'[13]Ratio Analysis'!AX14</f>
        <v>1895.6460125097733</v>
      </c>
      <c r="M23" s="53">
        <f>'[13]Ratio Analysis'!AY14</f>
        <v>2091.8688434877781</v>
      </c>
      <c r="N23" s="53">
        <f>'[13]Ratio Analysis'!AZ14</f>
        <v>2087.5259443752593</v>
      </c>
      <c r="O23" s="53">
        <f>'[13]Ratio Analysis'!BA14</f>
        <v>2414.8726341852366</v>
      </c>
    </row>
    <row r="24" spans="1:15" x14ac:dyDescent="0.3">
      <c r="A24" s="1" t="s">
        <v>104</v>
      </c>
      <c r="B24" s="1">
        <f>'[13]Income Statement'!R32</f>
        <v>0.03</v>
      </c>
      <c r="C24" s="1">
        <f>'[13]Income Statement'!S32</f>
        <v>0.04</v>
      </c>
      <c r="D24" s="1">
        <f>'[13]Income Statement'!T32</f>
        <v>4.7199999999999999E-2</v>
      </c>
      <c r="E24" s="1">
        <f>'[13]Income Statement'!U32</f>
        <v>5.16E-2</v>
      </c>
      <c r="F24" s="1">
        <f>'[13]Income Statement'!V32</f>
        <v>5.6800000000000003E-2</v>
      </c>
      <c r="G24" s="1">
        <f>'[13]Income Statement'!W32</f>
        <v>5.7500000000000002E-2</v>
      </c>
      <c r="I24" s="1" t="s">
        <v>104</v>
      </c>
      <c r="J24" s="41">
        <f>'[13]Income Statement'!AP29</f>
        <v>38.75</v>
      </c>
      <c r="K24" s="41">
        <f>'[13]Income Statement'!AQ29</f>
        <v>42.29</v>
      </c>
      <c r="L24" s="41">
        <f>'[13]Income Statement'!AR29</f>
        <v>40.927999999999997</v>
      </c>
      <c r="M24" s="41">
        <f>'[13]Income Statement'!AS29</f>
        <v>43.856000000000002</v>
      </c>
      <c r="N24" s="41">
        <f>'[13]Income Statement'!AT29</f>
        <v>48.18</v>
      </c>
      <c r="O24" s="41">
        <f>'[13]Income Statement'!AU29</f>
        <v>47.658000000000001</v>
      </c>
    </row>
    <row r="25" spans="1:15" x14ac:dyDescent="0.3">
      <c r="A25" s="1" t="s">
        <v>105</v>
      </c>
      <c r="B25" s="42">
        <f>'[13]Ratio Analysis'!U12</f>
        <v>0.15898655567667558</v>
      </c>
      <c r="C25" s="42">
        <f>'[13]Ratio Analysis'!V12</f>
        <v>0.12655966995371276</v>
      </c>
      <c r="D25" s="42">
        <f>'[13]Ratio Analysis'!W12</f>
        <v>0.1411787929724653</v>
      </c>
      <c r="E25" s="42">
        <f>'[13]Ratio Analysis'!X12</f>
        <v>0.14389883396288386</v>
      </c>
      <c r="F25" s="42">
        <f>'[13]Ratio Analysis'!Y12</f>
        <v>0.18434037418253049</v>
      </c>
      <c r="G25" s="42">
        <f>'[13]Ratio Analysis'!Z12</f>
        <v>0.19201876032425494</v>
      </c>
      <c r="I25" s="1" t="s">
        <v>105</v>
      </c>
      <c r="J25" s="42">
        <f>'[13]Ratio Analysis'!AV12</f>
        <v>7.0137983619056987E-2</v>
      </c>
      <c r="K25" s="42">
        <f>'[13]Ratio Analysis'!AW12</f>
        <v>9.0641133525893244E-2</v>
      </c>
      <c r="L25" s="42">
        <f>'[13]Ratio Analysis'!AX12</f>
        <v>8.8974120139535734E-2</v>
      </c>
      <c r="M25" s="42">
        <f>'[13]Ratio Analysis'!AY12</f>
        <v>7.4880775177169526E-2</v>
      </c>
      <c r="N25" s="42">
        <f>'[13]Ratio Analysis'!AZ12</f>
        <v>7.4534396757644839E-2</v>
      </c>
      <c r="O25" s="42">
        <f>'[13]Ratio Analysis'!BA12</f>
        <v>8.3920161964702256E-2</v>
      </c>
    </row>
    <row r="26" spans="1:15" x14ac:dyDescent="0.3">
      <c r="A26" s="1" t="s">
        <v>86</v>
      </c>
      <c r="B26" s="41">
        <f>'[13]Ratio Analysis'!U9</f>
        <v>3.1066287892619015E-2</v>
      </c>
      <c r="C26" s="41">
        <f>'[13]Ratio Analysis'!V9</f>
        <v>2.1361532254639656E-2</v>
      </c>
      <c r="D26" s="41">
        <f>'[13]Ratio Analysis'!W9</f>
        <v>2.0639152163803208E-2</v>
      </c>
      <c r="E26" s="41">
        <f>'[13]Ratio Analysis'!X9</f>
        <v>2.5344476250545828E-2</v>
      </c>
      <c r="F26" s="41">
        <f>'[13]Ratio Analysis'!Y9</f>
        <v>2.4966616317506182E-2</v>
      </c>
      <c r="G26" s="41">
        <f>'[13]Ratio Analysis'!Z9</f>
        <v>2.2274232104099779E-2</v>
      </c>
      <c r="I26" s="1" t="s">
        <v>86</v>
      </c>
      <c r="J26" s="41">
        <f>'[13]Ratio Analysis'!AV9</f>
        <v>0.1359531107419453</v>
      </c>
      <c r="K26" s="41">
        <f>'[13]Ratio Analysis'!AW9</f>
        <v>6.0877834434588711E-2</v>
      </c>
      <c r="L26" s="41">
        <f>'[13]Ratio Analysis'!AX9</f>
        <v>0.26492132324359252</v>
      </c>
      <c r="M26" s="41">
        <f>'[13]Ratio Analysis'!AY9</f>
        <v>0.22809545582604759</v>
      </c>
      <c r="N26" s="41">
        <f>'[13]Ratio Analysis'!AZ9</f>
        <v>0.27648718740613193</v>
      </c>
      <c r="O26" s="41">
        <f>'[13]Ratio Analysis'!BA9</f>
        <v>0.31766375771395339</v>
      </c>
    </row>
    <row r="28" spans="1:15" x14ac:dyDescent="0.3">
      <c r="A28" s="59" t="s">
        <v>82</v>
      </c>
      <c r="B28" s="60" t="s">
        <v>22</v>
      </c>
      <c r="C28" s="60" t="s">
        <v>23</v>
      </c>
      <c r="D28" s="60" t="s">
        <v>24</v>
      </c>
      <c r="E28" s="60" t="s">
        <v>25</v>
      </c>
      <c r="F28" s="60" t="s">
        <v>26</v>
      </c>
      <c r="I28" s="59" t="s">
        <v>82</v>
      </c>
      <c r="J28" s="60" t="s">
        <v>22</v>
      </c>
      <c r="K28" s="60" t="s">
        <v>23</v>
      </c>
      <c r="L28" s="60" t="s">
        <v>24</v>
      </c>
      <c r="M28" s="60" t="s">
        <v>25</v>
      </c>
      <c r="N28" s="60" t="s">
        <v>26</v>
      </c>
    </row>
    <row r="29" spans="1:15" x14ac:dyDescent="0.3">
      <c r="A29" s="1" t="s">
        <v>14</v>
      </c>
      <c r="B29" s="41">
        <f>[13]DCF!D4</f>
        <v>210627.27432276198</v>
      </c>
      <c r="C29" s="41">
        <f>[13]DCF!E4</f>
        <v>254148.30575029989</v>
      </c>
      <c r="D29" s="41">
        <f>[13]DCF!F4</f>
        <v>306661.90560282854</v>
      </c>
      <c r="E29" s="41">
        <f>[13]DCF!G4</f>
        <v>370026.17062634957</v>
      </c>
      <c r="F29" s="41">
        <f>[13]DCF!H4</f>
        <v>446483.12831438129</v>
      </c>
      <c r="I29" s="1" t="s">
        <v>14</v>
      </c>
      <c r="J29" s="41">
        <f>[13]DCF!AE4</f>
        <v>24448.899442335052</v>
      </c>
      <c r="K29" s="41">
        <f>[13]DCF!AF4</f>
        <v>25721.912016512459</v>
      </c>
      <c r="L29" s="41">
        <f>[13]DCF!AG4</f>
        <v>27061.208188355929</v>
      </c>
      <c r="M29" s="41">
        <f>[13]DCF!AH4</f>
        <v>28470.239231960219</v>
      </c>
      <c r="N29" s="41">
        <f>[13]DCF!AI4</f>
        <v>29952.636123387034</v>
      </c>
    </row>
    <row r="30" spans="1:15" x14ac:dyDescent="0.3">
      <c r="A30" s="1" t="s">
        <v>77</v>
      </c>
      <c r="B30" s="41">
        <f>[13]DCF!D5</f>
        <v>107026.25709264688</v>
      </c>
      <c r="C30" s="41">
        <f>[13]DCF!E5</f>
        <v>129140.64428907022</v>
      </c>
      <c r="D30" s="41">
        <f>[13]DCF!F5</f>
        <v>155824.43468016933</v>
      </c>
      <c r="E30" s="41">
        <f>[13]DCF!G5</f>
        <v>188021.78490795559</v>
      </c>
      <c r="F30" s="41">
        <f>[13]DCF!H5</f>
        <v>226871.93874653944</v>
      </c>
      <c r="I30" s="1" t="s">
        <v>77</v>
      </c>
      <c r="J30" s="41">
        <f>[13]DCF!AE5</f>
        <v>5642.6674051593682</v>
      </c>
      <c r="K30" s="41">
        <f>[13]DCF!AF5</f>
        <v>5936.471491335561</v>
      </c>
      <c r="L30" s="41">
        <f>[13]DCF!AG5</f>
        <v>6245.5734561311638</v>
      </c>
      <c r="M30" s="41">
        <f>[13]DCF!AH5</f>
        <v>6570.7698340440447</v>
      </c>
      <c r="N30" s="41">
        <f>[13]DCF!AI5</f>
        <v>6912.8986337674223</v>
      </c>
    </row>
    <row r="31" spans="1:15" x14ac:dyDescent="0.3">
      <c r="A31" s="1" t="s">
        <v>79</v>
      </c>
      <c r="B31" s="41">
        <f>[13]DCF!D9</f>
        <v>33974.626617228743</v>
      </c>
      <c r="C31" s="41">
        <f>[13]DCF!E9</f>
        <v>40994.661403803802</v>
      </c>
      <c r="D31" s="41">
        <f>[13]DCF!F9</f>
        <v>49465.216573132187</v>
      </c>
      <c r="E31" s="41">
        <f>[13]DCF!G9</f>
        <v>59686.007076029622</v>
      </c>
      <c r="F31" s="41">
        <f>[13]DCF!H9</f>
        <v>72018.676708166706</v>
      </c>
      <c r="I31" s="1" t="s">
        <v>79</v>
      </c>
      <c r="J31" s="41">
        <f>[13]DCF!AE9</f>
        <v>1958.4501762864347</v>
      </c>
      <c r="K31" s="41">
        <f>[13]DCF!AF9</f>
        <v>2060.4233430620138</v>
      </c>
      <c r="L31" s="41">
        <f>[13]DCF!AG9</f>
        <v>2167.7060790409096</v>
      </c>
      <c r="M31" s="41">
        <f>[13]DCF!AH9</f>
        <v>2280.5748444529663</v>
      </c>
      <c r="N31" s="41">
        <f>[13]DCF!AI9</f>
        <v>2399.320494341574</v>
      </c>
    </row>
    <row r="33" spans="1:14" x14ac:dyDescent="0.3">
      <c r="A33" s="59" t="s">
        <v>82</v>
      </c>
      <c r="B33" s="60" t="s">
        <v>22</v>
      </c>
      <c r="C33" s="60" t="s">
        <v>23</v>
      </c>
      <c r="D33" s="60" t="s">
        <v>24</v>
      </c>
      <c r="E33" s="60" t="s">
        <v>25</v>
      </c>
      <c r="F33" s="60" t="s">
        <v>26</v>
      </c>
      <c r="I33" s="59" t="s">
        <v>82</v>
      </c>
      <c r="J33" s="60" t="s">
        <v>22</v>
      </c>
      <c r="K33" s="60" t="s">
        <v>23</v>
      </c>
      <c r="L33" s="60" t="s">
        <v>24</v>
      </c>
      <c r="M33" s="60" t="s">
        <v>25</v>
      </c>
      <c r="N33" s="60" t="s">
        <v>26</v>
      </c>
    </row>
    <row r="34" spans="1:14" x14ac:dyDescent="0.3">
      <c r="A34" s="1" t="s">
        <v>14</v>
      </c>
      <c r="B34" s="41">
        <f>[13]DCF!M4</f>
        <v>39052.653731182421</v>
      </c>
      <c r="C34" s="41">
        <f>[13]DCF!N4</f>
        <v>50055.130969182581</v>
      </c>
      <c r="D34" s="41">
        <f>[13]DCF!O4</f>
        <v>64157.384888326771</v>
      </c>
      <c r="E34" s="41">
        <f>[13]DCF!P4</f>
        <v>82232.729312867072</v>
      </c>
      <c r="F34" s="41">
        <f>[13]DCF!Q4</f>
        <v>105400.52064175751</v>
      </c>
      <c r="I34" s="1" t="s">
        <v>14</v>
      </c>
      <c r="J34" s="41">
        <f>[13]DCF!AN4</f>
        <v>46216.486357759641</v>
      </c>
      <c r="K34" s="41">
        <f>[13]DCF!AO4</f>
        <v>47900.260165119304</v>
      </c>
      <c r="L34" s="41">
        <f>[13]DCF!AP4</f>
        <v>49645.377758166265</v>
      </c>
      <c r="M34" s="41">
        <f>[13]DCF!AQ4</f>
        <v>51454.074033313569</v>
      </c>
      <c r="N34" s="41">
        <f>[13]DCF!AR4</f>
        <v>53328.665309434931</v>
      </c>
    </row>
    <row r="35" spans="1:14" x14ac:dyDescent="0.3">
      <c r="A35" s="1" t="s">
        <v>77</v>
      </c>
      <c r="B35" s="41">
        <f>[13]DCF!M5</f>
        <v>20732.422438876663</v>
      </c>
      <c r="C35" s="41">
        <f>[13]DCF!N5</f>
        <v>26573.459709801136</v>
      </c>
      <c r="D35" s="41">
        <f>[13]DCF!O5</f>
        <v>34060.118301674222</v>
      </c>
      <c r="E35" s="41">
        <f>[13]DCF!P5</f>
        <v>43656.026403523392</v>
      </c>
      <c r="F35" s="41">
        <f>[13]DCF!Q5</f>
        <v>55955.432229119695</v>
      </c>
      <c r="I35" s="1" t="s">
        <v>77</v>
      </c>
      <c r="J35" s="41">
        <f>[13]DCF!AN5</f>
        <v>18505.782568579358</v>
      </c>
      <c r="K35" s="41">
        <f>[13]DCF!AO5</f>
        <v>19179.991155802159</v>
      </c>
      <c r="L35" s="41">
        <f>[13]DCF!AP5</f>
        <v>19878.762725833196</v>
      </c>
      <c r="M35" s="41">
        <f>[13]DCF!AQ5</f>
        <v>20602.992165115433</v>
      </c>
      <c r="N35" s="41">
        <f>[13]DCF!AR5</f>
        <v>21353.606962880844</v>
      </c>
    </row>
    <row r="36" spans="1:14" x14ac:dyDescent="0.3">
      <c r="A36" s="1" t="s">
        <v>79</v>
      </c>
      <c r="B36" s="41">
        <f>[13]DCF!M9</f>
        <v>9611.8502606558923</v>
      </c>
      <c r="C36" s="41">
        <f>[13]DCF!N9</f>
        <v>12319.839439467847</v>
      </c>
      <c r="D36" s="41">
        <f>[13]DCF!O9</f>
        <v>15790.762412887447</v>
      </c>
      <c r="E36" s="41">
        <f>[13]DCF!P9</f>
        <v>20239.563900601413</v>
      </c>
      <c r="F36" s="41">
        <f>[13]DCF!Q9</f>
        <v>25941.745950924131</v>
      </c>
      <c r="I36" s="1" t="s">
        <v>79</v>
      </c>
      <c r="J36" s="41">
        <f>[13]DCF!AN9</f>
        <v>3024.3157545679519</v>
      </c>
      <c r="K36" s="41">
        <f>[13]DCF!AO9</f>
        <v>3134.4985930751413</v>
      </c>
      <c r="L36" s="41">
        <f>[13]DCF!AP9</f>
        <v>3248.6956479825735</v>
      </c>
      <c r="M36" s="41">
        <f>[13]DCF!AQ9</f>
        <v>3367.053166505571</v>
      </c>
      <c r="N36" s="41">
        <f>[13]DCF!AR9</f>
        <v>3489.7227239847634</v>
      </c>
    </row>
    <row r="38" spans="1:14" x14ac:dyDescent="0.3">
      <c r="A38" s="59" t="s">
        <v>82</v>
      </c>
      <c r="B38" s="60" t="s">
        <v>22</v>
      </c>
      <c r="C38" s="60" t="s">
        <v>23</v>
      </c>
      <c r="D38" s="60" t="s">
        <v>24</v>
      </c>
      <c r="E38" s="60" t="s">
        <v>25</v>
      </c>
      <c r="F38" s="60" t="s">
        <v>26</v>
      </c>
      <c r="I38" s="59" t="s">
        <v>82</v>
      </c>
      <c r="J38" s="60" t="s">
        <v>22</v>
      </c>
      <c r="K38" s="60" t="s">
        <v>23</v>
      </c>
      <c r="L38" s="60" t="s">
        <v>24</v>
      </c>
      <c r="M38" s="60" t="s">
        <v>25</v>
      </c>
      <c r="N38" s="60" t="s">
        <v>26</v>
      </c>
    </row>
    <row r="39" spans="1:14" x14ac:dyDescent="0.3">
      <c r="A39" s="1" t="s">
        <v>14</v>
      </c>
      <c r="B39" s="41">
        <f>[13]DCF!V4</f>
        <v>4275.4133021726884</v>
      </c>
      <c r="C39" s="41">
        <f>[13]DCF!W4</f>
        <v>5147.5508314170411</v>
      </c>
      <c r="D39" s="41">
        <f>[13]DCF!X4</f>
        <v>6197.5948731218177</v>
      </c>
      <c r="E39" s="41">
        <f>[13]DCF!Y4</f>
        <v>7461.8364090582681</v>
      </c>
      <c r="F39" s="41">
        <f>[13]DCF!Z4</f>
        <v>8983.9693841590652</v>
      </c>
      <c r="I39" s="1" t="s">
        <v>14</v>
      </c>
      <c r="J39" s="41">
        <f>[13]DCF!AW4</f>
        <v>130396.09187318904</v>
      </c>
      <c r="K39" s="41">
        <f>[13]DCF!AX4</f>
        <v>147740.34456938304</v>
      </c>
      <c r="L39" s="41">
        <f>[13]DCF!AY4</f>
        <v>167391.5920325827</v>
      </c>
      <c r="M39" s="41">
        <f>[13]DCF!AZ4</f>
        <v>189656.69238739079</v>
      </c>
      <c r="N39" s="41">
        <f>[13]DCF!BA4</f>
        <v>214883.31958945643</v>
      </c>
    </row>
    <row r="40" spans="1:14" x14ac:dyDescent="0.3">
      <c r="A40" s="1" t="s">
        <v>77</v>
      </c>
      <c r="B40" s="41">
        <f>[13]DCF!V5</f>
        <v>926.04215918122941</v>
      </c>
      <c r="C40" s="41">
        <f>[13]DCF!W5</f>
        <v>1114.9446262886777</v>
      </c>
      <c r="D40" s="41">
        <f>[13]DCF!X5</f>
        <v>1342.3811295903649</v>
      </c>
      <c r="E40" s="41">
        <f>[13]DCF!Y5</f>
        <v>1616.2121908050165</v>
      </c>
      <c r="F40" s="41">
        <f>[13]DCF!Z5</f>
        <v>1945.9017920669523</v>
      </c>
      <c r="I40" s="1" t="s">
        <v>77</v>
      </c>
      <c r="J40" s="41">
        <f>[13]DCF!AW5</f>
        <v>64593.420157044049</v>
      </c>
      <c r="K40" s="41">
        <f>[13]DCF!AX5</f>
        <v>73185.123985136728</v>
      </c>
      <c r="L40" s="41">
        <f>[13]DCF!AY5</f>
        <v>82919.628031737622</v>
      </c>
      <c r="M40" s="41">
        <f>[13]DCF!AZ5</f>
        <v>93948.938507204235</v>
      </c>
      <c r="N40" s="41">
        <f>[13]DCF!BA5</f>
        <v>106445.28028095014</v>
      </c>
    </row>
    <row r="41" spans="1:14" x14ac:dyDescent="0.3">
      <c r="A41" s="1" t="s">
        <v>79</v>
      </c>
      <c r="B41" s="41">
        <f>[13]DCF!V9</f>
        <v>449.34988329635451</v>
      </c>
      <c r="C41" s="41">
        <f>[13]DCF!W9</f>
        <v>541.01234240531744</v>
      </c>
      <c r="D41" s="41">
        <f>[13]DCF!X9</f>
        <v>651.37294014128247</v>
      </c>
      <c r="E41" s="41">
        <f>[13]DCF!Y9</f>
        <v>784.24589217676339</v>
      </c>
      <c r="F41" s="41">
        <f>[13]DCF!Z9</f>
        <v>944.22347244379728</v>
      </c>
      <c r="I41" s="1" t="s">
        <v>79</v>
      </c>
      <c r="J41" s="41">
        <f>[13]DCF!AW9</f>
        <v>30075.145137246465</v>
      </c>
      <c r="K41" s="41">
        <f>[13]DCF!AX9</f>
        <v>34075.502123730395</v>
      </c>
      <c r="L41" s="41">
        <f>[13]DCF!AY9</f>
        <v>38607.95483065999</v>
      </c>
      <c r="M41" s="41">
        <f>[13]DCF!AZ9</f>
        <v>43743.278405521633</v>
      </c>
      <c r="N41" s="41">
        <f>[13]DCF!BA9</f>
        <v>49561.66194391148</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1AF0-F595-4E09-B3D6-7C66F7287BAF}">
  <dimension ref="A1:U47"/>
  <sheetViews>
    <sheetView topLeftCell="C17" workbookViewId="0">
      <selection activeCell="M28" sqref="M28"/>
    </sheetView>
  </sheetViews>
  <sheetFormatPr defaultRowHeight="14.4" x14ac:dyDescent="0.3"/>
  <cols>
    <col min="1" max="1" width="15.109375" style="1" bestFit="1" customWidth="1"/>
    <col min="2" max="7" width="9.88671875" style="1" bestFit="1" customWidth="1"/>
    <col min="8" max="8" width="15.109375" style="1" bestFit="1" customWidth="1"/>
    <col min="9" max="13" width="9.88671875" style="1" bestFit="1" customWidth="1"/>
    <col min="14" max="14" width="8.88671875" style="1"/>
    <col min="15" max="15" width="15.109375" style="1" bestFit="1" customWidth="1"/>
    <col min="16" max="20" width="9.88671875" style="1" bestFit="1" customWidth="1"/>
    <col min="21" max="21" width="10.88671875" style="1" bestFit="1" customWidth="1"/>
    <col min="22" max="16384" width="8.88671875" style="1"/>
  </cols>
  <sheetData>
    <row r="1" spans="1:21" x14ac:dyDescent="0.3">
      <c r="A1" s="61" t="s">
        <v>60</v>
      </c>
      <c r="B1" s="62" t="s">
        <v>16</v>
      </c>
      <c r="C1" s="62" t="s">
        <v>17</v>
      </c>
      <c r="D1" s="62" t="s">
        <v>18</v>
      </c>
      <c r="E1" s="62" t="s">
        <v>19</v>
      </c>
      <c r="F1" s="62" t="s">
        <v>20</v>
      </c>
      <c r="H1" s="61" t="s">
        <v>60</v>
      </c>
      <c r="I1" s="62" t="s">
        <v>16</v>
      </c>
      <c r="J1" s="62" t="s">
        <v>17</v>
      </c>
      <c r="K1" s="62" t="s">
        <v>18</v>
      </c>
      <c r="L1" s="62" t="s">
        <v>19</v>
      </c>
      <c r="M1" s="62" t="s">
        <v>20</v>
      </c>
      <c r="O1" s="61" t="s">
        <v>60</v>
      </c>
      <c r="P1" s="62" t="s">
        <v>16</v>
      </c>
      <c r="Q1" s="62" t="s">
        <v>17</v>
      </c>
      <c r="R1" s="62" t="s">
        <v>18</v>
      </c>
      <c r="S1" s="62" t="s">
        <v>19</v>
      </c>
      <c r="T1" s="62" t="s">
        <v>20</v>
      </c>
      <c r="U1" s="62" t="s">
        <v>21</v>
      </c>
    </row>
    <row r="2" spans="1:21" x14ac:dyDescent="0.3">
      <c r="A2" s="11" t="s">
        <v>14</v>
      </c>
      <c r="B2" s="45">
        <f>'[14]Income Statement'!$M$9</f>
        <v>13067.07</v>
      </c>
      <c r="C2" s="45">
        <f>'[14]Income Statement'!$L$9</f>
        <v>14189.93</v>
      </c>
      <c r="D2" s="45">
        <f>'[14]Income Statement'!$K$9</f>
        <v>15547.35</v>
      </c>
      <c r="E2" s="45">
        <f>'[14]Income Statement'!$J$9</f>
        <v>18006.22</v>
      </c>
      <c r="F2" s="45">
        <f>'[14]Income Statement'!$I$9</f>
        <v>20925.23</v>
      </c>
      <c r="H2" s="11" t="s">
        <v>14</v>
      </c>
      <c r="I2" s="45">
        <f>'[14]Income Statement'!W6</f>
        <v>3192.9222999999997</v>
      </c>
      <c r="J2" s="45">
        <f>'[14]Income Statement'!X6</f>
        <v>2008.3730999999998</v>
      </c>
      <c r="K2" s="45">
        <f>'[14]Income Statement'!Y6</f>
        <v>2928.6131999999998</v>
      </c>
      <c r="L2" s="45">
        <f>'[14]Income Statement'!Z6</f>
        <v>2644.7946999999999</v>
      </c>
      <c r="M2" s="45">
        <f>'[14]Income Statement'!AA6</f>
        <v>2731.1043999999997</v>
      </c>
      <c r="O2" s="11" t="s">
        <v>14</v>
      </c>
      <c r="P2" s="45">
        <f>'[14]Income Statement'!AD6</f>
        <v>21741.73</v>
      </c>
      <c r="Q2" s="45">
        <f>'[14]Income Statement'!AE6</f>
        <v>23112.77</v>
      </c>
      <c r="R2" s="45">
        <f>'[14]Income Statement'!AF6</f>
        <v>25604.95</v>
      </c>
      <c r="S2" s="45">
        <f>'[14]Income Statement'!AG6</f>
        <v>28597.579999999998</v>
      </c>
      <c r="T2" s="45">
        <f>'[14]Income Statement'!AH6</f>
        <v>32277.68</v>
      </c>
      <c r="U2" s="45">
        <f>'[14]Income Statement'!AI6</f>
        <v>33542.639999999999</v>
      </c>
    </row>
    <row r="3" spans="1:21" x14ac:dyDescent="0.3">
      <c r="A3" s="11" t="s">
        <v>78</v>
      </c>
      <c r="B3" s="63">
        <f>'[14]Ratio Analysis'!I5</f>
        <v>0.13507620155654951</v>
      </c>
      <c r="C3" s="63">
        <f>'[14]Ratio Analysis'!J5</f>
        <v>0.15793436493924604</v>
      </c>
      <c r="D3" s="63">
        <f>'[14]Ratio Analysis'!K5</f>
        <v>0.127561452980504</v>
      </c>
      <c r="E3" s="63">
        <f>'[14]Ratio Analysis'!L5</f>
        <v>0.16735591862923943</v>
      </c>
      <c r="F3" s="63">
        <f>'[14]Ratio Analysis'!M5</f>
        <v>0.23210493559398751</v>
      </c>
      <c r="H3" s="11" t="s">
        <v>78</v>
      </c>
      <c r="I3" s="63">
        <f>'[14]Ratio Analysis'!O5</f>
        <v>0.23398931442835286</v>
      </c>
      <c r="J3" s="63">
        <f>'[14]Ratio Analysis'!P5</f>
        <v>0.17167821058746513</v>
      </c>
      <c r="K3" s="63">
        <f>'[14]Ratio Analysis'!Q5</f>
        <v>0.25504306953202277</v>
      </c>
      <c r="L3" s="63">
        <f>'[14]Ratio Analysis'!R5</f>
        <v>0.18388569063602553</v>
      </c>
      <c r="M3" s="63">
        <f>'[14]Ratio Analysis'!S5</f>
        <v>0.3043972248003407</v>
      </c>
      <c r="O3" s="11" t="s">
        <v>78</v>
      </c>
      <c r="P3" s="63">
        <f>'[14]Ratio Analysis'!AA5</f>
        <v>0.19323025352628337</v>
      </c>
      <c r="Q3" s="63">
        <f>'[14]Ratio Analysis'!AB5</f>
        <v>0.19596655874652857</v>
      </c>
      <c r="R3" s="63">
        <f>'[14]Ratio Analysis'!AC5</f>
        <v>0.20632572998580345</v>
      </c>
      <c r="S3" s="63">
        <f>'[14]Ratio Analysis'!AD5</f>
        <v>0.22955089206848978</v>
      </c>
      <c r="T3" s="63">
        <f>'[14]Ratio Analysis'!AE5</f>
        <v>0.31695245754961326</v>
      </c>
      <c r="U3" s="63">
        <f>'[14]Ratio Analysis'!AF5</f>
        <v>0.32285443244777401</v>
      </c>
    </row>
    <row r="4" spans="1:21" x14ac:dyDescent="0.3">
      <c r="A4" s="11" t="s">
        <v>97</v>
      </c>
      <c r="B4" s="63">
        <f>'[14]Ratio Analysis'!I6</f>
        <v>8.6186525801579594E-2</v>
      </c>
      <c r="C4" s="63">
        <f>'[14]Ratio Analysis'!J6</f>
        <v>0.11117890400526188</v>
      </c>
      <c r="D4" s="63">
        <f>'[14]Ratio Analysis'!K6</f>
        <v>9.5099490668746595E-2</v>
      </c>
      <c r="E4" s="63">
        <f>'[14]Ratio Analysis'!L6</f>
        <v>0.12560153430765306</v>
      </c>
      <c r="F4" s="63">
        <f>'[14]Ratio Analysis'!M6</f>
        <v>0.17402165098164948</v>
      </c>
      <c r="H4" s="11" t="s">
        <v>97</v>
      </c>
      <c r="I4" s="63">
        <f>'[14]Ratio Analysis'!O6</f>
        <v>0.16752703315079095</v>
      </c>
      <c r="J4" s="63">
        <f>'[14]Ratio Analysis'!P6</f>
        <v>0.12834527608440885</v>
      </c>
      <c r="K4" s="63">
        <f>'[14]Ratio Analysis'!Q6</f>
        <v>0.17070345786872779</v>
      </c>
      <c r="L4" s="63">
        <f>'[14]Ratio Analysis'!R6</f>
        <v>0.13386668538015445</v>
      </c>
      <c r="M4" s="63">
        <f>'[14]Ratio Analysis'!S6</f>
        <v>0.22434909482039561</v>
      </c>
      <c r="O4" s="11" t="s">
        <v>97</v>
      </c>
      <c r="P4" s="63">
        <f>'[14]Ratio Analysis'!AA6</f>
        <v>0.13258604536069579</v>
      </c>
      <c r="Q4" s="63">
        <f>'[14]Ratio Analysis'!AB6</f>
        <v>0.14014157541480335</v>
      </c>
      <c r="R4" s="63">
        <f>'[14]Ratio Analysis'!AC6</f>
        <v>0.19839445107293704</v>
      </c>
      <c r="S4" s="63">
        <f>'[14]Ratio Analysis'!AD6</f>
        <v>0.2037840264805624</v>
      </c>
      <c r="T4" s="63">
        <f>'[14]Ratio Analysis'!AE6</f>
        <v>0.23610587873725747</v>
      </c>
      <c r="U4" s="63">
        <f>'[14]Ratio Analysis'!AF6</f>
        <v>0.24935544727546791</v>
      </c>
    </row>
    <row r="5" spans="1:21" x14ac:dyDescent="0.3">
      <c r="A5" s="11" t="s">
        <v>112</v>
      </c>
      <c r="B5" s="45">
        <f>'[15]Macro-Defense'!$D$2</f>
        <v>51973</v>
      </c>
      <c r="C5" s="45">
        <f>'[15]Macro-Defense'!$D$3</f>
        <v>53434</v>
      </c>
      <c r="D5" s="45">
        <f>'[15]Macro-Defense'!$D$4</f>
        <v>57570</v>
      </c>
      <c r="E5" s="45" t="e">
        <f>[15]!Table7[[#This Row],[BEL-Order Book]]</f>
        <v>#REF!</v>
      </c>
      <c r="F5" s="45">
        <f>'[15]Macro-Defense'!$D$6</f>
        <v>75934</v>
      </c>
      <c r="H5" s="11" t="s">
        <v>112</v>
      </c>
      <c r="I5" s="45">
        <f>'[15]Macro-Defense'!$M$2</f>
        <v>7413</v>
      </c>
      <c r="J5" s="45">
        <f>'[15]Macro-Defense'!$M$3</f>
        <v>8386</v>
      </c>
      <c r="K5" s="45">
        <f>'[15]Macro-Defense'!$M$4</f>
        <v>10170</v>
      </c>
      <c r="L5" s="45" t="e">
        <f>[15]!Table7[[#This Row],[BDL-Order book]]</f>
        <v>#REF!</v>
      </c>
      <c r="M5" s="45">
        <f>'[15]Macro-Defense'!$M$6</f>
        <v>19434</v>
      </c>
      <c r="O5" s="11" t="s">
        <v>112</v>
      </c>
      <c r="P5" s="45">
        <f>'[15]Macro-Defense'!$G$2</f>
        <v>52965</v>
      </c>
      <c r="Q5" s="45">
        <f>'[15]Macro-Defense'!$G$3</f>
        <v>53000</v>
      </c>
      <c r="R5" s="45">
        <f>'[15]Macro-Defense'!$G$4</f>
        <v>83858</v>
      </c>
      <c r="S5" s="45" t="e">
        <f>[15]!Table7[[#This Row],[HAL-Order book]]</f>
        <v>#REF!</v>
      </c>
      <c r="T5" s="45">
        <f>'[15]Macro-Defense'!$G$6</f>
        <v>94000</v>
      </c>
      <c r="U5" s="45">
        <f>'[15]Macro-Defense'!$G$7</f>
        <v>180000</v>
      </c>
    </row>
    <row r="6" spans="1:21" x14ac:dyDescent="0.3">
      <c r="A6" s="11" t="s">
        <v>66</v>
      </c>
      <c r="B6" s="46">
        <f>'[14]Ratio Analysis'!I9</f>
        <v>0.15593682380090068</v>
      </c>
      <c r="C6" s="46">
        <f>'[14]Ratio Analysis'!J9</f>
        <v>0.14973875997680458</v>
      </c>
      <c r="D6" s="46">
        <f>'[14]Ratio Analysis'!K9</f>
        <v>0.15202660666514589</v>
      </c>
      <c r="E6" s="46">
        <f>'[14]Ratio Analysis'!L9</f>
        <v>0.25678147052346351</v>
      </c>
      <c r="F6" s="46">
        <f>'[14]Ratio Analysis'!M9</f>
        <v>0.29557761949685035</v>
      </c>
      <c r="H6" s="11" t="s">
        <v>66</v>
      </c>
      <c r="I6" s="46">
        <f>'[14]Ratio Analysis'!O9</f>
        <v>0.20519207679734494</v>
      </c>
      <c r="J6" s="46">
        <f>'[14]Ratio Analysis'!P9</f>
        <v>9.6010976377962173E-2</v>
      </c>
      <c r="K6" s="46">
        <f>'[14]Ratio Analysis'!Q9</f>
        <v>0.16496120482654447</v>
      </c>
      <c r="L6" s="46">
        <f>'[14]Ratio Analysis'!R9</f>
        <v>0.11024448188145985</v>
      </c>
      <c r="M6" s="46">
        <f>'[14]Ratio Analysis'!S9</f>
        <v>0.16847692325332375</v>
      </c>
      <c r="O6" s="11" t="s">
        <v>66</v>
      </c>
      <c r="P6" s="63">
        <f>'[14]Ratio Analysis'!AA9</f>
        <v>0.21751219740402425</v>
      </c>
      <c r="Q6" s="63">
        <f>'[14]Ratio Analysis'!AB9</f>
        <v>0.21010782178205009</v>
      </c>
      <c r="R6" s="63">
        <f>'[14]Ratio Analysis'!AC9</f>
        <v>0.26297621562074203</v>
      </c>
      <c r="S6" s="63">
        <f>'[14]Ratio Analysis'!AD9</f>
        <v>0.24719024393140626</v>
      </c>
      <c r="T6" s="63">
        <f>'[14]Ratio Analysis'!AE9</f>
        <v>0.26151258278054801</v>
      </c>
      <c r="U6" s="63">
        <f>'[14]Ratio Analysis'!AF9</f>
        <v>0.23907387044281908</v>
      </c>
    </row>
    <row r="7" spans="1:21" x14ac:dyDescent="0.3">
      <c r="A7" s="11" t="s">
        <v>113</v>
      </c>
      <c r="B7" s="47">
        <f>'[14]Cash Flow Statement'!$F$62</f>
        <v>652.53</v>
      </c>
      <c r="C7" s="47">
        <f>'[14]Cash Flow Statement'!$E$62</f>
        <v>590.45000000000005</v>
      </c>
      <c r="D7" s="47">
        <f>'[14]Cash Flow Statement'!$D$62</f>
        <v>554.55999999999995</v>
      </c>
      <c r="E7" s="47">
        <f>'[14]Cash Flow Statement'!$C$62</f>
        <v>469.25</v>
      </c>
      <c r="F7" s="47">
        <f>'[14]Cash Flow Statement'!$B$62</f>
        <v>762.2</v>
      </c>
      <c r="H7" s="11" t="s">
        <v>113</v>
      </c>
      <c r="I7" s="45">
        <f>'[14]Cash Flow Statement'!P52</f>
        <v>56.888399999999997</v>
      </c>
      <c r="J7" s="45">
        <f>'[14]Cash Flow Statement'!Q52</f>
        <v>56.609099999999998</v>
      </c>
      <c r="K7" s="45">
        <f>'[14]Cash Flow Statement'!R52</f>
        <v>102.0442</v>
      </c>
      <c r="L7" s="45">
        <f>'[14]Cash Flow Statement'!S52</f>
        <v>108.25709999999999</v>
      </c>
      <c r="M7" s="45">
        <f>'[14]Cash Flow Statement'!T52</f>
        <v>80.889700000000005</v>
      </c>
      <c r="O7" s="11" t="s">
        <v>113</v>
      </c>
      <c r="P7" s="47">
        <f>'[14]Cash Flow Statement'!AD56</f>
        <v>890.23</v>
      </c>
      <c r="Q7" s="47">
        <f>'[14]Cash Flow Statement'!AE56</f>
        <v>762.98</v>
      </c>
      <c r="R7" s="47">
        <f>'[14]Cash Flow Statement'!AF56</f>
        <v>799.29</v>
      </c>
      <c r="S7" s="47">
        <f>'[14]Cash Flow Statement'!AG56</f>
        <v>782.42</v>
      </c>
      <c r="T7" s="47">
        <f>'[14]Cash Flow Statement'!AH56</f>
        <v>916.42</v>
      </c>
      <c r="U7" s="47">
        <f>'[14]Cash Flow Statement'!AI56</f>
        <v>930.09</v>
      </c>
    </row>
    <row r="8" spans="1:21" x14ac:dyDescent="0.3">
      <c r="A8" s="11" t="s">
        <v>114</v>
      </c>
      <c r="B8" s="64">
        <f>'[14]Ratio Analysis'!I14</f>
        <v>0</v>
      </c>
      <c r="C8" s="64">
        <f>'[14]Ratio Analysis'!J14</f>
        <v>0</v>
      </c>
      <c r="D8" s="64">
        <f>'[14]Ratio Analysis'!K14</f>
        <v>0</v>
      </c>
      <c r="E8" s="64">
        <f>'[14]Ratio Analysis'!L14</f>
        <v>0</v>
      </c>
      <c r="F8" s="64">
        <f>'[14]Ratio Analysis'!M14</f>
        <v>0</v>
      </c>
      <c r="H8" s="11" t="s">
        <v>114</v>
      </c>
      <c r="I8" s="45">
        <f>'[14]Ratio Analysis'!O14</f>
        <v>4.1963615805052402E-3</v>
      </c>
      <c r="J8" s="45">
        <f>'[14]Ratio Analysis'!P14</f>
        <v>2.8724864672547198E-3</v>
      </c>
      <c r="K8" s="45">
        <f>'[14]Ratio Analysis'!Q14</f>
        <v>2.1537622088926615E-3</v>
      </c>
      <c r="L8" s="45">
        <f>'[14]Ratio Analysis'!R14</f>
        <v>1.6215175866387821E-3</v>
      </c>
      <c r="M8" s="45">
        <f>'[14]Ratio Analysis'!S14</f>
        <v>1.0286724680849907E-3</v>
      </c>
      <c r="O8" s="11" t="s">
        <v>114</v>
      </c>
      <c r="P8" s="45">
        <f>'[14]Ratio Analysis'!AA14</f>
        <v>0.44416961823974066</v>
      </c>
      <c r="Q8" s="45">
        <f>'[14]Ratio Analysis'!AB14</f>
        <v>5.8834289687847454E-4</v>
      </c>
      <c r="R8" s="45">
        <f>'[14]Ratio Analysis'!AC14</f>
        <v>1.2890280417955695E-4</v>
      </c>
      <c r="S8" s="45">
        <f>'[14]Ratio Analysis'!AD14</f>
        <v>1.1240296760800971E-4</v>
      </c>
      <c r="T8" s="45">
        <f>'[14]Ratio Analysis'!AE14</f>
        <v>3.7746454321128306E-5</v>
      </c>
      <c r="U8" s="45">
        <f>'[14]Ratio Analysis'!AF14</f>
        <v>3.3156906197683189E-5</v>
      </c>
    </row>
    <row r="10" spans="1:21" x14ac:dyDescent="0.3">
      <c r="A10" s="61" t="s">
        <v>60</v>
      </c>
      <c r="B10" s="62" t="s">
        <v>16</v>
      </c>
      <c r="C10" s="62" t="s">
        <v>17</v>
      </c>
      <c r="D10" s="62" t="s">
        <v>18</v>
      </c>
      <c r="E10" s="62" t="s">
        <v>19</v>
      </c>
      <c r="F10" s="62" t="s">
        <v>20</v>
      </c>
      <c r="H10" s="61" t="s">
        <v>60</v>
      </c>
      <c r="I10" s="62" t="s">
        <v>16</v>
      </c>
      <c r="J10" s="62" t="s">
        <v>17</v>
      </c>
      <c r="K10" s="62" t="s">
        <v>18</v>
      </c>
      <c r="L10" s="62" t="s">
        <v>19</v>
      </c>
      <c r="M10" s="62" t="s">
        <v>20</v>
      </c>
    </row>
    <row r="11" spans="1:21" x14ac:dyDescent="0.3">
      <c r="A11" s="11" t="s">
        <v>14</v>
      </c>
      <c r="B11" s="45">
        <f>'[14]Income Statement'!$F$9</f>
        <v>5535.32</v>
      </c>
      <c r="C11" s="45">
        <f>'[14]Income Statement'!$E$9</f>
        <v>4621.92</v>
      </c>
      <c r="D11" s="45">
        <f>'[14]Income Statement'!$D$9</f>
        <v>6166.91</v>
      </c>
      <c r="E11" s="45">
        <f>'[14]Income Statement'!$C$9</f>
        <v>8540.66</v>
      </c>
      <c r="F11" s="45">
        <f>'[14]Income Statement'!$B$9</f>
        <v>10604.6</v>
      </c>
      <c r="H11" s="11" t="s">
        <v>14</v>
      </c>
      <c r="I11" s="45">
        <f>'[14]Income Statement'!P6</f>
        <v>1658.7946999999999</v>
      </c>
      <c r="J11" s="45">
        <f>'[14]Income Statement'!Q6</f>
        <v>1328.4308999999998</v>
      </c>
      <c r="K11" s="45">
        <f>'[14]Income Statement'!R6</f>
        <v>1918.16</v>
      </c>
      <c r="L11" s="45">
        <f>'[14]Income Statement'!S6</f>
        <v>2762.9806000000003</v>
      </c>
      <c r="M11" s="45">
        <f>'[14]Income Statement'!T6</f>
        <v>3892.2642000000001</v>
      </c>
    </row>
    <row r="12" spans="1:21" x14ac:dyDescent="0.3">
      <c r="A12" s="11" t="s">
        <v>78</v>
      </c>
      <c r="B12" s="63">
        <f>'[14]Ratio Analysis'!C5</f>
        <v>0.18966761485168426</v>
      </c>
      <c r="C12" s="63">
        <f>'[14]Ratio Analysis'!D5</f>
        <v>0.20682343041861376</v>
      </c>
      <c r="D12" s="63">
        <f>'[14]Ratio Analysis'!E5</f>
        <v>0.20310856834122859</v>
      </c>
      <c r="E12" s="63">
        <f>'[14]Ratio Analysis'!F5</f>
        <v>0.22130574879125101</v>
      </c>
      <c r="F12" s="63">
        <f>'[14]Ratio Analysis'!G5</f>
        <v>0.25493435436551953</v>
      </c>
      <c r="H12" s="11" t="s">
        <v>78</v>
      </c>
      <c r="I12" s="63">
        <f>'[14]Ratio Analysis'!U5</f>
        <v>0.14215960540505709</v>
      </c>
      <c r="J12" s="63">
        <f>'[14]Ratio Analysis'!V5</f>
        <v>0.17356401450764192</v>
      </c>
      <c r="K12" s="63">
        <f>'[14]Ratio Analysis'!W5</f>
        <v>0.13850961337948853</v>
      </c>
      <c r="L12" s="63">
        <f>'[14]Ratio Analysis'!X5</f>
        <v>0.11281244609535082</v>
      </c>
      <c r="M12" s="63">
        <f>'[14]Ratio Analysis'!Y5</f>
        <v>0.12650993732645385</v>
      </c>
    </row>
    <row r="13" spans="1:21" x14ac:dyDescent="0.3">
      <c r="A13" s="11" t="s">
        <v>97</v>
      </c>
      <c r="B13" s="63">
        <f>'[14]Ratio Analysis'!C6</f>
        <v>0.13964262837805244</v>
      </c>
      <c r="C13" s="63">
        <f>'[14]Ratio Analysis'!D6</f>
        <v>0.14555533395865941</v>
      </c>
      <c r="D13" s="63">
        <f>'[14]Ratio Analysis'!E6</f>
        <v>0.15108233879085503</v>
      </c>
      <c r="E13" s="63">
        <f>'[14]Ratio Analysis'!F6</f>
        <v>0.16697952152089665</v>
      </c>
      <c r="F13" s="63">
        <f>'[14]Ratio Analysis'!G6</f>
        <v>0.19211258370875733</v>
      </c>
      <c r="H13" s="11" t="s">
        <v>97</v>
      </c>
      <c r="I13" s="63">
        <f>'[14]Ratio Analysis'!U6</f>
        <v>9.8554510693818875E-2</v>
      </c>
      <c r="J13" s="63">
        <f>'[14]Ratio Analysis'!V6</f>
        <v>0.11552817688898971</v>
      </c>
      <c r="K13" s="63">
        <f>'[14]Ratio Analysis'!W6</f>
        <v>9.8802654627351064E-2</v>
      </c>
      <c r="L13" s="63">
        <f>'[14]Ratio Analysis'!X6</f>
        <v>8.2564459555018246E-2</v>
      </c>
      <c r="M13" s="63">
        <f>'[14]Ratio Analysis'!Y6</f>
        <v>9.1789169912977669E-2</v>
      </c>
    </row>
    <row r="14" spans="1:21" x14ac:dyDescent="0.3">
      <c r="A14" s="11" t="s">
        <v>112</v>
      </c>
      <c r="B14" s="45">
        <f>'[15]Macro-Defense'!$J$2</f>
        <v>54074</v>
      </c>
      <c r="C14" s="45">
        <f>'[15]Macro-Defense'!$J$3</f>
        <v>42000</v>
      </c>
      <c r="D14" s="45">
        <f>'[15]Macro-Defense'!$J$4</f>
        <v>0</v>
      </c>
      <c r="E14" s="45">
        <f>'[15]Macro-Defense'!$J$5</f>
        <v>37500</v>
      </c>
      <c r="F14" s="45">
        <f>'[15]Macro-Defense'!$J$6</f>
        <v>36839</v>
      </c>
      <c r="H14" s="11" t="s">
        <v>112</v>
      </c>
      <c r="I14" s="45">
        <f>'[15]Macro-Defense'!$P$2</f>
        <v>26000</v>
      </c>
      <c r="J14" s="45">
        <f>'[15]Macro-Defense'!$P$3</f>
        <v>25707</v>
      </c>
      <c r="K14" s="45">
        <f>'[15]Macro-Defense'!$P$4</f>
        <v>22930</v>
      </c>
      <c r="L14" s="45">
        <f>'[15]Macro-Defense'!$P$5</f>
        <v>23740</v>
      </c>
      <c r="M14" s="45">
        <f>'[15]Macro-Defense'!$P$6</f>
        <v>24221.37</v>
      </c>
    </row>
    <row r="15" spans="1:21" x14ac:dyDescent="0.3">
      <c r="A15" s="11" t="s">
        <v>66</v>
      </c>
      <c r="B15" s="46">
        <f>'[14]Ratio Analysis'!C9</f>
        <v>0.18519548479946063</v>
      </c>
      <c r="C15" s="46">
        <f>'[14]Ratio Analysis'!D9</f>
        <v>0.18650114631990228</v>
      </c>
      <c r="D15" s="46">
        <f>'[14]Ratio Analysis'!E9</f>
        <v>0.19093468116046874</v>
      </c>
      <c r="E15" s="46">
        <f>'[14]Ratio Analysis'!F9</f>
        <v>0.14881212273170705</v>
      </c>
      <c r="F15" s="46">
        <f>'[14]Ratio Analysis'!G9</f>
        <v>0.24595595185871116</v>
      </c>
      <c r="H15" s="11" t="s">
        <v>66</v>
      </c>
      <c r="I15" s="63">
        <f>'[14]Ratio Analysis'!U9</f>
        <v>0.15715903486821683</v>
      </c>
      <c r="J15" s="63">
        <f>'[14]Ratio Analysis'!V9</f>
        <v>0.1349651082702438</v>
      </c>
      <c r="K15" s="63">
        <f>'[14]Ratio Analysis'!W9</f>
        <v>0.15066436217391521</v>
      </c>
      <c r="L15" s="63">
        <f>'[14]Ratio Analysis'!X9</f>
        <v>0.16135321567316863</v>
      </c>
      <c r="M15" s="63">
        <f>'[14]Ratio Analysis'!Y9</f>
        <v>0.21349312484608798</v>
      </c>
    </row>
    <row r="16" spans="1:21" x14ac:dyDescent="0.3">
      <c r="A16" s="11" t="s">
        <v>113</v>
      </c>
      <c r="B16" s="47">
        <f>'[14]Cash Flow Statement'!I49</f>
        <v>109.5</v>
      </c>
      <c r="C16" s="47">
        <f>'[14]Cash Flow Statement'!J49</f>
        <v>41.9</v>
      </c>
      <c r="D16" s="47">
        <f>'[14]Cash Flow Statement'!K49</f>
        <v>32.01</v>
      </c>
      <c r="E16" s="47">
        <f>'[14]Cash Flow Statement'!L49</f>
        <v>135.57</v>
      </c>
      <c r="F16" s="47">
        <f>'[14]Cash Flow Statement'!M49</f>
        <v>103.03</v>
      </c>
      <c r="H16" s="11" t="s">
        <v>113</v>
      </c>
      <c r="I16" s="45">
        <f>'[14]Cash Flow Statement'!W50</f>
        <v>67.367599999999996</v>
      </c>
      <c r="J16" s="45">
        <f>'[14]Cash Flow Statement'!X50</f>
        <v>163.84399999999999</v>
      </c>
      <c r="K16" s="45">
        <f>'[14]Cash Flow Statement'!Y50</f>
        <v>54.827800000000003</v>
      </c>
      <c r="L16" s="45">
        <f>'[14]Cash Flow Statement'!Z50</f>
        <v>42.258400000000002</v>
      </c>
      <c r="M16" s="45">
        <f>'[14]Cash Flow Statement'!AA50</f>
        <v>48.069099999999999</v>
      </c>
    </row>
    <row r="17" spans="1:13" x14ac:dyDescent="0.3">
      <c r="A17" s="11" t="s">
        <v>114</v>
      </c>
      <c r="B17" s="64">
        <f>'[14]Ratio Analysis'!C14</f>
        <v>0</v>
      </c>
      <c r="C17" s="64">
        <f>'[14]Ratio Analysis'!D14</f>
        <v>2.275483382199038E-4</v>
      </c>
      <c r="D17" s="64">
        <f>'[14]Ratio Analysis'!E14</f>
        <v>4.2837622650128788E-3</v>
      </c>
      <c r="E17" s="64">
        <f>'[14]Ratio Analysis'!F14</f>
        <v>4.4195057704306678E-3</v>
      </c>
      <c r="F17" s="64">
        <f>'[14]Ratio Analysis'!G14</f>
        <v>3.8245538683303569E-3</v>
      </c>
      <c r="H17" s="11" t="s">
        <v>114</v>
      </c>
      <c r="I17" s="45">
        <f>'[14]Ratio Analysis'!U14</f>
        <v>0</v>
      </c>
      <c r="J17" s="45">
        <f>'[14]Ratio Analysis'!V14</f>
        <v>0</v>
      </c>
      <c r="K17" s="45">
        <f>'[14]Ratio Analysis'!W14</f>
        <v>8.9071331873270074E-3</v>
      </c>
      <c r="L17" s="45">
        <f>'[14]Ratio Analysis'!X14</f>
        <v>0.22075515404215892</v>
      </c>
      <c r="M17" s="45">
        <f>'[14]Ratio Analysis'!Y14</f>
        <v>3.9242902743565955E-2</v>
      </c>
    </row>
    <row r="19" spans="1:13" x14ac:dyDescent="0.3">
      <c r="A19" s="61" t="s">
        <v>82</v>
      </c>
      <c r="B19" s="62" t="s">
        <v>21</v>
      </c>
      <c r="C19" s="62" t="s">
        <v>22</v>
      </c>
      <c r="D19" s="62" t="s">
        <v>23</v>
      </c>
      <c r="E19" s="62" t="s">
        <v>24</v>
      </c>
      <c r="F19" s="62" t="s">
        <v>25</v>
      </c>
      <c r="G19" s="62" t="s">
        <v>26</v>
      </c>
    </row>
    <row r="20" spans="1:13" x14ac:dyDescent="0.3">
      <c r="A20" s="11" t="s">
        <v>14</v>
      </c>
      <c r="B20" s="12">
        <f>[14]DCF!D4</f>
        <v>12077.153984228209</v>
      </c>
      <c r="C20" s="12">
        <f>[14]DCF!E4</f>
        <v>13754.186707538172</v>
      </c>
      <c r="D20" s="12">
        <f>[14]DCF!F4</f>
        <v>15664.092072757418</v>
      </c>
      <c r="E20" s="12">
        <f>[14]DCF!G4</f>
        <v>17839.206757993677</v>
      </c>
      <c r="F20" s="12">
        <f>[14]DCF!H4</f>
        <v>20316.357710123353</v>
      </c>
      <c r="G20" s="12">
        <f>[14]DCF!I4</f>
        <v>23137.485663185951</v>
      </c>
      <c r="J20" s="52">
        <f>(G22-B22)/B22</f>
        <v>2.2584714974569011</v>
      </c>
      <c r="K20" s="1">
        <f>(G22/B22)^(1/6)-1</f>
        <v>0.21759350023805668</v>
      </c>
    </row>
    <row r="21" spans="1:13" x14ac:dyDescent="0.3">
      <c r="A21" s="11" t="s">
        <v>77</v>
      </c>
      <c r="B21" s="12">
        <f>[14]DCF!D5+[14]DCF!D8</f>
        <v>3210.1685029841897</v>
      </c>
      <c r="C21" s="12">
        <f>[14]DCF!E5+[14]DCF!E8</f>
        <v>4045.9999300977311</v>
      </c>
      <c r="D21" s="12">
        <f>[14]DCF!F5+[14]DCF!F8</f>
        <v>5103.8099874867239</v>
      </c>
      <c r="E21" s="12">
        <f>[14]DCF!G5+[14]DCF!G8</f>
        <v>6442.7246805138084</v>
      </c>
      <c r="F21" s="12">
        <f>[14]DCF!H5+[14]DCF!H8</f>
        <v>8137.6255227968513</v>
      </c>
      <c r="G21" s="12">
        <f>[14]DCF!I5+[14]DCF!I8</f>
        <v>10283.348223483397</v>
      </c>
      <c r="J21" s="52">
        <f>(G28-B28)/B28</f>
        <v>1.1521273166800985</v>
      </c>
      <c r="K21" s="1">
        <f>(G28/B28)^(1/6)-1</f>
        <v>0.13626071934183948</v>
      </c>
    </row>
    <row r="22" spans="1:13" x14ac:dyDescent="0.3">
      <c r="A22" s="11" t="s">
        <v>79</v>
      </c>
      <c r="B22" s="12">
        <f>[14]DCF!D7</f>
        <v>2342.8536927406476</v>
      </c>
      <c r="C22" s="12">
        <f>[14]DCF!E7</f>
        <v>2967.2077440845947</v>
      </c>
      <c r="D22" s="12">
        <f>[14]DCF!F7</f>
        <v>3757.9477642312268</v>
      </c>
      <c r="E22" s="12">
        <f>[14]DCF!G7</f>
        <v>4759.4144450601207</v>
      </c>
      <c r="F22" s="12">
        <f>[14]DCF!H7</f>
        <v>6027.7649613580843</v>
      </c>
      <c r="G22" s="12">
        <f>[14]DCF!I7</f>
        <v>7634.1219805070486</v>
      </c>
      <c r="J22" s="52">
        <f>(G34-B34)/B34</f>
        <v>2.0045142693838929</v>
      </c>
      <c r="K22" s="1">
        <f>(G34/B34)^(1/6)-1</f>
        <v>0.20123795278495749</v>
      </c>
    </row>
    <row r="23" spans="1:13" x14ac:dyDescent="0.3">
      <c r="A23" s="11" t="s">
        <v>113</v>
      </c>
      <c r="B23" s="12">
        <f>[14]DCF!D9</f>
        <v>786.2535814419889</v>
      </c>
      <c r="C23" s="12">
        <f>[14]DCF!E9</f>
        <v>811.06624813743667</v>
      </c>
      <c r="D23" s="12">
        <f>[14]DCF!F9</f>
        <v>836.66195537231215</v>
      </c>
      <c r="E23" s="12">
        <f>[14]DCF!G9</f>
        <v>863.06541441581976</v>
      </c>
      <c r="F23" s="12">
        <f>[14]DCF!H9</f>
        <v>890.30211637779132</v>
      </c>
      <c r="G23" s="12">
        <f>[14]DCF!I9</f>
        <v>918.39835681897239</v>
      </c>
      <c r="J23" s="52">
        <f>(G40-B40)/B40</f>
        <v>1.0881327455244301</v>
      </c>
      <c r="K23" s="1">
        <f>(G40/B40)^(1/6)-1</f>
        <v>0.13055844214788737</v>
      </c>
    </row>
    <row r="24" spans="1:13" x14ac:dyDescent="0.3">
      <c r="J24" s="52">
        <f>(F46-B46)/B46</f>
        <v>0.87999422403319727</v>
      </c>
      <c r="K24" s="1">
        <f>(F46/B46)^(1/5)-1</f>
        <v>0.13457001858267215</v>
      </c>
    </row>
    <row r="25" spans="1:13" x14ac:dyDescent="0.3">
      <c r="A25" s="61" t="s">
        <v>82</v>
      </c>
      <c r="B25" s="62" t="s">
        <v>21</v>
      </c>
      <c r="C25" s="62" t="s">
        <v>22</v>
      </c>
      <c r="D25" s="62" t="s">
        <v>23</v>
      </c>
      <c r="E25" s="62" t="s">
        <v>24</v>
      </c>
      <c r="F25" s="62" t="s">
        <v>25</v>
      </c>
      <c r="G25" s="62" t="s">
        <v>26</v>
      </c>
      <c r="J25" s="153">
        <f>AVERAGE(J20:J24)</f>
        <v>1.4766480106157041</v>
      </c>
      <c r="K25" s="153">
        <f>AVERAGE(K20:K24)</f>
        <v>0.16404412661908263</v>
      </c>
    </row>
    <row r="26" spans="1:13" x14ac:dyDescent="0.3">
      <c r="A26" s="11" t="s">
        <v>14</v>
      </c>
      <c r="B26" s="12">
        <f>[14]DCF!N4</f>
        <v>22991.570863058354</v>
      </c>
      <c r="C26" s="12">
        <f>[14]DCF!O4</f>
        <v>25261.960358430177</v>
      </c>
      <c r="D26" s="12">
        <f>[14]DCF!P4</f>
        <v>27756.548038928053</v>
      </c>
      <c r="E26" s="12">
        <f>[14]DCF!Q4</f>
        <v>30497.473201054312</v>
      </c>
      <c r="F26" s="12">
        <f>[14]DCF!R4</f>
        <v>33509.061369756193</v>
      </c>
      <c r="G26" s="12">
        <f>[14]DCF!S4</f>
        <v>36818.040185810183</v>
      </c>
    </row>
    <row r="27" spans="1:13" x14ac:dyDescent="0.3">
      <c r="A27" s="11" t="s">
        <v>77</v>
      </c>
      <c r="B27" s="12">
        <f>[14]DCF!N5+[14]DCF!N8</f>
        <v>6647.5508961696978</v>
      </c>
      <c r="C27" s="12">
        <f>[14]DCF!O5+[14]DCF!O8</f>
        <v>7687.8706953525134</v>
      </c>
      <c r="D27" s="12">
        <f>[14]DCF!P5+[14]DCF!P8</f>
        <v>8899.2593201586551</v>
      </c>
      <c r="E27" s="12">
        <f>[14]DCF!Q5+[14]DCF!Q8</f>
        <v>10310.030125505276</v>
      </c>
      <c r="F27" s="12">
        <f>[14]DCF!R5+[14]DCF!R8</f>
        <v>11953.186427305496</v>
      </c>
      <c r="G27" s="12">
        <f>[14]DCF!S5+[14]DCF!S8</f>
        <v>13867.198451098617</v>
      </c>
    </row>
    <row r="28" spans="1:13" x14ac:dyDescent="0.3">
      <c r="A28" s="11" t="s">
        <v>79</v>
      </c>
      <c r="B28" s="12">
        <f>[14]DCF!N7</f>
        <v>4669.8678676776744</v>
      </c>
      <c r="C28" s="12">
        <f>[14]DCF!O7</f>
        <v>5443.499464345362</v>
      </c>
      <c r="D28" s="12">
        <f>[14]DCF!P7</f>
        <v>6345.2943976044626</v>
      </c>
      <c r="E28" s="12">
        <f>[14]DCF!Q7</f>
        <v>7396.4847899755587</v>
      </c>
      <c r="F28" s="12">
        <f>[14]DCF!R7</f>
        <v>8621.8201741740613</v>
      </c>
      <c r="G28" s="12">
        <f>[14]DCF!S7</f>
        <v>10050.150203315767</v>
      </c>
    </row>
    <row r="29" spans="1:13" x14ac:dyDescent="0.3">
      <c r="A29" s="11" t="s">
        <v>113</v>
      </c>
      <c r="B29" s="12">
        <f>[14]DCF!N9</f>
        <v>118.70774886792883</v>
      </c>
      <c r="C29" s="12">
        <f>[14]DCF!O9</f>
        <v>130.4299938443267</v>
      </c>
      <c r="D29" s="12">
        <f>[14]DCF!P9</f>
        <v>143.30979617142094</v>
      </c>
      <c r="E29" s="12">
        <f>[14]DCF!Q9</f>
        <v>157.46146322146393</v>
      </c>
      <c r="F29" s="12">
        <f>[14]DCF!R9</f>
        <v>173.01059007987701</v>
      </c>
      <c r="G29" s="12">
        <f>[14]DCF!S9</f>
        <v>190.0951741931168</v>
      </c>
    </row>
    <row r="31" spans="1:13" x14ac:dyDescent="0.3">
      <c r="A31" s="61" t="s">
        <v>82</v>
      </c>
      <c r="B31" s="62" t="s">
        <v>21</v>
      </c>
      <c r="C31" s="62" t="s">
        <v>22</v>
      </c>
      <c r="D31" s="62" t="s">
        <v>23</v>
      </c>
      <c r="E31" s="62" t="s">
        <v>24</v>
      </c>
      <c r="F31" s="62" t="s">
        <v>25</v>
      </c>
      <c r="G31" s="62" t="s">
        <v>26</v>
      </c>
    </row>
    <row r="32" spans="1:13" x14ac:dyDescent="0.3">
      <c r="A32" s="11" t="s">
        <v>14</v>
      </c>
      <c r="B32" s="12">
        <f>[14]DCF!X4</f>
        <v>2949.2512927154135</v>
      </c>
      <c r="C32" s="12">
        <f>[14]DCF!Y4</f>
        <v>3184.8226627966105</v>
      </c>
      <c r="D32" s="12">
        <f>[14]DCF!Z4</f>
        <v>3439.2102899187048</v>
      </c>
      <c r="E32" s="12">
        <f>[14]DCF!AA4</f>
        <v>3713.9171221220595</v>
      </c>
      <c r="F32" s="12">
        <f>[14]DCF!AB4</f>
        <v>4010.5661553825603</v>
      </c>
      <c r="G32" s="12">
        <f>[14]DCF!AC4</f>
        <v>4330.9100224373351</v>
      </c>
    </row>
    <row r="33" spans="1:7" x14ac:dyDescent="0.3">
      <c r="A33" s="11" t="s">
        <v>77</v>
      </c>
      <c r="B33" s="12">
        <f>[14]DCF!X5+[14]DCF!X8</f>
        <v>1128.8823338115178</v>
      </c>
      <c r="C33" s="12">
        <f>[14]DCF!Y5+[14]DCF!Y8</f>
        <v>1391.2564542744649</v>
      </c>
      <c r="D33" s="12">
        <f>[14]DCF!Z5+[14]DCF!Z8</f>
        <v>1716.9682384446764</v>
      </c>
      <c r="E33" s="12">
        <f>[14]DCF!AA5+[14]DCF!AA8</f>
        <v>2121.5068689965024</v>
      </c>
      <c r="F33" s="12">
        <f>[14]DCF!AB5+[14]DCF!AB8</f>
        <v>2624.1656300323807</v>
      </c>
      <c r="G33" s="12">
        <f>[14]DCF!AC5+[14]DCF!AC8</f>
        <v>3248.977488925696</v>
      </c>
    </row>
    <row r="34" spans="1:7" x14ac:dyDescent="0.3">
      <c r="A34" s="11" t="s">
        <v>79</v>
      </c>
      <c r="B34" s="12">
        <f>[14]DCF!X7</f>
        <v>776.95364440989238</v>
      </c>
      <c r="C34" s="12">
        <f>[14]DCF!Y7</f>
        <v>968.16630161262242</v>
      </c>
      <c r="D34" s="12">
        <f>[14]DCF!Z7</f>
        <v>1206.4374680811122</v>
      </c>
      <c r="E34" s="12">
        <f>[14]DCF!AA7</f>
        <v>1503.3485073438635</v>
      </c>
      <c r="F34" s="12">
        <f>[14]DCF!AB7</f>
        <v>1873.3310215636243</v>
      </c>
      <c r="G34" s="12">
        <f>[14]DCF!AC7</f>
        <v>2334.3683112793406</v>
      </c>
    </row>
    <row r="35" spans="1:7" x14ac:dyDescent="0.3">
      <c r="A35" s="11" t="s">
        <v>113</v>
      </c>
      <c r="B35" s="12">
        <f>[14]DCF!X9</f>
        <v>88.371470132220338</v>
      </c>
      <c r="C35" s="12">
        <f>[14]DCF!Y9</f>
        <v>95.4301390040646</v>
      </c>
      <c r="D35" s="12">
        <f>[14]DCF!Z9</f>
        <v>103.05261886793824</v>
      </c>
      <c r="E35" s="12">
        <f>[14]DCF!AA9</f>
        <v>111.28394411212392</v>
      </c>
      <c r="F35" s="12">
        <f>[14]DCF!AB9</f>
        <v>120.17274624549371</v>
      </c>
      <c r="G35" s="12">
        <f>[14]DCF!AC9</f>
        <v>129.77154121742242</v>
      </c>
    </row>
    <row r="37" spans="1:7" x14ac:dyDescent="0.3">
      <c r="A37" s="61" t="s">
        <v>82</v>
      </c>
      <c r="B37" s="62" t="s">
        <v>21</v>
      </c>
      <c r="C37" s="62" t="s">
        <v>22</v>
      </c>
      <c r="D37" s="62" t="s">
        <v>23</v>
      </c>
      <c r="E37" s="62" t="s">
        <v>24</v>
      </c>
      <c r="F37" s="62" t="s">
        <v>25</v>
      </c>
      <c r="G37" s="62" t="s">
        <v>26</v>
      </c>
    </row>
    <row r="38" spans="1:7" x14ac:dyDescent="0.3">
      <c r="A38" s="11" t="s">
        <v>14</v>
      </c>
      <c r="B38" s="12">
        <f>[14]DCF!AH4</f>
        <v>4616.1960630447638</v>
      </c>
      <c r="C38" s="12">
        <f>[14]DCF!AI4</f>
        <v>5474.7738070992136</v>
      </c>
      <c r="D38" s="12">
        <f>[14]DCF!AJ4</f>
        <v>6493.0405532060186</v>
      </c>
      <c r="E38" s="12">
        <f>[14]DCF!AK4</f>
        <v>7700.6972545439276</v>
      </c>
      <c r="F38" s="12">
        <f>[14]DCF!AL4</f>
        <v>9132.9690181682163</v>
      </c>
      <c r="G38" s="12">
        <f>[14]DCF!AM4</f>
        <v>10831.632556078264</v>
      </c>
    </row>
    <row r="39" spans="1:7" x14ac:dyDescent="0.3">
      <c r="A39" s="11" t="s">
        <v>77</v>
      </c>
      <c r="B39" s="12">
        <f>[14]DCF!AH5+[14]DCF!AH8</f>
        <v>614.5646568092144</v>
      </c>
      <c r="C39" s="12">
        <f>[14]DCF!AI5+[14]DCF!AI8</f>
        <v>707.96365848382788</v>
      </c>
      <c r="D39" s="12">
        <f>[14]DCF!AJ5+[14]DCF!AJ8</f>
        <v>815.91155602439164</v>
      </c>
      <c r="E39" s="12">
        <f>[14]DCF!AK5+[14]DCF!AK8</f>
        <v>940.69890037084394</v>
      </c>
      <c r="F39" s="12">
        <f>[14]DCF!AL5+[14]DCF!AL8</f>
        <v>1084.9784807641572</v>
      </c>
      <c r="G39" s="12">
        <f>[14]DCF!AM5+[14]DCF!AM8</f>
        <v>1251.8227176350586</v>
      </c>
    </row>
    <row r="40" spans="1:7" x14ac:dyDescent="0.3">
      <c r="A40" s="11" t="s">
        <v>79</v>
      </c>
      <c r="B40" s="12">
        <f>[14]DCF!AH7</f>
        <v>427.89758609149351</v>
      </c>
      <c r="C40" s="12">
        <f>[14]DCF!AI7</f>
        <v>495.78280159275658</v>
      </c>
      <c r="D40" s="12">
        <f>[14]DCF!AJ7</f>
        <v>574.43788968373678</v>
      </c>
      <c r="E40" s="12">
        <f>[14]DCF!AK7</f>
        <v>665.57147211281153</v>
      </c>
      <c r="F40" s="12">
        <f>[14]DCF!AL7</f>
        <v>771.16324052771961</v>
      </c>
      <c r="G40" s="12">
        <f>[14]DCF!AM7</f>
        <v>893.50696124850651</v>
      </c>
    </row>
    <row r="41" spans="1:7" x14ac:dyDescent="0.3">
      <c r="A41" s="11" t="s">
        <v>113</v>
      </c>
      <c r="B41" s="12">
        <f>[14]DCF!AH9</f>
        <v>150.28448639274572</v>
      </c>
      <c r="C41" s="12">
        <f>[14]DCF!AI9</f>
        <v>178.23627040088829</v>
      </c>
      <c r="D41" s="12">
        <f>[14]DCF!AJ9</f>
        <v>211.38687597731993</v>
      </c>
      <c r="E41" s="12">
        <f>[14]DCF!AK9</f>
        <v>250.70324482748012</v>
      </c>
      <c r="F41" s="12">
        <f>[14]DCF!AL9</f>
        <v>297.33216254054935</v>
      </c>
      <c r="G41" s="12">
        <f>[14]DCF!AM9</f>
        <v>352.63370819901422</v>
      </c>
    </row>
    <row r="43" spans="1:7" x14ac:dyDescent="0.3">
      <c r="A43" s="61" t="s">
        <v>82</v>
      </c>
      <c r="B43" s="62" t="s">
        <v>22</v>
      </c>
      <c r="C43" s="62" t="s">
        <v>23</v>
      </c>
      <c r="D43" s="62" t="s">
        <v>24</v>
      </c>
      <c r="E43" s="62" t="s">
        <v>25</v>
      </c>
      <c r="F43" s="62" t="s">
        <v>26</v>
      </c>
      <c r="G43" s="2"/>
    </row>
    <row r="44" spans="1:7" x14ac:dyDescent="0.3">
      <c r="A44" s="11" t="s">
        <v>14</v>
      </c>
      <c r="B44" s="12">
        <f>[14]DCF!AR4</f>
        <v>36056.294995220873</v>
      </c>
      <c r="C44" s="12">
        <f>[14]DCF!AS4</f>
        <v>38758.321014159585</v>
      </c>
      <c r="D44" s="12">
        <f>[14]DCF!AT4</f>
        <v>41662.834410350712</v>
      </c>
      <c r="E44" s="12">
        <f>[14]DCF!AU4</f>
        <v>44785.009404049422</v>
      </c>
      <c r="F44" s="12">
        <f>[14]DCF!AV4</f>
        <v>48141.157357803291</v>
      </c>
    </row>
    <row r="45" spans="1:7" x14ac:dyDescent="0.3">
      <c r="A45" s="11" t="s">
        <v>77</v>
      </c>
      <c r="B45" s="12">
        <f>[14]DCF!AR5+[14]DCF!AR8</f>
        <v>14088.480917604928</v>
      </c>
      <c r="C45" s="12">
        <f>[14]DCF!AS5+[14]DCF!AS8</f>
        <v>16327.07722788747</v>
      </c>
      <c r="D45" s="12">
        <f>[14]DCF!AT5+[14]DCF!AT8</f>
        <v>18939.823201458858</v>
      </c>
      <c r="E45" s="12">
        <f>[14]DCF!AU5+[14]DCF!AU8</f>
        <v>21990.250833674942</v>
      </c>
      <c r="F45" s="12">
        <f>[14]DCF!AV5+[14]DCF!AV8</f>
        <v>25552.73143724319</v>
      </c>
    </row>
    <row r="46" spans="1:7" x14ac:dyDescent="0.3">
      <c r="A46" s="11" t="s">
        <v>79</v>
      </c>
      <c r="B46" s="12">
        <f>[14]DCF!AR7</f>
        <v>9510.5226984478886</v>
      </c>
      <c r="C46" s="12">
        <f>[14]DCF!AS7</f>
        <v>11136.366498659972</v>
      </c>
      <c r="D46" s="12">
        <f>[14]DCF!AT7</f>
        <v>13040.151706142919</v>
      </c>
      <c r="E46" s="12">
        <f>[14]DCF!AU7</f>
        <v>15269.392987352156</v>
      </c>
      <c r="F46" s="12">
        <f>[14]DCF!AV7</f>
        <v>17879.727740618648</v>
      </c>
    </row>
    <row r="47" spans="1:7" x14ac:dyDescent="0.3">
      <c r="A47" s="11" t="s">
        <v>113</v>
      </c>
      <c r="B47" s="12">
        <f>[14]DCF!AR9</f>
        <v>1111.2353460166921</v>
      </c>
      <c r="C47" s="12">
        <f>[14]DCF!AS9</f>
        <v>1194.5103141879765</v>
      </c>
      <c r="D47" s="12">
        <f>[14]DCF!AT9</f>
        <v>1284.0258328860116</v>
      </c>
      <c r="E47" s="12">
        <f>[14]DCF!AU9</f>
        <v>1380.2495633027756</v>
      </c>
      <c r="F47" s="12">
        <f>[14]DCF!AV9</f>
        <v>1483.6842127354814</v>
      </c>
    </row>
  </sheetData>
  <phoneticPr fontId="2" type="noConversion"/>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6093-2B43-47EE-8C3D-73CAC23A7DB1}">
  <dimension ref="A1:Z27"/>
  <sheetViews>
    <sheetView topLeftCell="P10" workbookViewId="0">
      <selection activeCell="Y26" sqref="Y26"/>
    </sheetView>
  </sheetViews>
  <sheetFormatPr defaultRowHeight="14.4" x14ac:dyDescent="0.3"/>
  <cols>
    <col min="1" max="1" width="10.6640625" style="1" customWidth="1"/>
    <col min="2" max="7" width="10.88671875" style="1" bestFit="1" customWidth="1"/>
    <col min="8" max="8" width="8.88671875" style="1"/>
    <col min="9" max="9" width="11" style="1" bestFit="1" customWidth="1"/>
    <col min="10" max="11" width="10.88671875" style="1" bestFit="1" customWidth="1"/>
    <col min="12" max="14" width="12.33203125" style="1" bestFit="1" customWidth="1"/>
    <col min="15" max="15" width="10.88671875" style="1" bestFit="1" customWidth="1"/>
    <col min="16" max="16" width="8.88671875" style="1"/>
    <col min="17" max="17" width="11" style="1" bestFit="1" customWidth="1"/>
    <col min="18" max="23" width="10.88671875" style="1" bestFit="1" customWidth="1"/>
    <col min="24" max="16384" width="8.88671875" style="1"/>
  </cols>
  <sheetData>
    <row r="1" spans="1:23" x14ac:dyDescent="0.3">
      <c r="A1" s="65" t="s">
        <v>60</v>
      </c>
      <c r="B1" s="66" t="s">
        <v>16</v>
      </c>
      <c r="C1" s="66" t="s">
        <v>17</v>
      </c>
      <c r="D1" s="66" t="s">
        <v>18</v>
      </c>
      <c r="E1" s="66" t="s">
        <v>19</v>
      </c>
      <c r="F1" s="66" t="s">
        <v>20</v>
      </c>
      <c r="G1" s="66" t="s">
        <v>21</v>
      </c>
      <c r="I1" s="65" t="s">
        <v>60</v>
      </c>
      <c r="J1" s="66" t="s">
        <v>16</v>
      </c>
      <c r="K1" s="66" t="s">
        <v>17</v>
      </c>
      <c r="L1" s="66" t="s">
        <v>18</v>
      </c>
      <c r="M1" s="66" t="s">
        <v>19</v>
      </c>
      <c r="N1" s="66" t="s">
        <v>20</v>
      </c>
      <c r="O1" s="66" t="s">
        <v>21</v>
      </c>
      <c r="Q1" s="65" t="s">
        <v>60</v>
      </c>
      <c r="R1" s="66" t="s">
        <v>16</v>
      </c>
      <c r="S1" s="66" t="s">
        <v>17</v>
      </c>
      <c r="T1" s="66" t="s">
        <v>18</v>
      </c>
      <c r="U1" s="66" t="s">
        <v>19</v>
      </c>
      <c r="V1" s="66" t="s">
        <v>20</v>
      </c>
      <c r="W1" s="66" t="s">
        <v>21</v>
      </c>
    </row>
    <row r="2" spans="1:23" x14ac:dyDescent="0.3">
      <c r="A2" s="1" t="s">
        <v>14</v>
      </c>
      <c r="B2" s="41">
        <f>'[16]Income Statement'!B8</f>
        <v>330662.09000000003</v>
      </c>
      <c r="C2" s="41">
        <f>'[16]Income Statement'!C8</f>
        <v>306209.43</v>
      </c>
      <c r="D2" s="41">
        <f>'[16]Income Statement'!D8</f>
        <v>435051.83999999997</v>
      </c>
      <c r="E2" s="41">
        <f>'[16]Income Statement'!E8</f>
        <v>535651.54</v>
      </c>
      <c r="F2" s="41">
        <f>'[16]Income Statement'!F8</f>
        <v>509227.32999999996</v>
      </c>
      <c r="G2" s="41">
        <f>'[16]Income Statement'!G8</f>
        <v>503202.19999999995</v>
      </c>
      <c r="I2" s="1" t="s">
        <v>14</v>
      </c>
      <c r="J2" s="41">
        <f>'[16]Income Statement'!R9</f>
        <v>289423.67000000004</v>
      </c>
      <c r="K2" s="41">
        <f>'[16]Income Statement'!S9</f>
        <v>273221.69</v>
      </c>
      <c r="L2" s="41">
        <f>'[16]Income Statement'!T9</f>
        <v>376565.91</v>
      </c>
      <c r="M2" s="41">
        <f>'[16]Income Statement'!U9</f>
        <v>467964.51999999996</v>
      </c>
      <c r="N2" s="41">
        <f>'[16]Income Statement'!V9</f>
        <v>463886.08000000002</v>
      </c>
      <c r="O2" s="41">
        <f>'[16]Income Statement'!W9</f>
        <v>468811.52999999997</v>
      </c>
      <c r="Q2" s="1" t="s">
        <v>14</v>
      </c>
      <c r="R2" s="41">
        <f>'[16]Income Statement'!AH8</f>
        <v>434038.09700000001</v>
      </c>
      <c r="S2" s="41">
        <f>'[16]Income Statement'!AI8</f>
        <v>369895.32900000003</v>
      </c>
      <c r="T2" s="41">
        <f>'[16]Income Statement'!AJ8</f>
        <v>539230.25</v>
      </c>
      <c r="U2" s="41">
        <f>'[16]Income Statement'!AK8</f>
        <v>692903.30299999996</v>
      </c>
      <c r="V2" s="41">
        <f>'[16]Income Statement'!AL8</f>
        <v>665201.46299999999</v>
      </c>
      <c r="W2" s="41">
        <f>'[16]Income Statement'!AM8</f>
        <v>675655.88300000003</v>
      </c>
    </row>
    <row r="3" spans="1:23" x14ac:dyDescent="0.3">
      <c r="A3" s="1" t="s">
        <v>77</v>
      </c>
      <c r="B3" s="41">
        <f>'[16]Income Statement'!B19+'[16]Income Statement'!B15+'[16]Income Statement'!B16</f>
        <v>9720.6199999999953</v>
      </c>
      <c r="C3" s="41">
        <f>'[16]Income Statement'!C19+'[16]Income Statement'!C15+'[16]Income Statement'!C16</f>
        <v>21475.080000000042</v>
      </c>
      <c r="D3" s="41">
        <f>'[16]Income Statement'!D19+'[16]Income Statement'!D15+'[16]Income Statement'!D16</f>
        <v>21655.379999999983</v>
      </c>
      <c r="E3" s="41">
        <f>'[16]Income Statement'!E19+'[16]Income Statement'!E15+'[16]Income Statement'!E16</f>
        <v>13140.620000000148</v>
      </c>
      <c r="F3" s="41">
        <f>'[16]Income Statement'!F19+'[16]Income Statement'!F15+'[16]Income Statement'!F16</f>
        <v>46316.910000000011</v>
      </c>
      <c r="G3" s="41">
        <f>'[16]Income Statement'!G19+'[16]Income Statement'!G15+'[16]Income Statement'!G16</f>
        <v>28086.099999999969</v>
      </c>
      <c r="I3" s="1" t="s">
        <v>77</v>
      </c>
      <c r="J3" s="41">
        <f>'[16]Income Statement'!R20+'[16]Income Statement'!R16+'[16]Income Statement'!R17</f>
        <v>7344.1100000000715</v>
      </c>
      <c r="K3" s="41">
        <f>'[16]Income Statement'!S20+'[16]Income Statement'!S16+'[16]Income Statement'!S17</f>
        <v>18647.089999999938</v>
      </c>
      <c r="L3" s="41">
        <f>'[16]Income Statement'!T20+'[16]Income Statement'!T16+'[16]Income Statement'!T17</f>
        <v>12683.250000000007</v>
      </c>
      <c r="M3" s="41">
        <f>'[16]Income Statement'!U20+'[16]Income Statement'!U16+'[16]Income Statement'!U17</f>
        <v>-5741.170000000051</v>
      </c>
      <c r="N3" s="41">
        <f>'[16]Income Statement'!V20+'[16]Income Statement'!V16+'[16]Income Statement'!V17</f>
        <v>26844.719999999979</v>
      </c>
      <c r="O3" s="41">
        <f>'[16]Income Statement'!W20+'[16]Income Statement'!W16+'[16]Income Statement'!W17</f>
        <v>18639.050000000032</v>
      </c>
      <c r="Q3" s="1" t="s">
        <v>77</v>
      </c>
      <c r="R3" s="41">
        <f>'[16]Income Statement'!AH19+'[16]Income Statement'!AH15+'[16]Income Statement'!AH16</f>
        <v>61181.999000000098</v>
      </c>
      <c r="S3" s="41">
        <f>'[16]Income Statement'!AI19+'[16]Income Statement'!AI15+'[16]Income Statement'!AI16</f>
        <v>58789.019000000058</v>
      </c>
      <c r="T3" s="41">
        <f>'[16]Income Statement'!AJ19+'[16]Income Statement'!AJ15+'[16]Income Statement'!AJ16</f>
        <v>87311.293000000005</v>
      </c>
      <c r="U3" s="41">
        <f>'[16]Income Statement'!AK19+'[16]Income Statement'!AK15+'[16]Income Statement'!AK16</f>
        <v>83601.053999999916</v>
      </c>
      <c r="V3" s="41">
        <f>'[16]Income Statement'!AL19+'[16]Income Statement'!AL15+'[16]Income Statement'!AL16</f>
        <v>114413.72600000008</v>
      </c>
      <c r="W3" s="41">
        <f>'[16]Income Statement'!AM19+'[16]Income Statement'!AM15+'[16]Income Statement'!AM16</f>
        <v>101254.28800000004</v>
      </c>
    </row>
    <row r="4" spans="1:23" x14ac:dyDescent="0.3">
      <c r="A4" s="1" t="s">
        <v>79</v>
      </c>
      <c r="B4" s="41">
        <f>'[16]Income Statement'!B27</f>
        <v>2683.1899999999955</v>
      </c>
      <c r="C4" s="41">
        <f>'[16]Income Statement'!C27</f>
        <v>19041.670000000042</v>
      </c>
      <c r="D4" s="41">
        <f>'[16]Income Statement'!D27</f>
        <v>11363.349999999984</v>
      </c>
      <c r="E4" s="41">
        <f>'[16]Income Statement'!E27</f>
        <v>1870.1000000001491</v>
      </c>
      <c r="F4" s="41">
        <f>'[16]Income Statement'!F27</f>
        <v>25263.330000000009</v>
      </c>
      <c r="G4" s="41">
        <f>'[16]Income Statement'!G27</f>
        <v>11447.88999999997</v>
      </c>
      <c r="I4" s="1" t="s">
        <v>79</v>
      </c>
      <c r="J4" s="41">
        <f>'[16]Income Statement'!R30</f>
        <v>2115.7100000000719</v>
      </c>
      <c r="K4" s="41">
        <f>'[16]Income Statement'!S30</f>
        <v>10662.889999999938</v>
      </c>
      <c r="L4" s="41">
        <f>'[16]Income Statement'!T30</f>
        <v>10993.010000000006</v>
      </c>
      <c r="M4" s="41">
        <f>'[16]Income Statement'!U30</f>
        <v>-6980.2300000000505</v>
      </c>
      <c r="N4" s="41">
        <f>'[16]Income Statement'!V30</f>
        <v>16014.609999999979</v>
      </c>
      <c r="O4" s="41">
        <f>'[16]Income Statement'!W30</f>
        <v>6735.7000000000298</v>
      </c>
      <c r="Q4" s="1" t="s">
        <v>79</v>
      </c>
      <c r="R4" s="41">
        <f>'[16]Income Statement'!AH29</f>
        <v>11456.259000000095</v>
      </c>
      <c r="S4" s="41">
        <f>'[16]Income Statement'!AI29</f>
        <v>21343.446000000047</v>
      </c>
      <c r="T4" s="41">
        <f>'[16]Income Statement'!AJ29</f>
        <v>49294.057000000015</v>
      </c>
      <c r="U4" s="41">
        <f>'[16]Income Statement'!AK29</f>
        <v>32777.60499999993</v>
      </c>
      <c r="V4" s="41">
        <f>'[16]Income Statement'!AL29</f>
        <v>55273.14900000007</v>
      </c>
      <c r="W4" s="41">
        <f>'[16]Income Statement'!AM29</f>
        <v>38328.610000000044</v>
      </c>
    </row>
    <row r="5" spans="1:23" s="52" customFormat="1" x14ac:dyDescent="0.3">
      <c r="A5" s="52" t="s">
        <v>66</v>
      </c>
      <c r="B5" s="52">
        <f>'[16]Financial Ratios'!C14</f>
        <v>8.0783985731481239E-2</v>
      </c>
      <c r="C5" s="52">
        <f>'[16]Financial Ratios'!D14</f>
        <v>0.35555301196450534</v>
      </c>
      <c r="D5" s="52">
        <f>'[16]Financial Ratios'!E14</f>
        <v>0.21892330734128568</v>
      </c>
      <c r="E5" s="52">
        <f>'[16]Financial Ratios'!F14</f>
        <v>3.4940537001734398E-2</v>
      </c>
      <c r="F5" s="52">
        <f>'[16]Financial Ratios'!G14</f>
        <v>0.33401590874925691</v>
      </c>
      <c r="G5" s="52">
        <f>'[16]Financial Ratios'!H14</f>
        <v>0.14066498017794107</v>
      </c>
      <c r="I5" s="52" t="s">
        <v>66</v>
      </c>
      <c r="J5" s="52">
        <f>'[16]Financial Ratios'!U14</f>
        <v>6.82914028189259E-2</v>
      </c>
      <c r="K5" s="52">
        <f>'[16]Financial Ratios'!V14</f>
        <v>0.28000654396985619</v>
      </c>
      <c r="L5" s="52">
        <f>'[16]Financial Ratios'!W14</f>
        <v>0.26550464312687055</v>
      </c>
      <c r="M5" s="52">
        <f>'[16]Financial Ratios'!X14</f>
        <v>-0.21635221724270512</v>
      </c>
      <c r="N5" s="52">
        <f>'[16]Financial Ratios'!Y14</f>
        <v>0.34130752844920226</v>
      </c>
      <c r="O5" s="52">
        <f>'[16]Financial Ratios'!Z14</f>
        <v>0.13169994147929379</v>
      </c>
      <c r="Q5" s="52" t="s">
        <v>66</v>
      </c>
      <c r="R5" s="52">
        <f>'[16]Financial Ratios'!AM14</f>
        <v>5.1255969243678069E-2</v>
      </c>
      <c r="S5" s="52">
        <f>'[16]Financial Ratios'!AN14</f>
        <v>8.7979095584728217E-2</v>
      </c>
      <c r="T5" s="52">
        <f>'[16]Financial Ratios'!AO14</f>
        <v>0.17398239607534802</v>
      </c>
      <c r="U5" s="52">
        <f>'[16]Financial Ratios'!AP14</f>
        <v>0.10880350929238386</v>
      </c>
      <c r="V5" s="52">
        <f>'[16]Financial Ratios'!AQ14</f>
        <v>0.15369694447805532</v>
      </c>
      <c r="W5" s="52">
        <f>'[16]Financial Ratios'!AR14</f>
        <v>0.10241852851024678</v>
      </c>
    </row>
    <row r="6" spans="1:23" x14ac:dyDescent="0.3">
      <c r="A6" s="1" t="s">
        <v>119</v>
      </c>
      <c r="B6" s="41">
        <f>'[16]Financial Ratios'!C7</f>
        <v>1.3245488851515519</v>
      </c>
      <c r="C6" s="41">
        <f>'[16]Financial Ratios'!D7</f>
        <v>0.87155522874767433</v>
      </c>
      <c r="D6" s="41">
        <f>'[16]Financial Ratios'!E7</f>
        <v>1.0775842770012189</v>
      </c>
      <c r="E6" s="41">
        <f>'[16]Financial Ratios'!F7</f>
        <v>1.1295206339929704</v>
      </c>
      <c r="F6" s="41">
        <f>'[16]Financial Ratios'!G7</f>
        <v>0.60137322468361587</v>
      </c>
      <c r="G6" s="41">
        <f>'[16]Financial Ratios'!H7</f>
        <v>0.62740661318528146</v>
      </c>
      <c r="I6" s="1" t="s">
        <v>119</v>
      </c>
      <c r="J6" s="41">
        <f>'[16]Financial Ratios'!U7</f>
        <v>1.2713028338361207</v>
      </c>
      <c r="K6" s="41">
        <f>'[16]Financial Ratios'!V7</f>
        <v>1.1206172864793496</v>
      </c>
      <c r="L6" s="41">
        <f>'[16]Financial Ratios'!W7</f>
        <v>1.086332283601112</v>
      </c>
      <c r="M6" s="41">
        <f>'[16]Financial Ratios'!X7</f>
        <v>2.0781619470066115</v>
      </c>
      <c r="N6" s="41">
        <f>'[16]Financial Ratios'!Y7</f>
        <v>1.3386895304589488</v>
      </c>
      <c r="O6" s="41">
        <f>'[16]Financial Ratios'!Z7</f>
        <v>1.2988523254502116</v>
      </c>
      <c r="Q6" s="1" t="s">
        <v>119</v>
      </c>
      <c r="R6" s="41">
        <f>'[16]Financial Ratios'!AM7</f>
        <v>0.46725815773818252</v>
      </c>
      <c r="S6" s="41">
        <f>'[16]Financial Ratios'!AN7</f>
        <v>0.45268395309504261</v>
      </c>
      <c r="T6" s="41">
        <f>'[16]Financial Ratios'!AO7</f>
        <v>0.3803925687600001</v>
      </c>
      <c r="U6" s="41">
        <f>'[16]Financial Ratios'!AP7</f>
        <v>0.42882455391990371</v>
      </c>
      <c r="V6" s="41">
        <f>'[16]Financial Ratios'!AQ7</f>
        <v>0.43847317094469374</v>
      </c>
      <c r="W6" s="41">
        <f>'[16]Financial Ratios'!AR7</f>
        <v>0.41031933408857513</v>
      </c>
    </row>
    <row r="7" spans="1:23" x14ac:dyDescent="0.3">
      <c r="A7" s="1" t="s">
        <v>95</v>
      </c>
      <c r="B7" s="41">
        <f>'[16]Financial Ratios'!C19</f>
        <v>19.918235668095257</v>
      </c>
      <c r="C7" s="41">
        <f>'[16]Financial Ratios'!D19</f>
        <v>7.2562914783087979</v>
      </c>
      <c r="D7" s="41">
        <f>'[16]Financial Ratios'!E19</f>
        <v>6.9765097633936746</v>
      </c>
      <c r="E7" s="41">
        <f>'[16]Financial Ratios'!F19</f>
        <v>20.927611482562995</v>
      </c>
      <c r="F7" s="41">
        <f>'[16]Financial Ratios'!G19</f>
        <v>7.5002388976293961</v>
      </c>
      <c r="G7" s="41">
        <f>'[16]Financial Ratios'!H19</f>
        <v>67.682340374776203</v>
      </c>
      <c r="I7" s="1" t="s">
        <v>95</v>
      </c>
      <c r="J7" s="41">
        <f>'[16]Financial Ratios'!U19</f>
        <v>18.584460200078517</v>
      </c>
      <c r="K7" s="41">
        <f>'[16]Financial Ratios'!V19</f>
        <v>7.4810074923218828</v>
      </c>
      <c r="L7" s="41">
        <f>'[16]Financial Ratios'!W19</f>
        <v>11.199827331322801</v>
      </c>
      <c r="M7" s="41">
        <f>'[16]Financial Ratios'!X19</f>
        <v>-28.536892305923452</v>
      </c>
      <c r="N7" s="41">
        <f>'[16]Financial Ratios'!Y19</f>
        <v>5.9541913642608355</v>
      </c>
      <c r="O7" s="41">
        <f>'[16]Financial Ratios'!Z19</f>
        <v>8.7755540116046529</v>
      </c>
      <c r="Q7" s="1" t="s">
        <v>95</v>
      </c>
      <c r="R7" s="41">
        <f>'[16]Financial Ratios'!AM19</f>
        <v>6.6009668791632548</v>
      </c>
      <c r="S7" s="41">
        <f>'[16]Financial Ratios'!AN19</f>
        <v>6.9741596470592508</v>
      </c>
      <c r="T7" s="41">
        <f>'[16]Financial Ratios'!AO19</f>
        <v>4.6608499887866737</v>
      </c>
      <c r="U7" s="41">
        <f>'[16]Financial Ratios'!AP19</f>
        <v>5.1524381259595176</v>
      </c>
      <c r="V7" s="41">
        <f>'[16]Financial Ratios'!AQ19</f>
        <v>4.0008111963769073</v>
      </c>
      <c r="W7" s="41">
        <f>'[16]Financial Ratios'!AR19</f>
        <v>4.4759116473170968</v>
      </c>
    </row>
    <row r="9" spans="1:23" x14ac:dyDescent="0.3">
      <c r="A9" s="65" t="s">
        <v>60</v>
      </c>
      <c r="B9" s="66" t="s">
        <v>16</v>
      </c>
      <c r="C9" s="66" t="s">
        <v>17</v>
      </c>
      <c r="D9" s="66" t="s">
        <v>18</v>
      </c>
      <c r="E9" s="66" t="s">
        <v>19</v>
      </c>
      <c r="F9" s="66" t="s">
        <v>20</v>
      </c>
      <c r="G9" s="66" t="s">
        <v>21</v>
      </c>
      <c r="I9" s="65" t="s">
        <v>60</v>
      </c>
      <c r="J9" s="66" t="s">
        <v>16</v>
      </c>
      <c r="K9" s="66" t="s">
        <v>17</v>
      </c>
      <c r="L9" s="66" t="s">
        <v>18</v>
      </c>
      <c r="M9" s="66" t="s">
        <v>19</v>
      </c>
      <c r="N9" s="66" t="s">
        <v>20</v>
      </c>
      <c r="O9" s="66" t="s">
        <v>21</v>
      </c>
      <c r="Q9" s="65" t="s">
        <v>60</v>
      </c>
      <c r="R9" s="66" t="s">
        <v>16</v>
      </c>
      <c r="S9" s="66" t="s">
        <v>17</v>
      </c>
      <c r="T9" s="66" t="s">
        <v>18</v>
      </c>
      <c r="U9" s="66" t="s">
        <v>19</v>
      </c>
      <c r="V9" s="66" t="s">
        <v>20</v>
      </c>
      <c r="W9" s="66" t="s">
        <v>21</v>
      </c>
    </row>
    <row r="10" spans="1:23" x14ac:dyDescent="0.3">
      <c r="A10" s="1" t="s">
        <v>14</v>
      </c>
      <c r="B10" s="41">
        <f>'[16]Income Statement'!J8</f>
        <v>74114.12999999999</v>
      </c>
      <c r="C10" s="41">
        <f>'[16]Income Statement'!K8</f>
        <v>58548.46</v>
      </c>
      <c r="D10" s="41">
        <f>'[16]Income Statement'!L8</f>
        <v>94046.07</v>
      </c>
      <c r="E10" s="41">
        <f>'[16]Income Statement'!M8</f>
        <v>147203.5</v>
      </c>
      <c r="F10" s="41">
        <f>'[16]Income Statement'!N8</f>
        <v>134507.35</v>
      </c>
      <c r="G10" s="41">
        <f>'[16]Income Statement'!O8</f>
        <v>143559.06000000003</v>
      </c>
      <c r="I10" s="1" t="s">
        <v>14</v>
      </c>
      <c r="J10" s="41">
        <f>'[16]Income Statement'!Z8</f>
        <v>578763.31999999995</v>
      </c>
      <c r="K10" s="41">
        <f>'[16]Income Statement'!AA8</f>
        <v>523736.38</v>
      </c>
      <c r="L10" s="41">
        <f>'[16]Income Statement'!AB8</f>
        <v>739813.06</v>
      </c>
      <c r="M10" s="41">
        <f>'[16]Income Statement'!AC8</f>
        <v>955608.86</v>
      </c>
      <c r="N10" s="41">
        <f>'[16]Income Statement'!AD8</f>
        <v>885074.01</v>
      </c>
      <c r="O10" s="41">
        <f>'[16]Income Statement'!AE8</f>
        <v>862876.46</v>
      </c>
      <c r="Q10" s="1" t="s">
        <v>14</v>
      </c>
      <c r="R10" s="41">
        <f>[16]!Table12[[#This Row],[2020]]</f>
        <v>365421</v>
      </c>
      <c r="S10" s="41">
        <f>[16]!Table12[[#This Row],[2021]]</f>
        <v>279887</v>
      </c>
      <c r="T10" s="41">
        <f>[16]!Table12[[#This Row],[2022]]</f>
        <v>457838</v>
      </c>
      <c r="U10" s="41">
        <f>[16]!Table12[[#This Row],[2023]]</f>
        <v>553020</v>
      </c>
      <c r="V10" s="41">
        <f>[16]!Table12[[#This Row],[2024]]</f>
        <v>560070</v>
      </c>
      <c r="W10" s="41">
        <f>[16]!Table12[[#This Row],[2025]]</f>
        <v>548886</v>
      </c>
    </row>
    <row r="11" spans="1:23" x14ac:dyDescent="0.3">
      <c r="A11" s="1" t="s">
        <v>77</v>
      </c>
      <c r="B11" s="41">
        <f>'[16]Income Statement'!J19+'[16]Income Statement'!J14+'[16]Income Statement'!J15</f>
        <v>10571.439999999997</v>
      </c>
      <c r="C11" s="41">
        <f>'[16]Income Statement'!K19+'[16]Income Statement'!K14+'[16]Income Statement'!K15</f>
        <v>8363.96000000001</v>
      </c>
      <c r="D11" s="41">
        <f>'[16]Income Statement'!L19+'[16]Income Statement'!L14+'[16]Income Statement'!L15</f>
        <v>16323.829999999993</v>
      </c>
      <c r="E11" s="41">
        <f>'[16]Income Statement'!M19+'[16]Income Statement'!M14+'[16]Income Statement'!M15</f>
        <v>8815.9299999999985</v>
      </c>
      <c r="F11" s="41">
        <f>'[16]Income Statement'!N19+'[16]Income Statement'!N14+'[16]Income Statement'!N15</f>
        <v>15304.129999999994</v>
      </c>
      <c r="G11" s="41">
        <f>'[16]Income Statement'!O19+'[16]Income Statement'!O14+'[16]Income Statement'!O15</f>
        <v>16699.460000000021</v>
      </c>
      <c r="I11" s="1" t="s">
        <v>77</v>
      </c>
      <c r="J11" s="41">
        <f>'[16]Income Statement'!Z23+'[16]Income Statement'!Z15+'[16]Income Statement'!Z17+'[16]Income Statement'!Z18</f>
        <v>19613.669999999922</v>
      </c>
      <c r="K11" s="41">
        <f>'[16]Income Statement'!AA23+'[16]Income Statement'!AA15+'[16]Income Statement'!AA17+'[16]Income Statement'!AA18</f>
        <v>44084.569999999949</v>
      </c>
      <c r="L11" s="41">
        <f>'[16]Income Statement'!AB23+'[16]Income Statement'!AB15+'[16]Income Statement'!AB17+'[16]Income Statement'!AB18</f>
        <v>50823.899999999943</v>
      </c>
      <c r="M11" s="41">
        <f>'[16]Income Statement'!AC23+'[16]Income Statement'!AC15+'[16]Income Statement'!AC17+'[16]Income Statement'!AC18</f>
        <v>34897.909999999887</v>
      </c>
      <c r="N11" s="41">
        <f>'[16]Income Statement'!AD23+'[16]Income Statement'!AD15+'[16]Income Statement'!AD17+'[16]Income Statement'!AD18</f>
        <v>79433.620000000097</v>
      </c>
      <c r="O11" s="41">
        <f>'[16]Income Statement'!AE23+'[16]Income Statement'!AE15+'[16]Income Statement'!AE17+'[16]Income Statement'!AE18</f>
        <v>39504.270000000004</v>
      </c>
      <c r="Q11" s="1" t="s">
        <v>77</v>
      </c>
      <c r="R11" s="41">
        <f>'[16]Income Statement'!AP21+'[16]Income Statement'!AP17+'[16]Income Statement'!AP18</f>
        <v>66394</v>
      </c>
      <c r="S11" s="41">
        <f>'[16]Income Statement'!AQ21+'[16]Income Statement'!AQ17+'[16]Income Statement'!AQ18</f>
        <v>48318</v>
      </c>
      <c r="T11" s="41">
        <f>'[16]Income Statement'!AR21+'[16]Income Statement'!AR17+'[16]Income Statement'!AR18</f>
        <v>64783</v>
      </c>
      <c r="U11" s="41">
        <f>'[16]Income Statement'!AS21+'[16]Income Statement'!AS17+'[16]Income Statement'!AS18</f>
        <v>76877</v>
      </c>
      <c r="V11" s="41">
        <f>'[16]Income Statement'!AT21+'[16]Income Statement'!AT17+'[16]Income Statement'!AT18</f>
        <v>86393</v>
      </c>
      <c r="W11" s="41">
        <f>'[16]Income Statement'!AU21+'[16]Income Statement'!AU17+'[16]Income Statement'!AU18</f>
        <v>74163</v>
      </c>
    </row>
    <row r="12" spans="1:23" x14ac:dyDescent="0.3">
      <c r="A12" s="1" t="s">
        <v>79</v>
      </c>
      <c r="B12" s="41">
        <f>'[16]Income Statement'!J27</f>
        <v>9514.6399999999976</v>
      </c>
      <c r="C12" s="41">
        <f>'[16]Income Statement'!K27</f>
        <v>6142.8200000000097</v>
      </c>
      <c r="D12" s="41">
        <f>'[16]Income Statement'!L27</f>
        <v>12303.629999999994</v>
      </c>
      <c r="E12" s="41">
        <f>'[16]Income Statement'!M27</f>
        <v>5595.3499999999985</v>
      </c>
      <c r="F12" s="41">
        <f>'[16]Income Statement'!N27</f>
        <v>9902.8099999999922</v>
      </c>
      <c r="G12" s="41">
        <f>'[16]Income Statement'!O27</f>
        <v>12462.870000000021</v>
      </c>
      <c r="I12" s="1" t="s">
        <v>79</v>
      </c>
      <c r="J12" s="41">
        <f>'[16]Income Statement'!Z32</f>
        <v>-1876.3200000000779</v>
      </c>
      <c r="K12" s="41">
        <f>'[16]Income Statement'!AA32</f>
        <v>21762.219999999943</v>
      </c>
      <c r="L12" s="41">
        <f>'[16]Income Statement'!AB32</f>
        <v>25726.599999999937</v>
      </c>
      <c r="M12" s="41">
        <f>'[16]Income Statement'!AC32</f>
        <v>11704.259999999884</v>
      </c>
      <c r="N12" s="41">
        <f>'[16]Income Statement'!AD32</f>
        <v>43161.150000000103</v>
      </c>
      <c r="O12" s="41">
        <f>'[16]Income Statement'!AE32</f>
        <v>13788.830000000002</v>
      </c>
      <c r="Q12" s="1" t="s">
        <v>79</v>
      </c>
      <c r="R12" s="41">
        <f>'[16]Income Statement'!AP28</f>
        <v>30903</v>
      </c>
      <c r="S12" s="41">
        <f>'[16]Income Statement'!AQ28</f>
        <v>31944</v>
      </c>
      <c r="T12" s="41">
        <f>'[16]Income Statement'!AR28</f>
        <v>37937</v>
      </c>
      <c r="U12" s="41">
        <f>'[16]Income Statement'!AS28</f>
        <v>43017</v>
      </c>
      <c r="V12" s="41">
        <f>'[16]Income Statement'!AT28</f>
        <v>42042</v>
      </c>
      <c r="W12" s="41">
        <f>'[16]Income Statement'!AU28</f>
        <v>35262</v>
      </c>
    </row>
    <row r="13" spans="1:23" s="52" customFormat="1" x14ac:dyDescent="0.3">
      <c r="A13" s="52" t="s">
        <v>66</v>
      </c>
      <c r="B13" s="52">
        <f>'[16]Financial Ratios'!L14</f>
        <v>0.19277852485518771</v>
      </c>
      <c r="C13" s="52">
        <f>'[16]Financial Ratios'!M14</f>
        <v>0.11529353603418048</v>
      </c>
      <c r="D13" s="52">
        <f>'[16]Financial Ratios'!N14</f>
        <v>0.19133103161069051</v>
      </c>
      <c r="E13" s="52">
        <f>'[16]Financial Ratios'!O14</f>
        <v>8.594086225470754E-2</v>
      </c>
      <c r="F13" s="52">
        <f>'[16]Financial Ratios'!P14</f>
        <v>0.1282817532253705</v>
      </c>
      <c r="G13" s="52">
        <f>'[16]Financial Ratios'!Q14</f>
        <v>0.14620835077418642</v>
      </c>
      <c r="I13" s="52" t="s">
        <v>66</v>
      </c>
      <c r="J13" s="52">
        <f>'[16]Financial Ratios'!AD14</f>
        <v>-1.9489337639646245E-2</v>
      </c>
      <c r="K13" s="52">
        <f>'[16]Financial Ratios'!AE14</f>
        <v>0.19290355743999432</v>
      </c>
      <c r="L13" s="52">
        <f>'[16]Financial Ratios'!AF14</f>
        <v>0.19038879451240698</v>
      </c>
      <c r="M13" s="52">
        <f>'[16]Financial Ratios'!AG14</f>
        <v>8.172547525617814E-2</v>
      </c>
      <c r="N13" s="52">
        <f>'[16]Financial Ratios'!AH14</f>
        <v>0.22938173066774403</v>
      </c>
      <c r="O13" s="52">
        <f>'[16]Financial Ratios'!AI14</f>
        <v>7.2183507616241802E-2</v>
      </c>
      <c r="Q13" s="52" t="s">
        <v>66</v>
      </c>
      <c r="R13" s="52">
        <f>'[16]Financial Ratios'!AV14</f>
        <v>7.899236992446608E-2</v>
      </c>
      <c r="S13" s="52">
        <f>'[16]Financial Ratios'!AW14</f>
        <v>6.7323802960274653E-2</v>
      </c>
      <c r="T13" s="52">
        <f>'[16]Financial Ratios'!AX14</f>
        <v>8.0455626082917842E-2</v>
      </c>
      <c r="U13" s="52">
        <f>'[16]Financial Ratios'!AY14</f>
        <v>8.9788225275206954E-2</v>
      </c>
      <c r="V13" s="52">
        <f>'[16]Financial Ratios'!AZ14</f>
        <v>8.1619736903412177E-2</v>
      </c>
      <c r="W13" s="52">
        <f>'[16]Financial Ratios'!BA14</f>
        <v>6.4928823558656354E-2</v>
      </c>
    </row>
    <row r="14" spans="1:23" x14ac:dyDescent="0.3">
      <c r="A14" s="1" t="s">
        <v>119</v>
      </c>
      <c r="B14" s="41">
        <f>'[16]Financial Ratios'!L7</f>
        <v>0.12840771475560167</v>
      </c>
      <c r="C14" s="41">
        <f>'[16]Financial Ratios'!M7</f>
        <v>0.12688291235163476</v>
      </c>
      <c r="D14" s="41">
        <f>'[16]Financial Ratios'!N7</f>
        <v>0.12176757619026442</v>
      </c>
      <c r="E14" s="41">
        <f>'[16]Financial Ratios'!O7</f>
        <v>0.24997166202456328</v>
      </c>
      <c r="F14" s="41">
        <f>'[16]Financial Ratios'!P7</f>
        <v>0.24104944596712408</v>
      </c>
      <c r="G14" s="41">
        <f>'[16]Financial Ratios'!Q7</f>
        <v>0.19131016155704428</v>
      </c>
      <c r="I14" s="1" t="s">
        <v>119</v>
      </c>
      <c r="J14" s="41">
        <f>'[16]Financial Ratios'!AD7</f>
        <v>1.3084302561704497</v>
      </c>
      <c r="K14" s="41">
        <f>'[16]Financial Ratios'!AE7</f>
        <v>0.96189231495136385</v>
      </c>
      <c r="L14" s="41">
        <f>'[16]Financial Ratios'!AF7</f>
        <v>0.91432815066458029</v>
      </c>
      <c r="M14" s="41">
        <f>'[16]Financial Ratios'!AG7</f>
        <v>0.97835747453781519</v>
      </c>
      <c r="N14" s="41">
        <f>'[16]Financial Ratios'!AH7</f>
        <v>0.65609914341280107</v>
      </c>
      <c r="O14" s="41">
        <f>'[16]Financial Ratios'!AI7</f>
        <v>0.74629055745996353</v>
      </c>
      <c r="Q14" s="1" t="s">
        <v>119</v>
      </c>
      <c r="R14" s="41">
        <f>'[16]Financial Ratios'!AV7</f>
        <v>0.65002875656608261</v>
      </c>
      <c r="S14" s="41">
        <f>'[16]Financial Ratios'!AW7</f>
        <v>0.40833918180419532</v>
      </c>
      <c r="T14" s="41">
        <f>'[16]Financial Ratios'!AX7</f>
        <v>0.41262324320770605</v>
      </c>
      <c r="U14" s="41">
        <f>'[16]Financial Ratios'!AY7</f>
        <v>0.45048153389522722</v>
      </c>
      <c r="V14" s="41">
        <f>'[16]Financial Ratios'!AZ7</f>
        <v>0.41116607389690463</v>
      </c>
      <c r="W14" s="41">
        <f>'[16]Financial Ratios'!BA7</f>
        <v>0.36607946793055257</v>
      </c>
    </row>
    <row r="15" spans="1:23" x14ac:dyDescent="0.3">
      <c r="A15" s="1" t="s">
        <v>95</v>
      </c>
      <c r="B15" s="41">
        <f>'[16]Financial Ratios'!L19</f>
        <v>11.581607614478257</v>
      </c>
      <c r="C15" s="41">
        <f>'[16]Financial Ratios'!M19</f>
        <v>12.262019426204796</v>
      </c>
      <c r="D15" s="41">
        <f>'[16]Financial Ratios'!N19</f>
        <v>13.68588070324183</v>
      </c>
      <c r="E15" s="41">
        <f>'[16]Financial Ratios'!O19</f>
        <v>36.254757013724031</v>
      </c>
      <c r="F15" s="41">
        <f>'[16]Financial Ratios'!P19</f>
        <v>122.08939024956013</v>
      </c>
      <c r="G15" s="41">
        <f>'[16]Financial Ratios'!Q19</f>
        <v>7.9185993199780009</v>
      </c>
      <c r="I15" s="1" t="s">
        <v>95</v>
      </c>
      <c r="J15" s="41">
        <f>'[16]Financial Ratios'!AD19</f>
        <v>17.405887832312942</v>
      </c>
      <c r="K15" s="41">
        <f>'[16]Financial Ratios'!AE19</f>
        <v>7.3629746190106964</v>
      </c>
      <c r="L15" s="41">
        <f>'[16]Financial Ratios'!AF19</f>
        <v>6.6746827771973489</v>
      </c>
      <c r="M15" s="41">
        <f>'[16]Financial Ratios'!AG19</f>
        <v>10.200564159859463</v>
      </c>
      <c r="N15" s="41">
        <f>'[16]Financial Ratios'!AH19</f>
        <v>4.2685563115466669</v>
      </c>
      <c r="O15" s="41">
        <f>'[16]Financial Ratios'!AI19</f>
        <v>9.0812114741014085</v>
      </c>
      <c r="Q15" s="1" t="s">
        <v>95</v>
      </c>
      <c r="R15" s="41">
        <f>'[16]Financial Ratios'!AV19</f>
        <v>31.572822845437841</v>
      </c>
      <c r="S15" s="41">
        <f>'[16]Financial Ratios'!AW19</f>
        <v>42.191460739269012</v>
      </c>
      <c r="T15" s="41">
        <f>'[16]Financial Ratios'!AX19</f>
        <v>31.564330148341387</v>
      </c>
      <c r="U15" s="41">
        <f>'[16]Financial Ratios'!AY19</f>
        <v>26.869648919702904</v>
      </c>
      <c r="V15" s="41">
        <f>'[16]Financial Ratios'!AZ19</f>
        <v>23.06867454539141</v>
      </c>
      <c r="W15" s="41">
        <f>'[16]Financial Ratios'!BA19</f>
        <v>26.519585237921873</v>
      </c>
    </row>
    <row r="17" spans="1:26" x14ac:dyDescent="0.3">
      <c r="A17" s="65" t="s">
        <v>82</v>
      </c>
      <c r="B17" s="66" t="s">
        <v>22</v>
      </c>
      <c r="C17" s="66" t="s">
        <v>23</v>
      </c>
      <c r="D17" s="66" t="s">
        <v>24</v>
      </c>
      <c r="E17" s="66" t="s">
        <v>25</v>
      </c>
      <c r="F17" s="66" t="s">
        <v>26</v>
      </c>
      <c r="I17" s="65" t="s">
        <v>82</v>
      </c>
      <c r="J17" s="66" t="s">
        <v>22</v>
      </c>
      <c r="K17" s="66" t="s">
        <v>23</v>
      </c>
      <c r="L17" s="66" t="s">
        <v>24</v>
      </c>
      <c r="M17" s="66" t="s">
        <v>25</v>
      </c>
      <c r="N17" s="66" t="s">
        <v>26</v>
      </c>
      <c r="Q17" s="65" t="s">
        <v>82</v>
      </c>
      <c r="R17" s="66" t="s">
        <v>22</v>
      </c>
      <c r="S17" s="66" t="s">
        <v>23</v>
      </c>
      <c r="T17" s="66" t="s">
        <v>24</v>
      </c>
      <c r="U17" s="66" t="s">
        <v>25</v>
      </c>
      <c r="V17" s="66" t="s">
        <v>26</v>
      </c>
    </row>
    <row r="18" spans="1:26" x14ac:dyDescent="0.3">
      <c r="A18" s="1" t="s">
        <v>14</v>
      </c>
      <c r="B18" s="41">
        <f>[16]FCFF!D5</f>
        <v>539679.04081814806</v>
      </c>
      <c r="C18" s="41">
        <f>[16]FCFF!E5</f>
        <v>578800.06704739435</v>
      </c>
      <c r="D18" s="41">
        <f>[16]FCFF!F5</f>
        <v>620756.95418187289</v>
      </c>
      <c r="E18" s="41">
        <f>[16]FCFF!G5</f>
        <v>665755.2721630953</v>
      </c>
      <c r="F18" s="41">
        <f>[16]FCFF!H5</f>
        <v>714015.49258052616</v>
      </c>
      <c r="I18" s="1" t="s">
        <v>14</v>
      </c>
      <c r="J18" s="41">
        <f>[16]FCFF!V5</f>
        <v>508052.96535573312</v>
      </c>
      <c r="K18" s="41">
        <f>[16]FCFF!W5</f>
        <v>550579.06875019427</v>
      </c>
      <c r="L18" s="41">
        <f>[16]FCFF!X5</f>
        <v>596664.78028246074</v>
      </c>
      <c r="M18" s="41">
        <f>[16]FCFF!Y5</f>
        <v>646608.05365821766</v>
      </c>
      <c r="N18" s="41">
        <f>[16]FCFF!Z5</f>
        <v>700731.7825224062</v>
      </c>
      <c r="Q18" s="1" t="s">
        <v>14</v>
      </c>
      <c r="R18" s="41">
        <f>[16]FCFF!AN5</f>
        <v>727375.24174367415</v>
      </c>
      <c r="S18" s="41">
        <f>[16]FCFF!AO5</f>
        <v>783053.55671959475</v>
      </c>
      <c r="T18" s="41">
        <f>[16]FCFF!AP5</f>
        <v>842993.87372781755</v>
      </c>
      <c r="U18" s="41">
        <f>[16]FCFF!AQ5</f>
        <v>907522.43578290218</v>
      </c>
      <c r="V18" s="41">
        <f>[16]FCFF!AR5</f>
        <v>976990.45878861449</v>
      </c>
      <c r="Y18" s="52">
        <f>(F20-B20)/B20</f>
        <v>0.32303728434234869</v>
      </c>
      <c r="Z18" s="1">
        <f>(F20/B20)^(1/5)-1</f>
        <v>5.7582891517465207E-2</v>
      </c>
    </row>
    <row r="19" spans="1:26" x14ac:dyDescent="0.3">
      <c r="A19" s="1" t="s">
        <v>77</v>
      </c>
      <c r="B19" s="41">
        <f>[16]FCFF!D6+[16]FCFF!D9</f>
        <v>28919.066533311987</v>
      </c>
      <c r="C19" s="41">
        <f>[16]FCFF!E6+[16]FCFF!E9</f>
        <v>31015.393191949519</v>
      </c>
      <c r="D19" s="41">
        <f>[16]FCFF!F6+[16]FCFF!F9</f>
        <v>33263.681375854554</v>
      </c>
      <c r="E19" s="41">
        <f>[16]FCFF!G6+[16]FCFF!G9</f>
        <v>35674.946689425611</v>
      </c>
      <c r="F19" s="41">
        <f>[16]FCFF!H6+[16]FCFF!H9</f>
        <v>38261.003251948794</v>
      </c>
      <c r="I19" s="1" t="s">
        <v>77</v>
      </c>
      <c r="J19" s="41">
        <f>[16]FCFF!V6+[16]FCFF!V9</f>
        <v>17026.568525865023</v>
      </c>
      <c r="K19" s="41">
        <f>[16]FCFF!W6+[16]FCFF!W9</f>
        <v>18451.761690669849</v>
      </c>
      <c r="L19" s="41">
        <f>[16]FCFF!X6+[16]FCFF!X9</f>
        <v>19996.249330689738</v>
      </c>
      <c r="M19" s="41">
        <f>[16]FCFF!Y6+[16]FCFF!Y9</f>
        <v>21670.016879596616</v>
      </c>
      <c r="N19" s="41">
        <f>[16]FCFF!Z6+[16]FCFF!Z9</f>
        <v>23483.885592548999</v>
      </c>
      <c r="Q19" s="1" t="s">
        <v>77</v>
      </c>
      <c r="R19" s="41">
        <f>[16]FCFF!AN6+[16]FCFF!AN9</f>
        <v>109109.0283036522</v>
      </c>
      <c r="S19" s="41">
        <f>[16]FCFF!AO6+[16]FCFF!AO9</f>
        <v>117460.98544484426</v>
      </c>
      <c r="T19" s="41">
        <f>[16]FCFF!AP6+[16]FCFF!AP9</f>
        <v>126452.25895767682</v>
      </c>
      <c r="U19" s="41">
        <f>[16]FCFF!AQ6+[16]FCFF!AQ9</f>
        <v>136131.78652419703</v>
      </c>
      <c r="V19" s="41">
        <f>[16]FCFF!AR6+[16]FCFF!AR9</f>
        <v>146552.25185397529</v>
      </c>
      <c r="Y19" s="52">
        <f>(F26-B26)/B26</f>
        <v>0.55388805197912394</v>
      </c>
      <c r="Z19" s="1">
        <f>(F26/B26)^(1/5)-1</f>
        <v>9.2154162867321698E-2</v>
      </c>
    </row>
    <row r="20" spans="1:26" x14ac:dyDescent="0.3">
      <c r="A20" s="1" t="s">
        <v>79</v>
      </c>
      <c r="B20" s="41">
        <f>[16]FCFF!D8</f>
        <v>15461.807626979391</v>
      </c>
      <c r="C20" s="41">
        <f>[16]FCFF!E8</f>
        <v>16582.625253711063</v>
      </c>
      <c r="D20" s="41">
        <f>[16]FCFF!F8</f>
        <v>17784.69031170688</v>
      </c>
      <c r="E20" s="41">
        <f>[16]FCFF!G8</f>
        <v>19073.892380974845</v>
      </c>
      <c r="F20" s="41">
        <f>[16]FCFF!H8</f>
        <v>20456.547973822628</v>
      </c>
      <c r="I20" s="1" t="s">
        <v>79</v>
      </c>
      <c r="J20" s="41">
        <f>[16]FCFF!V8</f>
        <v>8305.6613880125096</v>
      </c>
      <c r="K20" s="41">
        <f>[16]FCFF!W8</f>
        <v>9000.8790897706167</v>
      </c>
      <c r="L20" s="41">
        <f>[16]FCFF!X8</f>
        <v>9754.2893460115483</v>
      </c>
      <c r="M20" s="41">
        <f>[16]FCFF!Y8</f>
        <v>10570.763110666245</v>
      </c>
      <c r="N20" s="41">
        <f>[16]FCFF!Z8</f>
        <v>11455.579056357637</v>
      </c>
      <c r="Q20" s="1" t="s">
        <v>79</v>
      </c>
      <c r="R20" s="41">
        <f>[16]FCFF!AN8</f>
        <v>53143.755484128298</v>
      </c>
      <c r="S20" s="41">
        <f>[16]FCFF!AO8</f>
        <v>57211.744861599218</v>
      </c>
      <c r="T20" s="41">
        <f>[16]FCFF!AP8</f>
        <v>61591.126187653033</v>
      </c>
      <c r="U20" s="41">
        <f>[16]FCFF!AQ8</f>
        <v>66305.735548534052</v>
      </c>
      <c r="V20" s="41">
        <f>[16]FCFF!AR8</f>
        <v>71381.233608835581</v>
      </c>
      <c r="Y20" s="52">
        <f>(Table3242[[#This Row],[2030]]-Table3242[[#This Row],[2026]])/Table3242[[#This Row],[2026]]</f>
        <v>0.37924946866860926</v>
      </c>
      <c r="Z20" s="1">
        <f>(Table3242[[#This Row],[2030]]/Table3242[[#This Row],[2026]])^(1/5)-1</f>
        <v>6.6420696577748073E-2</v>
      </c>
    </row>
    <row r="21" spans="1:26" x14ac:dyDescent="0.3">
      <c r="A21" s="1" t="s">
        <v>113</v>
      </c>
      <c r="B21" s="41">
        <f>[16]FCFF!D10</f>
        <v>10389.195339582251</v>
      </c>
      <c r="C21" s="41">
        <f>[16]FCFF!E10</f>
        <v>11142.302191322144</v>
      </c>
      <c r="D21" s="41">
        <f>[16]FCFF!F10</f>
        <v>11950.001329721303</v>
      </c>
      <c r="E21" s="41">
        <f>[16]FCFF!G10</f>
        <v>12816.250118539998</v>
      </c>
      <c r="F21" s="41">
        <f>[16]FCFF!H10</f>
        <v>13745.292788583085</v>
      </c>
      <c r="I21" s="1" t="s">
        <v>113</v>
      </c>
      <c r="J21" s="41">
        <f>[16]FCFF!V10</f>
        <v>10554.265065898559</v>
      </c>
      <c r="K21" s="41">
        <f>[16]FCFF!W10</f>
        <v>11437.700058017312</v>
      </c>
      <c r="L21" s="41">
        <f>[16]FCFF!X10</f>
        <v>12395.082158762469</v>
      </c>
      <c r="M21" s="41">
        <f>[16]FCFF!Y10</f>
        <v>13432.60104244282</v>
      </c>
      <c r="N21" s="41">
        <f>[16]FCFF!Z10</f>
        <v>14556.964484328249</v>
      </c>
      <c r="Q21" s="1" t="s">
        <v>113</v>
      </c>
      <c r="R21" s="41">
        <f>[16]FCFF!AN10</f>
        <v>48250.175795482377</v>
      </c>
      <c r="S21" s="41">
        <f>[16]FCFF!AO10</f>
        <v>51943.576850960038</v>
      </c>
      <c r="T21" s="41">
        <f>[16]FCFF!AP10</f>
        <v>55919.696282727658</v>
      </c>
      <c r="U21" s="41">
        <f>[16]FCFF!AQ10</f>
        <v>60200.17530415237</v>
      </c>
      <c r="V21" s="41">
        <f>[16]FCFF!AR10</f>
        <v>64808.311696250545</v>
      </c>
      <c r="Y21" s="52">
        <f>(N26-J26)/J26</f>
        <v>0.30506381399289173</v>
      </c>
      <c r="Z21" s="1">
        <f>(N26/J26)^(1/5)-1</f>
        <v>5.4693694534631909E-2</v>
      </c>
    </row>
    <row r="22" spans="1:26" x14ac:dyDescent="0.3">
      <c r="Y22" s="52">
        <f>(V20-R20)/R20</f>
        <v>0.34317255072713132</v>
      </c>
      <c r="Z22" s="1">
        <f>(V20/R20)^(1/5)-1</f>
        <v>6.0782536956019984E-2</v>
      </c>
    </row>
    <row r="23" spans="1:26" x14ac:dyDescent="0.3">
      <c r="A23" s="65" t="s">
        <v>82</v>
      </c>
      <c r="B23" s="66" t="s">
        <v>22</v>
      </c>
      <c r="C23" s="66" t="s">
        <v>23</v>
      </c>
      <c r="D23" s="66" t="s">
        <v>24</v>
      </c>
      <c r="E23" s="66" t="s">
        <v>25</v>
      </c>
      <c r="F23" s="66" t="s">
        <v>26</v>
      </c>
      <c r="I23" s="65" t="s">
        <v>82</v>
      </c>
      <c r="J23" s="66" t="s">
        <v>22</v>
      </c>
      <c r="K23" s="66" t="s">
        <v>23</v>
      </c>
      <c r="L23" s="66" t="s">
        <v>24</v>
      </c>
      <c r="M23" s="66" t="s">
        <v>25</v>
      </c>
      <c r="N23" s="66" t="s">
        <v>26</v>
      </c>
      <c r="Q23" s="65" t="s">
        <v>82</v>
      </c>
      <c r="R23" s="66" t="s">
        <v>22</v>
      </c>
      <c r="S23" s="66" t="s">
        <v>23</v>
      </c>
      <c r="T23" s="66" t="s">
        <v>24</v>
      </c>
      <c r="U23" s="66" t="s">
        <v>25</v>
      </c>
      <c r="V23" s="66" t="s">
        <v>26</v>
      </c>
      <c r="Y23" s="157">
        <f>(V26-R26)/R26</f>
        <v>0.31157290011846744</v>
      </c>
      <c r="Z23" s="1">
        <f>(V26/R26)^(1/5)-1</f>
        <v>5.5743671836259612E-2</v>
      </c>
    </row>
    <row r="24" spans="1:26" x14ac:dyDescent="0.3">
      <c r="A24" s="1" t="s">
        <v>14</v>
      </c>
      <c r="B24" s="41">
        <f>[16]FCFF!M5</f>
        <v>160282.2896781663</v>
      </c>
      <c r="C24" s="41">
        <f>[16]FCFF!N5</f>
        <v>178953.61243292908</v>
      </c>
      <c r="D24" s="41">
        <f>[16]FCFF!O5</f>
        <v>199799.96209872811</v>
      </c>
      <c r="E24" s="41">
        <f>[16]FCFF!P5</f>
        <v>223074.70808735429</v>
      </c>
      <c r="F24" s="41">
        <f>[16]FCFF!Q5</f>
        <v>249060.73487475954</v>
      </c>
      <c r="I24" s="1" t="s">
        <v>14</v>
      </c>
      <c r="J24" s="41">
        <f>[16]FCFF!AE5</f>
        <v>922266.76422356174</v>
      </c>
      <c r="K24" s="41">
        <f>[16]FCFF!AF5</f>
        <v>985744.80104764807</v>
      </c>
      <c r="L24" s="41">
        <f>[16]FCFF!AG5</f>
        <v>1053591.9220839713</v>
      </c>
      <c r="M24" s="41">
        <f>[16]FCFF!AH5</f>
        <v>1126108.8438922847</v>
      </c>
      <c r="N24" s="41">
        <f>[16]FCFF!AI5</f>
        <v>1203616.9808364843</v>
      </c>
      <c r="Q24" s="1" t="s">
        <v>14</v>
      </c>
      <c r="R24" s="41">
        <f>[16]FCFF!AW5</f>
        <v>587395.02293918433</v>
      </c>
      <c r="S24" s="41">
        <f>[16]FCFF!AX5</f>
        <v>628605.78148053493</v>
      </c>
      <c r="T24" s="41">
        <f>[16]FCFF!AY5</f>
        <v>672707.82536348654</v>
      </c>
      <c r="U24" s="41">
        <f>[16]FCFF!AZ5</f>
        <v>719904.00285442511</v>
      </c>
      <c r="V24" s="41">
        <f>[16]FCFF!BA5</f>
        <v>770411.39375149971</v>
      </c>
      <c r="Y24" s="154">
        <f>AVERAGE(Y18:Y23)</f>
        <v>0.36933067830476207</v>
      </c>
      <c r="Z24" s="154">
        <f>AVERAGE(Z18:Z23)</f>
        <v>6.4562942381574409E-2</v>
      </c>
    </row>
    <row r="25" spans="1:26" x14ac:dyDescent="0.3">
      <c r="A25" s="1" t="s">
        <v>77</v>
      </c>
      <c r="B25" s="41">
        <f>[16]FCFF!M6+[16]FCFF!M9</f>
        <v>18703.185667364487</v>
      </c>
      <c r="C25" s="41">
        <f>[16]FCFF!N6+[16]FCFF!N9</f>
        <v>20881.924296808873</v>
      </c>
      <c r="D25" s="41">
        <f>[16]FCFF!O6+[16]FCFF!O9</f>
        <v>23314.464717020703</v>
      </c>
      <c r="E25" s="41">
        <f>[16]FCFF!P6+[16]FCFF!P9</f>
        <v>26030.372360092762</v>
      </c>
      <c r="F25" s="41">
        <f>[16]FCFF!Q6+[16]FCFF!Q9</f>
        <v>29062.656742464882</v>
      </c>
      <c r="I25" s="1" t="s">
        <v>77</v>
      </c>
      <c r="J25" s="41">
        <f>[16]FCFF!AE6+[16]FCFF!AE9</f>
        <v>54444.472716675271</v>
      </c>
      <c r="K25" s="41">
        <f>[16]FCFF!AF6+[16]FCFF!AF9</f>
        <v>58191.792232072359</v>
      </c>
      <c r="L25" s="41">
        <f>[16]FCFF!AG6+[16]FCFF!AG9</f>
        <v>62197.033311400293</v>
      </c>
      <c r="M25" s="41">
        <f>[16]FCFF!AH6+[16]FCFF!AH9</f>
        <v>66477.948252766364</v>
      </c>
      <c r="N25" s="41">
        <f>[16]FCFF!AI6+[16]FCFF!AI9</f>
        <v>71053.511214456143</v>
      </c>
      <c r="Q25" s="1" t="s">
        <v>77</v>
      </c>
      <c r="R25" s="41">
        <f>[16]FCFF!AW6+[16]FCFF!AW9</f>
        <v>91534.35148804661</v>
      </c>
      <c r="S25" s="41">
        <f>[16]FCFF!AX6+[16]FCFF!AX9</f>
        <v>97956.265038722981</v>
      </c>
      <c r="T25" s="41">
        <f>[16]FCFF!AY6+[16]FCFF!AY9</f>
        <v>104828.73046398978</v>
      </c>
      <c r="U25" s="41">
        <f>[16]FCFF!AZ6+[16]FCFF!AZ9</f>
        <v>112183.35781124105</v>
      </c>
      <c r="V25" s="41">
        <f>[16]FCFF!BA6+[16]FCFF!BA9</f>
        <v>120053.97484164045</v>
      </c>
    </row>
    <row r="26" spans="1:26" x14ac:dyDescent="0.3">
      <c r="A26" s="1" t="s">
        <v>79</v>
      </c>
      <c r="B26" s="41">
        <f>[16]FCFF!M8</f>
        <v>11275.101758646215</v>
      </c>
      <c r="C26" s="41">
        <f>[16]FCFF!N8</f>
        <v>12588.541094028718</v>
      </c>
      <c r="D26" s="41">
        <f>[16]FCFF!O8</f>
        <v>14054.983295785103</v>
      </c>
      <c r="E26" s="41">
        <f>[16]FCFF!P8</f>
        <v>15692.251704885888</v>
      </c>
      <c r="F26" s="41">
        <f>[16]FCFF!Q8</f>
        <v>17520.245907609162</v>
      </c>
      <c r="I26" s="1" t="s">
        <v>79</v>
      </c>
      <c r="J26" s="41">
        <f>[16]FCFF!AE8</f>
        <v>30980.978261316239</v>
      </c>
      <c r="K26" s="41">
        <f>[16]FCFF!AF8</f>
        <v>33113.345766257939</v>
      </c>
      <c r="L26" s="41">
        <f>[16]FCFF!AG8</f>
        <v>35392.480462918975</v>
      </c>
      <c r="M26" s="41">
        <f>[16]FCFF!AH8</f>
        <v>37828.484084942946</v>
      </c>
      <c r="N26" s="41">
        <f>[16]FCFF!AI8</f>
        <v>40432.153650944238</v>
      </c>
      <c r="Q26" s="1" t="s">
        <v>79</v>
      </c>
      <c r="R26" s="41">
        <f>[16]FCFF!AW8</f>
        <v>55528.807737750663</v>
      </c>
      <c r="S26" s="41">
        <f>[16]FCFF!AX8</f>
        <v>59424.626051496314</v>
      </c>
      <c r="T26" s="41">
        <f>[16]FCFF!AY8</f>
        <v>63593.769166404541</v>
      </c>
      <c r="U26" s="41">
        <f>[16]FCFF!AZ8</f>
        <v>68055.413142782636</v>
      </c>
      <c r="V26" s="41">
        <f>[16]FCFF!BA8</f>
        <v>72830.079404722434</v>
      </c>
    </row>
    <row r="27" spans="1:26" x14ac:dyDescent="0.3">
      <c r="A27" s="1" t="s">
        <v>113</v>
      </c>
      <c r="B27" s="41">
        <f>[16]FCFF!M10</f>
        <v>11696.630537569834</v>
      </c>
      <c r="C27" s="41">
        <f>[16]FCFF!N10</f>
        <v>13059.173862529147</v>
      </c>
      <c r="D27" s="41">
        <f>[16]FCFF!O10</f>
        <v>14580.440189504126</v>
      </c>
      <c r="E27" s="41">
        <f>[16]FCFF!P10</f>
        <v>16278.919199451975</v>
      </c>
      <c r="F27" s="41">
        <f>[16]FCFF!Q10</f>
        <v>18175.254440743927</v>
      </c>
      <c r="I27" s="1" t="s">
        <v>113</v>
      </c>
      <c r="J27" s="41">
        <f>[16]FCFF!AE10</f>
        <v>6629.7200070948211</v>
      </c>
      <c r="K27" s="41">
        <f>[16]FCFF!AF10</f>
        <v>7086.0322445829033</v>
      </c>
      <c r="L27" s="41">
        <f>[16]FCFF!AG10</f>
        <v>7573.7516693818443</v>
      </c>
      <c r="M27" s="41">
        <f>[16]FCFF!AH10</f>
        <v>8095.0399842331917</v>
      </c>
      <c r="N27" s="41">
        <f>[16]FCFF!AI10</f>
        <v>8652.2076781641481</v>
      </c>
      <c r="Q27" s="1" t="s">
        <v>113</v>
      </c>
      <c r="R27" s="41">
        <f>[16]FCFF!AW10</f>
        <v>35390.884478485386</v>
      </c>
      <c r="S27" s="41">
        <f>[16]FCFF!AX10</f>
        <v>37873.856137846378</v>
      </c>
      <c r="T27" s="41">
        <f>[16]FCFF!AY10</f>
        <v>40531.029384764115</v>
      </c>
      <c r="U27" s="41">
        <f>[16]FCFF!AZ10</f>
        <v>43374.625942749997</v>
      </c>
      <c r="V27" s="41">
        <f>[16]FCFF!BA10</f>
        <v>46417.724993204734</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DAD3-853C-40D6-97A3-1243205B4D91}">
  <dimension ref="A1:W29"/>
  <sheetViews>
    <sheetView topLeftCell="M9" workbookViewId="0">
      <selection activeCell="V25" sqref="V25"/>
    </sheetView>
  </sheetViews>
  <sheetFormatPr defaultRowHeight="14.4" x14ac:dyDescent="0.3"/>
  <cols>
    <col min="1" max="1" width="15.21875" style="1" bestFit="1" customWidth="1"/>
    <col min="2" max="7" width="9.88671875" style="1" bestFit="1" customWidth="1"/>
    <col min="8" max="8" width="8.88671875" style="1"/>
    <col min="9" max="9" width="15.21875" style="1" bestFit="1" customWidth="1"/>
    <col min="10" max="15" width="10.88671875" style="1" bestFit="1" customWidth="1"/>
    <col min="16" max="16" width="8.88671875" style="1"/>
    <col min="17" max="17" width="15.21875" style="1" bestFit="1" customWidth="1"/>
    <col min="18" max="23" width="9.88671875" style="1" bestFit="1" customWidth="1"/>
    <col min="24" max="16384" width="8.88671875" style="1"/>
  </cols>
  <sheetData>
    <row r="1" spans="1:23" x14ac:dyDescent="0.3">
      <c r="A1" s="67" t="s">
        <v>60</v>
      </c>
      <c r="B1" s="68" t="s">
        <v>16</v>
      </c>
      <c r="C1" s="68" t="s">
        <v>17</v>
      </c>
      <c r="D1" s="68" t="s">
        <v>18</v>
      </c>
      <c r="E1" s="68" t="s">
        <v>19</v>
      </c>
      <c r="F1" s="68" t="s">
        <v>20</v>
      </c>
      <c r="G1" s="68" t="s">
        <v>21</v>
      </c>
      <c r="I1" s="67" t="s">
        <v>60</v>
      </c>
      <c r="J1" s="68" t="s">
        <v>16</v>
      </c>
      <c r="K1" s="68" t="s">
        <v>17</v>
      </c>
      <c r="L1" s="68" t="s">
        <v>18</v>
      </c>
      <c r="M1" s="68" t="s">
        <v>19</v>
      </c>
      <c r="N1" s="68" t="s">
        <v>20</v>
      </c>
      <c r="O1" s="68" t="s">
        <v>21</v>
      </c>
      <c r="Q1" s="67" t="s">
        <v>60</v>
      </c>
      <c r="R1" s="68" t="s">
        <v>16</v>
      </c>
      <c r="S1" s="68" t="s">
        <v>17</v>
      </c>
      <c r="T1" s="68" t="s">
        <v>18</v>
      </c>
      <c r="U1" s="68" t="s">
        <v>19</v>
      </c>
      <c r="V1" s="68" t="s">
        <v>20</v>
      </c>
      <c r="W1" s="68" t="s">
        <v>21</v>
      </c>
    </row>
    <row r="2" spans="1:23" x14ac:dyDescent="0.3">
      <c r="A2" s="11" t="s">
        <v>14</v>
      </c>
      <c r="B2" s="12">
        <f>'[17]Income Statement'!B8</f>
        <v>13734.42</v>
      </c>
      <c r="C2" s="12">
        <f>'[17]Income Statement'!C8</f>
        <v>14519.83</v>
      </c>
      <c r="D2" s="12">
        <f>'[17]Income Statement'!D8</f>
        <v>19342.510000000002</v>
      </c>
      <c r="E2" s="12">
        <f>'[17]Income Statement'!E8</f>
        <v>22405.39</v>
      </c>
      <c r="F2" s="12">
        <f>'[17]Income Statement'!F8</f>
        <v>28209.980000000003</v>
      </c>
      <c r="G2" s="12">
        <f>'[17]Income Statement'!G8</f>
        <v>32383.08</v>
      </c>
      <c r="I2" s="11" t="s">
        <v>14</v>
      </c>
      <c r="J2" s="12">
        <f>'[17]Income Statement'!R7</f>
        <v>11976.470000000001</v>
      </c>
      <c r="K2" s="12">
        <f>'[17]Income Statement'!S7</f>
        <v>13144.12</v>
      </c>
      <c r="L2" s="12">
        <f>'[17]Income Statement'!T7</f>
        <v>13755.69</v>
      </c>
      <c r="M2" s="12">
        <f>'[17]Income Statement'!U7</f>
        <v>17313.03</v>
      </c>
      <c r="N2" s="12">
        <f>'[17]Income Statement'!V7</f>
        <v>19966.579999999998</v>
      </c>
      <c r="O2" s="12">
        <f>'[17]Income Statement'!W7</f>
        <v>21917.56</v>
      </c>
      <c r="Q2" s="11" t="s">
        <v>14</v>
      </c>
      <c r="R2" s="12">
        <f>'[17]Income Statement'!AH7</f>
        <v>10323.923200000001</v>
      </c>
      <c r="S2" s="12">
        <f>'[17]Income Statement'!AI7</f>
        <v>14776.2642</v>
      </c>
      <c r="T2" s="12">
        <f>'[17]Income Statement'!AJ7</f>
        <v>16142.95</v>
      </c>
      <c r="U2" s="12">
        <f>'[17]Income Statement'!AK7</f>
        <v>20181.939999999999</v>
      </c>
      <c r="V2" s="12">
        <f>'[17]Income Statement'!AL7</f>
        <v>21278.01</v>
      </c>
      <c r="W2" s="12">
        <f>'[17]Income Statement'!AM7</f>
        <v>23074.799999999999</v>
      </c>
    </row>
    <row r="3" spans="1:23" s="52" customFormat="1" x14ac:dyDescent="0.3">
      <c r="A3" s="13" t="s">
        <v>78</v>
      </c>
      <c r="B3" s="13">
        <f>'[17]Ratio Analysis'!B6</f>
        <v>0.56794243950600032</v>
      </c>
      <c r="C3" s="13">
        <f>'[17]Ratio Analysis'!C6</f>
        <v>0.73478201879774074</v>
      </c>
      <c r="D3" s="13">
        <f>'[17]Ratio Analysis'!D6</f>
        <v>0.60737515451717494</v>
      </c>
      <c r="E3" s="13">
        <f>'[17]Ratio Analysis'!E6</f>
        <v>0.55792869483637642</v>
      </c>
      <c r="F3" s="13">
        <f>'[17]Ratio Analysis'!F6</f>
        <v>0.61150415562152116</v>
      </c>
      <c r="G3" s="13">
        <f>'[17]Ratio Analysis'!G6</f>
        <v>0.61909707168064321</v>
      </c>
      <c r="I3" s="13" t="s">
        <v>78</v>
      </c>
      <c r="J3" s="13">
        <f>'[17]Ratio Analysis'!R6</f>
        <v>0.10399140982276082</v>
      </c>
      <c r="K3" s="13">
        <f>'[17]Ratio Analysis'!S6</f>
        <v>8.9099156124563525E-2</v>
      </c>
      <c r="L3" s="13">
        <f>'[17]Ratio Analysis'!T6</f>
        <v>6.6658233792706856E-2</v>
      </c>
      <c r="M3" s="13">
        <f>'[17]Ratio Analysis'!U6</f>
        <v>4.9734217522871486E-2</v>
      </c>
      <c r="N3" s="13">
        <f>'[17]Ratio Analysis'!V6</f>
        <v>6.3455033360745719E-2</v>
      </c>
      <c r="O3" s="13">
        <f>'[17]Ratio Analysis'!W6</f>
        <v>7.1849238692628103E-2</v>
      </c>
      <c r="Q3" s="13" t="s">
        <v>78</v>
      </c>
      <c r="R3" s="13">
        <f>'[17]Ratio Analysis'!AH6</f>
        <v>7.6148977938929496E-2</v>
      </c>
      <c r="S3" s="13">
        <f>'[17]Ratio Analysis'!AI6</f>
        <v>6.9853183864971718E-2</v>
      </c>
      <c r="T3" s="13">
        <f>'[17]Ratio Analysis'!AJ6</f>
        <v>0.1002945558277763</v>
      </c>
      <c r="U3" s="13">
        <f>'[17]Ratio Analysis'!AK6</f>
        <v>9.8269541976638425E-2</v>
      </c>
      <c r="V3" s="13">
        <f>'[17]Ratio Analysis'!AL6</f>
        <v>0.10540741356922015</v>
      </c>
      <c r="W3" s="13">
        <f>'[17]Ratio Analysis'!AM6</f>
        <v>0.11000745401910297</v>
      </c>
    </row>
    <row r="4" spans="1:23" s="52" customFormat="1" x14ac:dyDescent="0.3">
      <c r="A4" s="13" t="s">
        <v>80</v>
      </c>
      <c r="B4" s="13">
        <f>'[17]Ratio Analysis'!B7</f>
        <v>0.27555076952648894</v>
      </c>
      <c r="C4" s="13">
        <f>'[17]Ratio Analysis'!C7</f>
        <v>0.34771343741627814</v>
      </c>
      <c r="D4" s="13">
        <f>'[17]Ratio Analysis'!D7</f>
        <v>0.25607741704670195</v>
      </c>
      <c r="E4" s="13">
        <f>'[17]Ratio Analysis'!E7</f>
        <v>0.24068985186153863</v>
      </c>
      <c r="F4" s="13">
        <f>'[17]Ratio Analysis'!F7</f>
        <v>0.28727386549015632</v>
      </c>
      <c r="G4" s="13">
        <f>'[17]Ratio Analysis'!G7</f>
        <v>0.34157529178818086</v>
      </c>
      <c r="I4" s="13" t="s">
        <v>80</v>
      </c>
      <c r="J4" s="13">
        <f>'[17]Ratio Analysis'!R7</f>
        <v>4.7219255757330866E-2</v>
      </c>
      <c r="K4" s="13">
        <f>'[17]Ratio Analysis'!S7</f>
        <v>4.2050742080869466E-2</v>
      </c>
      <c r="L4" s="13">
        <f>'[17]Ratio Analysis'!T7</f>
        <v>2.7313787967015807E-2</v>
      </c>
      <c r="M4" s="13">
        <f>'[17]Ratio Analysis'!U7</f>
        <v>1.0167486569364207E-2</v>
      </c>
      <c r="N4" s="13">
        <f>'[17]Ratio Analysis'!V7</f>
        <v>1.7368021964702919E-2</v>
      </c>
      <c r="O4" s="13">
        <f>'[17]Ratio Analysis'!W7</f>
        <v>2.6040307406481285E-2</v>
      </c>
      <c r="Q4" s="13" t="s">
        <v>80</v>
      </c>
      <c r="R4" s="13">
        <f>'[17]Ratio Analysis'!AH7</f>
        <v>6.6616487422146112E-2</v>
      </c>
      <c r="S4" s="13">
        <f>'[17]Ratio Analysis'!AI7</f>
        <v>5.0981945761364993E-2</v>
      </c>
      <c r="T4" s="13">
        <f>'[17]Ratio Analysis'!AJ7</f>
        <v>6.1424336939654871E-2</v>
      </c>
      <c r="U4" s="13">
        <f>'[17]Ratio Analysis'!AK7</f>
        <v>5.8601403036576162E-2</v>
      </c>
      <c r="V4" s="13">
        <f>'[17]Ratio Analysis'!AL7</f>
        <v>6.3058058530849545E-2</v>
      </c>
      <c r="W4" s="13">
        <f>'[17]Ratio Analysis'!AM7</f>
        <v>6.8233310797926633E-2</v>
      </c>
    </row>
    <row r="5" spans="1:23" s="52" customFormat="1" x14ac:dyDescent="0.3">
      <c r="A5" s="13" t="s">
        <v>66</v>
      </c>
      <c r="B5" s="13">
        <f>'[17]Ratio Analysis'!B8</f>
        <v>0.14644268407635624</v>
      </c>
      <c r="C5" s="13">
        <f>'[17]Ratio Analysis'!C8</f>
        <v>0.17427533849351587</v>
      </c>
      <c r="D5" s="13">
        <f>'[17]Ratio Analysis'!D8</f>
        <v>0.13301105350700862</v>
      </c>
      <c r="E5" s="13">
        <f>'[17]Ratio Analysis'!E8</f>
        <v>0.12077410991871723</v>
      </c>
      <c r="F5" s="13">
        <f>'[17]Ratio Analysis'!F8</f>
        <v>0.15973947295567376</v>
      </c>
      <c r="G5" s="13">
        <f>'[17]Ratio Analysis'!G8</f>
        <v>0.18510038041660251</v>
      </c>
      <c r="I5" s="13" t="s">
        <v>66</v>
      </c>
      <c r="J5" s="13">
        <f>'[17]Ratio Analysis'!R8</f>
        <v>0.2021461405929412</v>
      </c>
      <c r="K5" s="13">
        <f>'[17]Ratio Analysis'!S8</f>
        <v>0.17953411170859745</v>
      </c>
      <c r="L5" s="13">
        <f>'[17]Ratio Analysis'!T8</f>
        <v>0.10766202171464911</v>
      </c>
      <c r="M5" s="13">
        <f>'[17]Ratio Analysis'!U8</f>
        <v>4.7631352865173365E-2</v>
      </c>
      <c r="N5" s="13">
        <f>'[17]Ratio Analysis'!V8</f>
        <v>8.8159326411697783E-2</v>
      </c>
      <c r="O5" s="13">
        <f>'[17]Ratio Analysis'!W8</f>
        <v>0.12087915579017552</v>
      </c>
      <c r="Q5" s="13" t="s">
        <v>66</v>
      </c>
      <c r="R5" s="13">
        <f>'[17]Ratio Analysis'!AH8</f>
        <v>0.13443257443383611</v>
      </c>
      <c r="S5" s="13">
        <f>'[17]Ratio Analysis'!AI8</f>
        <v>0.14012726140690437</v>
      </c>
      <c r="T5" s="13">
        <f>'[17]Ratio Analysis'!AJ8</f>
        <v>0.16480186945089895</v>
      </c>
      <c r="U5" s="13">
        <f>'[17]Ratio Analysis'!AK8</f>
        <v>0.17336919874519888</v>
      </c>
      <c r="V5" s="13">
        <f>'[17]Ratio Analysis'!AL8</f>
        <v>0.1678021266816952</v>
      </c>
      <c r="W5" s="13">
        <f>'[17]Ratio Analysis'!AM8</f>
        <v>0.18129061341184582</v>
      </c>
    </row>
    <row r="6" spans="1:23" s="52" customFormat="1" x14ac:dyDescent="0.3">
      <c r="A6" s="13" t="s">
        <v>105</v>
      </c>
      <c r="B6" s="13">
        <f>'[17]Ratio Analysis'!B9</f>
        <v>0.11228021252238235</v>
      </c>
      <c r="C6" s="13">
        <f>'[17]Ratio Analysis'!C9</f>
        <v>0.1254950538950787</v>
      </c>
      <c r="D6" s="13">
        <f>'[17]Ratio Analysis'!D9</f>
        <v>9.7592179500300552E-2</v>
      </c>
      <c r="E6" s="13">
        <f>'[17]Ratio Analysis'!E9</f>
        <v>8.7702337818881454E-2</v>
      </c>
      <c r="F6" s="13">
        <f>'[17]Ratio Analysis'!F9</f>
        <v>0.13035840693805656</v>
      </c>
      <c r="G6" s="13">
        <f>'[17]Ratio Analysis'!G9</f>
        <v>0.13697719080729823</v>
      </c>
      <c r="I6" s="13" t="s">
        <v>105</v>
      </c>
      <c r="J6" s="13">
        <f>'[17]Ratio Analysis'!R9</f>
        <v>0.34828923625315972</v>
      </c>
      <c r="K6" s="13">
        <f>'[17]Ratio Analysis'!S9</f>
        <v>0.27086535444377624</v>
      </c>
      <c r="L6" s="13">
        <f>'[17]Ratio Analysis'!T9</f>
        <v>0.17908338523677378</v>
      </c>
      <c r="M6" s="13">
        <f>'[17]Ratio Analysis'!U9</f>
        <v>0.15687079131657355</v>
      </c>
      <c r="N6" s="13">
        <f>'[17]Ratio Analysis'!V9</f>
        <v>0.24047917078907957</v>
      </c>
      <c r="O6" s="13">
        <f>'[17]Ratio Analysis'!W9</f>
        <v>0.23367556744117277</v>
      </c>
      <c r="Q6" s="13" t="s">
        <v>105</v>
      </c>
      <c r="R6" s="13">
        <f>'[17]Ratio Analysis'!AH9</f>
        <v>8.0504549463967415E-2</v>
      </c>
      <c r="S6" s="13">
        <f>'[17]Ratio Analysis'!AI9</f>
        <v>8.6393763564614021E-2</v>
      </c>
      <c r="T6" s="13">
        <f>'[17]Ratio Analysis'!AJ9</f>
        <v>0.12244692864288313</v>
      </c>
      <c r="U6" s="13">
        <f>'[17]Ratio Analysis'!AK9</f>
        <v>0.14116387759697105</v>
      </c>
      <c r="V6" s="13">
        <f>'[17]Ratio Analysis'!AL9</f>
        <v>0.14771427830185868</v>
      </c>
      <c r="W6" s="13">
        <f>'[17]Ratio Analysis'!AM9</f>
        <v>0.18142260644469438</v>
      </c>
    </row>
    <row r="7" spans="1:23" x14ac:dyDescent="0.3">
      <c r="A7" s="11" t="s">
        <v>119</v>
      </c>
      <c r="B7" s="12">
        <f>'[17]Ratio Analysis'!B14</f>
        <v>1.0728384542399747</v>
      </c>
      <c r="C7" s="12">
        <f>'[17]Ratio Analysis'!C14</f>
        <v>1.0385958320364723</v>
      </c>
      <c r="D7" s="12">
        <f>'[17]Ratio Analysis'!D14</f>
        <v>1.0724865086917508</v>
      </c>
      <c r="E7" s="12">
        <f>'[17]Ratio Analysis'!E14</f>
        <v>1.061745331463283</v>
      </c>
      <c r="F7" s="12">
        <f>'[17]Ratio Analysis'!F14</f>
        <v>0.84849073208294368</v>
      </c>
      <c r="G7" s="12">
        <f>'[17]Ratio Analysis'!G14</f>
        <v>0.70505887491700447</v>
      </c>
      <c r="I7" s="11" t="s">
        <v>119</v>
      </c>
      <c r="J7" s="12">
        <f>'[17]Ratio Analysis'!R14</f>
        <v>0.73699411634341117</v>
      </c>
      <c r="K7" s="12">
        <f>'[17]Ratio Analysis'!S14</f>
        <v>0.54868752771833118</v>
      </c>
      <c r="L7" s="12">
        <f>'[17]Ratio Analysis'!T14</f>
        <v>0.79081915948650938</v>
      </c>
      <c r="M7" s="12">
        <f>'[17]Ratio Analysis'!U14</f>
        <v>0.84701518261026343</v>
      </c>
      <c r="N7" s="12">
        <f>'[17]Ratio Analysis'!V14</f>
        <v>0.9249407915618818</v>
      </c>
      <c r="O7" s="12">
        <f>'[17]Ratio Analysis'!W14</f>
        <v>0.69212428353701294</v>
      </c>
      <c r="Q7" s="11" t="s">
        <v>119</v>
      </c>
      <c r="R7" s="12">
        <f>'[17]Ratio Analysis'!AH14</f>
        <v>0.83204414973617946</v>
      </c>
      <c r="S7" s="12">
        <f>'[17]Ratio Analysis'!AI14</f>
        <v>1.047146243488382</v>
      </c>
      <c r="T7" s="12">
        <f>'[17]Ratio Analysis'!AJ14</f>
        <v>1.030946947197299</v>
      </c>
      <c r="U7" s="12">
        <f>'[17]Ratio Analysis'!AK14</f>
        <v>0.8843076371063453</v>
      </c>
      <c r="V7" s="12">
        <f>'[17]Ratio Analysis'!AL14</f>
        <v>0.68464014361096981</v>
      </c>
      <c r="W7" s="12">
        <f>'[17]Ratio Analysis'!AM14</f>
        <v>0.62490665281340319</v>
      </c>
    </row>
    <row r="8" spans="1:23" s="52" customFormat="1" x14ac:dyDescent="0.3">
      <c r="A8" s="13" t="s">
        <v>126</v>
      </c>
      <c r="B8" s="13">
        <f>'[17]Ratio Analysis'!B26</f>
        <v>0.27525006516474676</v>
      </c>
      <c r="C8" s="13">
        <f>'[17]Ratio Analysis'!C26</f>
        <v>0.38583578457874523</v>
      </c>
      <c r="D8" s="13">
        <f>'[17]Ratio Analysis'!D26</f>
        <v>0.34155029517885765</v>
      </c>
      <c r="E8" s="13">
        <f>'[17]Ratio Analysis'!E26</f>
        <v>0.12534796314636787</v>
      </c>
      <c r="F8" s="13">
        <f>'[17]Ratio Analysis'!F26</f>
        <v>0.26945357635843753</v>
      </c>
      <c r="G8" s="13">
        <f>'[17]Ratio Analysis'!G26</f>
        <v>0.28339984955106179</v>
      </c>
      <c r="I8" s="13" t="s">
        <v>126</v>
      </c>
      <c r="J8" s="13">
        <f>'[17]Ratio Analysis'!R26</f>
        <v>-9.9361498004002895E-3</v>
      </c>
      <c r="K8" s="13">
        <f>'[17]Ratio Analysis'!S26</f>
        <v>5.0552642550433229E-2</v>
      </c>
      <c r="L8" s="13">
        <f>'[17]Ratio Analysis'!T26</f>
        <v>-3.1030795256363E-2</v>
      </c>
      <c r="M8" s="13">
        <f>'[17]Ratio Analysis'!U26</f>
        <v>2.4746679235234957E-2</v>
      </c>
      <c r="N8" s="13">
        <f>'[17]Ratio Analysis'!V26</f>
        <v>3.6946737999196764E-3</v>
      </c>
      <c r="O8" s="13">
        <f>'[17]Ratio Analysis'!W26</f>
        <v>1.0793172232675546E-2</v>
      </c>
      <c r="Q8" s="13" t="s">
        <v>126</v>
      </c>
      <c r="R8" s="13">
        <f>'[17]Ratio Analysis'!AH26</f>
        <v>-9.505197597750438E-2</v>
      </c>
      <c r="S8" s="13">
        <f>'[17]Ratio Analysis'!AI26</f>
        <v>2.5629617532149998E-2</v>
      </c>
      <c r="T8" s="13">
        <f>'[17]Ratio Analysis'!AJ26</f>
        <v>0.29649723253804294</v>
      </c>
      <c r="U8" s="13">
        <f>'[17]Ratio Analysis'!AK26</f>
        <v>-0.2018686013336676</v>
      </c>
      <c r="V8" s="13">
        <f>'[17]Ratio Analysis'!AL26</f>
        <v>0.1333804242032032</v>
      </c>
      <c r="W8" s="13">
        <f>'[17]Ratio Analysis'!AM26</f>
        <v>6.4497633782307953E-2</v>
      </c>
    </row>
    <row r="10" spans="1:23" x14ac:dyDescent="0.3">
      <c r="A10" s="67" t="s">
        <v>60</v>
      </c>
      <c r="B10" s="68" t="s">
        <v>16</v>
      </c>
      <c r="C10" s="68" t="s">
        <v>17</v>
      </c>
      <c r="D10" s="68" t="s">
        <v>18</v>
      </c>
      <c r="E10" s="68" t="s">
        <v>19</v>
      </c>
      <c r="F10" s="68" t="s">
        <v>20</v>
      </c>
      <c r="G10" s="68" t="s">
        <v>21</v>
      </c>
      <c r="I10" s="67" t="s">
        <v>60</v>
      </c>
      <c r="J10" s="68" t="s">
        <v>16</v>
      </c>
      <c r="K10" s="68" t="s">
        <v>17</v>
      </c>
      <c r="L10" s="68" t="s">
        <v>18</v>
      </c>
      <c r="M10" s="68" t="s">
        <v>19</v>
      </c>
      <c r="N10" s="68" t="s">
        <v>20</v>
      </c>
      <c r="O10" s="68" t="s">
        <v>21</v>
      </c>
      <c r="Q10" s="67" t="s">
        <v>82</v>
      </c>
      <c r="R10" s="68" t="s">
        <v>22</v>
      </c>
      <c r="S10" s="68" t="s">
        <v>23</v>
      </c>
      <c r="T10" s="68" t="s">
        <v>24</v>
      </c>
      <c r="U10" s="68" t="s">
        <v>25</v>
      </c>
      <c r="V10" s="68" t="s">
        <v>26</v>
      </c>
    </row>
    <row r="11" spans="1:23" x14ac:dyDescent="0.3">
      <c r="A11" s="11" t="s">
        <v>14</v>
      </c>
      <c r="B11" s="12">
        <f>'[17]Income Statement'!J7</f>
        <v>12719.880000000001</v>
      </c>
      <c r="C11" s="12">
        <f>'[17]Income Statement'!K7</f>
        <v>13016.460000000001</v>
      </c>
      <c r="D11" s="12">
        <f>'[17]Income Statement'!L7</f>
        <v>14866.3</v>
      </c>
      <c r="E11" s="12">
        <f>'[17]Income Statement'!M7</f>
        <v>16401.14</v>
      </c>
      <c r="F11" s="12">
        <f>'[17]Income Statement'!N7</f>
        <v>19690.420000000002</v>
      </c>
      <c r="G11" s="12">
        <f>'[17]Income Statement'!O7</f>
        <v>22378.26</v>
      </c>
      <c r="I11" s="11" t="s">
        <v>14</v>
      </c>
      <c r="J11" s="12">
        <f>'[17]Income Statement'!Z8</f>
        <v>147813.25999999998</v>
      </c>
      <c r="K11" s="12">
        <f>'[17]Income Statement'!AA8</f>
        <v>139408.38</v>
      </c>
      <c r="L11" s="12">
        <f>'[17]Income Statement'!AB8</f>
        <v>158788.31</v>
      </c>
      <c r="M11" s="12">
        <f>'[17]Income Statement'!AC8</f>
        <v>186269.87000000002</v>
      </c>
      <c r="N11" s="12">
        <f>'[17]Income Statement'!AD8</f>
        <v>225270.94</v>
      </c>
      <c r="O11" s="12">
        <f>'[17]Income Statement'!AE8</f>
        <v>259859.27000000002</v>
      </c>
      <c r="Q11" s="11" t="s">
        <v>14</v>
      </c>
      <c r="R11" s="12">
        <f>[17]DCF!AN4</f>
        <v>26384.779891704995</v>
      </c>
      <c r="S11" s="12">
        <f>[17]DCF!AO4</f>
        <v>30169.562030167985</v>
      </c>
      <c r="T11" s="12">
        <f>[17]DCF!AP4</f>
        <v>34497.254736557748</v>
      </c>
      <c r="U11" s="12">
        <f>[17]DCF!AQ4</f>
        <v>39445.736175054772</v>
      </c>
      <c r="V11" s="12">
        <f>[17]DCF!AR4</f>
        <v>45104.055794420121</v>
      </c>
    </row>
    <row r="12" spans="1:23" s="52" customFormat="1" x14ac:dyDescent="0.3">
      <c r="A12" s="13" t="s">
        <v>78</v>
      </c>
      <c r="B12" s="13">
        <f>'[17]Ratio Analysis'!J6</f>
        <v>0.12009075557316594</v>
      </c>
      <c r="C12" s="13">
        <f>'[17]Ratio Analysis'!K6</f>
        <v>0.12115429233447494</v>
      </c>
      <c r="D12" s="13">
        <f>'[17]Ratio Analysis'!L6</f>
        <v>8.5998533596120016E-2</v>
      </c>
      <c r="E12" s="13">
        <f>'[17]Ratio Analysis'!M6</f>
        <v>8.5923295575795214E-2</v>
      </c>
      <c r="F12" s="13">
        <f>'[17]Ratio Analysis'!N6</f>
        <v>8.5958552433112068E-2</v>
      </c>
      <c r="G12" s="13">
        <f>'[17]Ratio Analysis'!O6</f>
        <v>8.4751897600617548E-2</v>
      </c>
      <c r="I12" s="13" t="s">
        <v>78</v>
      </c>
      <c r="J12" s="13">
        <f>'[17]Ratio Analysis'!Z6</f>
        <v>0.12644251266767281</v>
      </c>
      <c r="K12" s="13">
        <f>'[17]Ratio Analysis'!AA6</f>
        <v>0.13667363468394095</v>
      </c>
      <c r="L12" s="13">
        <f>'[17]Ratio Analysis'!AB6</f>
        <v>0.12892441515373507</v>
      </c>
      <c r="M12" s="13">
        <f>'[17]Ratio Analysis'!AC6</f>
        <v>0.12714053002774955</v>
      </c>
      <c r="N12" s="13">
        <f>'[17]Ratio Analysis'!AD6</f>
        <v>0.12274854448603091</v>
      </c>
      <c r="O12" s="13">
        <f>'[17]Ratio Analysis'!AE6</f>
        <v>0.11760042272111376</v>
      </c>
      <c r="Q12" s="13" t="s">
        <v>94</v>
      </c>
      <c r="R12" s="13">
        <f>([17]DCF!AN5+[17]DCF!AN8)/[17]DCF!AN4</f>
        <v>9.6446483766700744E-2</v>
      </c>
      <c r="S12" s="13">
        <f>([17]DCF!AO5+[17]DCF!AO8)/[17]DCF!AO4</f>
        <v>9.6446483766700744E-2</v>
      </c>
      <c r="T12" s="13">
        <f>([17]DCF!AP5+[17]DCF!AP8)/[17]DCF!AP4</f>
        <v>9.6446483766700744E-2</v>
      </c>
      <c r="U12" s="13">
        <f>([17]DCF!AQ5+[17]DCF!AQ8)/[17]DCF!AQ4</f>
        <v>9.6446483766700744E-2</v>
      </c>
      <c r="V12" s="13">
        <f>([17]DCF!AR5+[17]DCF!AR8)/[17]DCF!AR4</f>
        <v>9.6446483766700758E-2</v>
      </c>
    </row>
    <row r="13" spans="1:23" s="52" customFormat="1" x14ac:dyDescent="0.3">
      <c r="A13" s="13" t="s">
        <v>80</v>
      </c>
      <c r="B13" s="13">
        <f>'[17]Ratio Analysis'!J7</f>
        <v>3.0628433601575016E-2</v>
      </c>
      <c r="C13" s="13">
        <f>'[17]Ratio Analysis'!K7</f>
        <v>5.0861755039388556E-2</v>
      </c>
      <c r="D13" s="13">
        <f>'[17]Ratio Analysis'!L7</f>
        <v>3.5991470641652527E-2</v>
      </c>
      <c r="E13" s="13">
        <f>'[17]Ratio Analysis'!M7</f>
        <v>2.6523766030897726E-2</v>
      </c>
      <c r="F13" s="13">
        <f>'[17]Ratio Analysis'!N7</f>
        <v>2.620055844415704E-2</v>
      </c>
      <c r="G13" s="13">
        <f>'[17]Ratio Analysis'!O7</f>
        <v>2.5349155832490807E-2</v>
      </c>
      <c r="I13" s="13" t="s">
        <v>80</v>
      </c>
      <c r="J13" s="13">
        <f>'[17]Ratio Analysis'!Z7</f>
        <v>7.3702995252252823E-2</v>
      </c>
      <c r="K13" s="13">
        <f>'[17]Ratio Analysis'!AA7</f>
        <v>9.2686537208165082E-2</v>
      </c>
      <c r="L13" s="13">
        <f>'[17]Ratio Analysis'!AB7</f>
        <v>6.5617172951837444E-2</v>
      </c>
      <c r="M13" s="13">
        <f>'[17]Ratio Analysis'!AC7</f>
        <v>6.7271319832885507E-2</v>
      </c>
      <c r="N13" s="13">
        <f>'[17]Ratio Analysis'!AD7</f>
        <v>6.9015115753501083E-2</v>
      </c>
      <c r="O13" s="13">
        <f>'[17]Ratio Analysis'!AE7</f>
        <v>6.8011158501291996E-2</v>
      </c>
      <c r="Q13" s="13" t="s">
        <v>127</v>
      </c>
      <c r="R13" s="13">
        <f>[17]DCF!AN7/[17]DCF!AN4</f>
        <v>7.153285588307183E-2</v>
      </c>
      <c r="S13" s="13">
        <f>[17]DCF!AO7/[17]DCF!AO4</f>
        <v>7.153285588307183E-2</v>
      </c>
      <c r="T13" s="13">
        <f>[17]DCF!AP7/[17]DCF!AP4</f>
        <v>7.153285588307183E-2</v>
      </c>
      <c r="U13" s="13">
        <f>[17]DCF!AQ7/[17]DCF!AQ4</f>
        <v>7.153285588307183E-2</v>
      </c>
      <c r="V13" s="13">
        <f>[17]DCF!AR7/[17]DCF!AR4</f>
        <v>7.153285588307183E-2</v>
      </c>
    </row>
    <row r="14" spans="1:23" s="52" customFormat="1" x14ac:dyDescent="0.3">
      <c r="A14" s="13" t="s">
        <v>66</v>
      </c>
      <c r="B14" s="13">
        <f>'[17]Ratio Analysis'!J8</f>
        <v>0.11146525061728099</v>
      </c>
      <c r="C14" s="13">
        <f>'[17]Ratio Analysis'!K8</f>
        <v>0.18004625984653469</v>
      </c>
      <c r="D14" s="13">
        <f>'[17]Ratio Analysis'!L8</f>
        <v>0.12929760608766336</v>
      </c>
      <c r="E14" s="13">
        <f>'[17]Ratio Analysis'!M8</f>
        <v>9.5489901035303956E-2</v>
      </c>
      <c r="F14" s="13">
        <f>'[17]Ratio Analysis'!N8</f>
        <v>0.10521410427800647</v>
      </c>
      <c r="G14" s="13">
        <f>'[17]Ratio Analysis'!O8</f>
        <v>9.7959966049800368E-2</v>
      </c>
      <c r="I14" s="13" t="s">
        <v>66</v>
      </c>
      <c r="J14" s="13">
        <f>'[17]Ratio Analysis'!Z8</f>
        <v>0.20880128259800865</v>
      </c>
      <c r="K14" s="13">
        <f>'[17]Ratio Analysis'!AA8</f>
        <v>0.22953028491532365</v>
      </c>
      <c r="L14" s="13">
        <f>'[17]Ratio Analysis'!AB8</f>
        <v>0.13376240561889274</v>
      </c>
      <c r="M14" s="13">
        <f>'[17]Ratio Analysis'!AC8</f>
        <v>0.12597325990450942</v>
      </c>
      <c r="N14" s="13">
        <f>'[17]Ratio Analysis'!AD8</f>
        <v>0.15085712533587736</v>
      </c>
      <c r="O14" s="13">
        <f>'[17]Ratio Analysis'!AE8</f>
        <v>0.16217535367891162</v>
      </c>
      <c r="Q14" s="13" t="s">
        <v>113</v>
      </c>
      <c r="R14" s="69">
        <f>[17]DCF!AN9</f>
        <v>158.9943220772721</v>
      </c>
      <c r="S14" s="69">
        <f>[17]DCF!AO9</f>
        <v>181.80136738085167</v>
      </c>
      <c r="T14" s="69">
        <f>[17]DCF!AP9</f>
        <v>207.87998432726468</v>
      </c>
      <c r="U14" s="69">
        <f>[17]DCF!AQ9</f>
        <v>237.69946566669975</v>
      </c>
      <c r="V14" s="69">
        <f>[17]DCF!AR9</f>
        <v>271.79642215714813</v>
      </c>
    </row>
    <row r="15" spans="1:23" s="52" customFormat="1" x14ac:dyDescent="0.3">
      <c r="A15" s="13" t="s">
        <v>105</v>
      </c>
      <c r="B15" s="13">
        <f>'[17]Ratio Analysis'!J9</f>
        <v>0.15953210719633651</v>
      </c>
      <c r="C15" s="13">
        <f>'[17]Ratio Analysis'!K9</f>
        <v>0.17167085068751065</v>
      </c>
      <c r="D15" s="13">
        <f>'[17]Ratio Analysis'!L9</f>
        <v>0.12083077179564645</v>
      </c>
      <c r="E15" s="13">
        <f>'[17]Ratio Analysis'!M9</f>
        <v>0.13665838425894811</v>
      </c>
      <c r="F15" s="13">
        <f>'[17]Ratio Analysis'!N9</f>
        <v>0.15918360419451857</v>
      </c>
      <c r="G15" s="13">
        <f>'[17]Ratio Analysis'!O9</f>
        <v>0.15598320371239369</v>
      </c>
      <c r="I15" s="13" t="s">
        <v>105</v>
      </c>
      <c r="J15" s="13">
        <f>'[17]Ratio Analysis'!Z9</f>
        <v>0.26966774798920062</v>
      </c>
      <c r="K15" s="13">
        <f>'[17]Ratio Analysis'!AA9</f>
        <v>0.20955787177283555</v>
      </c>
      <c r="L15" s="13">
        <f>'[17]Ratio Analysis'!AB9</f>
        <v>0.10909608654005495</v>
      </c>
      <c r="M15" s="13">
        <f>'[17]Ratio Analysis'!AC9</f>
        <v>0.11991586719586005</v>
      </c>
      <c r="N15" s="13">
        <f>'[17]Ratio Analysis'!AD9</f>
        <v>0.14702731476003508</v>
      </c>
      <c r="O15" s="13">
        <f>'[17]Ratio Analysis'!AE9</f>
        <v>0.14890399046595634</v>
      </c>
    </row>
    <row r="16" spans="1:23" x14ac:dyDescent="0.3">
      <c r="A16" s="11" t="s">
        <v>119</v>
      </c>
      <c r="B16" s="12">
        <f>'[17]Ratio Analysis'!J14</f>
        <v>0.83795065762180376</v>
      </c>
      <c r="C16" s="12">
        <f>'[17]Ratio Analysis'!K14</f>
        <v>0.64837235095648016</v>
      </c>
      <c r="D16" s="12">
        <f>'[17]Ratio Analysis'!L14</f>
        <v>0.83960728652373418</v>
      </c>
      <c r="E16" s="12">
        <f>'[17]Ratio Analysis'!M14</f>
        <v>0.78452702040538069</v>
      </c>
      <c r="F16" s="12">
        <f>'[17]Ratio Analysis'!N14</f>
        <v>0.76458933541438079</v>
      </c>
      <c r="G16" s="12">
        <f>'[17]Ratio Analysis'!O14</f>
        <v>0.6475051245505391</v>
      </c>
      <c r="I16" s="11" t="s">
        <v>119</v>
      </c>
      <c r="J16" s="12">
        <f>'[17]Ratio Analysis'!Z14</f>
        <v>0.49420463878057358</v>
      </c>
      <c r="K16" s="12">
        <f>'[17]Ratio Analysis'!AA14</f>
        <v>0.39409559512652292</v>
      </c>
      <c r="L16" s="12">
        <f>'[17]Ratio Analysis'!AB14</f>
        <v>1.2945727298282244</v>
      </c>
      <c r="M16" s="12">
        <f>'[17]Ratio Analysis'!AC14</f>
        <v>1.1443136158332723</v>
      </c>
      <c r="N16" s="12">
        <f>'[17]Ratio Analysis'!AD14</f>
        <v>1.1120443500251489</v>
      </c>
      <c r="O16" s="12">
        <f>'[17]Ratio Analysis'!AE14</f>
        <v>1.1226621196135167</v>
      </c>
    </row>
    <row r="17" spans="1:19" s="52" customFormat="1" x14ac:dyDescent="0.3">
      <c r="A17" s="13" t="s">
        <v>126</v>
      </c>
      <c r="B17" s="13">
        <f>'[17]Ratio Analysis'!J26</f>
        <v>3.675113287232272E-2</v>
      </c>
      <c r="C17" s="13">
        <f>'[17]Ratio Analysis'!K26</f>
        <v>5.1461764565788201E-2</v>
      </c>
      <c r="D17" s="13">
        <f>'[17]Ratio Analysis'!L26</f>
        <v>2.7280493465085466E-2</v>
      </c>
      <c r="E17" s="13">
        <f>'[17]Ratio Analysis'!M26</f>
        <v>-7.0171951461910666E-3</v>
      </c>
      <c r="F17" s="13">
        <f>'[17]Ratio Analysis'!N26</f>
        <v>2.4955282822814343E-2</v>
      </c>
      <c r="G17" s="13">
        <f>'[17]Ratio Analysis'!O26</f>
        <v>1.5163377313517676E-2</v>
      </c>
      <c r="I17" s="13" t="s">
        <v>126</v>
      </c>
      <c r="J17" s="13">
        <f>'[17]Ratio Analysis'!Z26</f>
        <v>2.2034964928045023E-2</v>
      </c>
      <c r="K17" s="13">
        <f>'[17]Ratio Analysis'!AA26</f>
        <v>0.15089795893188049</v>
      </c>
      <c r="L17" s="13">
        <f>'[17]Ratio Analysis'!AB26</f>
        <v>0.10109648499943102</v>
      </c>
      <c r="M17" s="13">
        <f>'[17]Ratio Analysis'!AC26</f>
        <v>0.1000331937741729</v>
      </c>
      <c r="N17" s="13">
        <f>'[17]Ratio Analysis'!AD26</f>
        <v>6.1036501201619721E-2</v>
      </c>
      <c r="O17" s="13">
        <f>'[17]Ratio Analysis'!AE26</f>
        <v>1.8247877014354735E-2</v>
      </c>
    </row>
    <row r="19" spans="1:19" x14ac:dyDescent="0.3">
      <c r="A19" s="67" t="s">
        <v>82</v>
      </c>
      <c r="B19" s="68" t="s">
        <v>22</v>
      </c>
      <c r="C19" s="68" t="s">
        <v>23</v>
      </c>
      <c r="D19" s="68" t="s">
        <v>24</v>
      </c>
      <c r="E19" s="68" t="s">
        <v>25</v>
      </c>
      <c r="F19" s="68" t="s">
        <v>26</v>
      </c>
      <c r="I19" s="67" t="s">
        <v>82</v>
      </c>
      <c r="J19" s="68" t="s">
        <v>22</v>
      </c>
      <c r="K19" s="68" t="s">
        <v>23</v>
      </c>
      <c r="L19" s="68" t="s">
        <v>24</v>
      </c>
      <c r="M19" s="68" t="s">
        <v>25</v>
      </c>
      <c r="N19" s="68" t="s">
        <v>26</v>
      </c>
    </row>
    <row r="20" spans="1:19" x14ac:dyDescent="0.3">
      <c r="A20" s="11" t="s">
        <v>14</v>
      </c>
      <c r="B20" s="12">
        <f>[17]DCF!D4</f>
        <v>37359.649304940664</v>
      </c>
      <c r="C20" s="12">
        <f>[17]DCF!E4</f>
        <v>43101.008186625644</v>
      </c>
      <c r="D20" s="12">
        <f>[17]DCF!F4</f>
        <v>49724.688032815604</v>
      </c>
      <c r="E20" s="12">
        <f>[17]DCF!G4</f>
        <v>57366.282228360324</v>
      </c>
      <c r="F20" s="12">
        <f>[17]DCF!H4</f>
        <v>66182.221888090673</v>
      </c>
      <c r="I20" s="11" t="s">
        <v>14</v>
      </c>
      <c r="J20" s="12">
        <f>[17]DCF!V4</f>
        <v>24240.194467782138</v>
      </c>
      <c r="K20" s="12">
        <f>[17]DCF!W4</f>
        <v>26808.961756504636</v>
      </c>
      <c r="L20" s="12">
        <f>[17]DCF!X4</f>
        <v>29649.944905226977</v>
      </c>
      <c r="M20" s="12">
        <f>[17]DCF!Y4</f>
        <v>32791.991009114521</v>
      </c>
      <c r="N20" s="12">
        <f>[17]DCF!Z4</f>
        <v>36267.004130327434</v>
      </c>
      <c r="R20" s="52">
        <f>((F22*Table96[[#This Row],[2030]])-(B22*Table96[[#This Row],[2026]]))/(Table96[[#This Row],[2026]]*B22)</f>
        <v>0.77148937742673984</v>
      </c>
      <c r="S20" s="1">
        <f>(Table96[[#This Row],[2030]]/Table96[[#This Row],[2026]])^(1/5)-1</f>
        <v>0.12116029842583997</v>
      </c>
    </row>
    <row r="21" spans="1:19" s="52" customFormat="1" x14ac:dyDescent="0.3">
      <c r="A21" s="13" t="s">
        <v>94</v>
      </c>
      <c r="B21" s="13">
        <f>([17]DCF!D5+[17]DCF!D8)/[17]DCF!D4</f>
        <v>0.61270876627098347</v>
      </c>
      <c r="C21" s="13">
        <f>([17]DCF!E5+[17]DCF!E8)/[17]DCF!E4</f>
        <v>0.61270876627098347</v>
      </c>
      <c r="D21" s="13">
        <f>([17]DCF!F5+[17]DCF!F8)/[17]DCF!F4</f>
        <v>0.61270876627098347</v>
      </c>
      <c r="E21" s="13">
        <f>([17]DCF!G5+[17]DCF!G8)/[17]DCF!G4</f>
        <v>0.61270876627098347</v>
      </c>
      <c r="F21" s="13">
        <f>([17]DCF!H5+[17]DCF!H8)/[17]DCF!H4</f>
        <v>0.61270876627098358</v>
      </c>
      <c r="I21" s="13" t="s">
        <v>94</v>
      </c>
      <c r="J21" s="13">
        <f>([17]DCF!V5+[17]DCF!V8)/[17]DCF!V4</f>
        <v>7.1745207291065968E-2</v>
      </c>
      <c r="K21" s="13">
        <f>([17]DCF!W5+[17]DCF!W8)/[17]DCF!W4</f>
        <v>7.1745207291065968E-2</v>
      </c>
      <c r="L21" s="13">
        <f>([17]DCF!X5+[17]DCF!X8)/[17]DCF!X4</f>
        <v>7.1745207291065968E-2</v>
      </c>
      <c r="M21" s="13">
        <f>([17]DCF!Y5+[17]DCF!Y8)/[17]DCF!Y4</f>
        <v>7.1745207291065982E-2</v>
      </c>
      <c r="N21" s="13">
        <f>([17]DCF!Z5+[17]DCF!Z8)/[17]DCF!Z4</f>
        <v>7.1745207291065968E-2</v>
      </c>
      <c r="R21" s="52">
        <f>((F28*F26)-(B26*B28))/(B28*B26)</f>
        <v>0.4573444144499077</v>
      </c>
      <c r="S21" s="52">
        <f>(F26/B26)^(1/5)-1</f>
        <v>7.8232554612957861E-2</v>
      </c>
    </row>
    <row r="22" spans="1:19" s="52" customFormat="1" x14ac:dyDescent="0.3">
      <c r="A22" s="13" t="s">
        <v>127</v>
      </c>
      <c r="B22" s="13">
        <f>[17]DCF!D7/[17]DCF!D4</f>
        <v>0.35284188447646747</v>
      </c>
      <c r="C22" s="13">
        <f>[17]DCF!E7/[17]DCF!E4</f>
        <v>0.35284188447646747</v>
      </c>
      <c r="D22" s="13">
        <f>[17]DCF!F7/[17]DCF!F4</f>
        <v>0.35284188447646747</v>
      </c>
      <c r="E22" s="13">
        <f>[17]DCF!G7/[17]DCF!G4</f>
        <v>0.35284188447646747</v>
      </c>
      <c r="F22" s="13">
        <f>[17]DCF!H7/[17]DCF!H4</f>
        <v>0.35284188447646742</v>
      </c>
      <c r="I22" s="13" t="s">
        <v>127</v>
      </c>
      <c r="J22" s="13">
        <f>[17]DCF!V7/[17]DCF!V4</f>
        <v>4.6252502588621028E-2</v>
      </c>
      <c r="K22" s="13">
        <f>[17]DCF!W7/[17]DCF!W4</f>
        <v>4.6252502588621028E-2</v>
      </c>
      <c r="L22" s="13">
        <f>[17]DCF!X7/[17]DCF!X4</f>
        <v>4.6252502588621035E-2</v>
      </c>
      <c r="M22" s="13">
        <f>[17]DCF!Y7/[17]DCF!Y4</f>
        <v>4.6252502588621035E-2</v>
      </c>
      <c r="N22" s="13">
        <f>[17]DCF!Z7/[17]DCF!Z4</f>
        <v>4.6252502588621035E-2</v>
      </c>
      <c r="R22" s="52">
        <f>((Table9699[[#This Row],[2030]]*N20)-(Table9699[[#This Row],[2026]]*J20))/(J20*Table9699[[#This Row],[2026]])</f>
        <v>0.49615153370696929</v>
      </c>
      <c r="S22" s="52">
        <f>(N20/J20)^(1/5)-1</f>
        <v>8.3914725490586317E-2</v>
      </c>
    </row>
    <row r="23" spans="1:19" x14ac:dyDescent="0.3">
      <c r="A23" s="11" t="s">
        <v>113</v>
      </c>
      <c r="B23" s="12">
        <f>[17]DCF!D9</f>
        <v>9720.3360449885022</v>
      </c>
      <c r="C23" s="12">
        <f>[17]DCF!E9</f>
        <v>11214.138549110965</v>
      </c>
      <c r="D23" s="12">
        <f>[17]DCF!F9</f>
        <v>12937.505742251869</v>
      </c>
      <c r="E23" s="12">
        <f>[17]DCF!G9</f>
        <v>14925.716683255139</v>
      </c>
      <c r="F23" s="12">
        <f>[17]DCF!H9</f>
        <v>17219.472048715379</v>
      </c>
      <c r="I23" s="11" t="s">
        <v>113</v>
      </c>
      <c r="J23" s="12">
        <f>[17]DCF!V9</f>
        <v>278.76355252607192</v>
      </c>
      <c r="K23" s="12">
        <f>[17]DCF!W9</f>
        <v>308.30451582027302</v>
      </c>
      <c r="L23" s="12">
        <f>[17]DCF!X9</f>
        <v>340.97597628471567</v>
      </c>
      <c r="M23" s="12">
        <f>[17]DCF!Y9</f>
        <v>377.10967708008451</v>
      </c>
      <c r="N23" s="12">
        <f>[17]DCF!Z9</f>
        <v>417.07251665348571</v>
      </c>
      <c r="R23" s="52">
        <f>((N28*N26)-(J26*J28))/(J28*J26)</f>
        <v>0.45663210937346327</v>
      </c>
      <c r="S23" s="1">
        <f>(N26/J26)^(1/5)-1</f>
        <v>7.8127132625603446E-2</v>
      </c>
    </row>
    <row r="24" spans="1:19" x14ac:dyDescent="0.3">
      <c r="R24" s="52">
        <f>((V13*V11)-(R11*R13))/(R13*R11)</f>
        <v>0.70947250572289988</v>
      </c>
      <c r="S24" s="1">
        <f>(V11/R11)^(1/5)-1</f>
        <v>0.11319801703468824</v>
      </c>
    </row>
    <row r="25" spans="1:19" x14ac:dyDescent="0.3">
      <c r="A25" s="67" t="s">
        <v>82</v>
      </c>
      <c r="B25" s="68" t="s">
        <v>22</v>
      </c>
      <c r="C25" s="68" t="s">
        <v>23</v>
      </c>
      <c r="D25" s="68" t="s">
        <v>24</v>
      </c>
      <c r="E25" s="68" t="s">
        <v>25</v>
      </c>
      <c r="F25" s="68" t="s">
        <v>26</v>
      </c>
      <c r="I25" s="67" t="s">
        <v>82</v>
      </c>
      <c r="J25" s="68" t="s">
        <v>22</v>
      </c>
      <c r="K25" s="68" t="s">
        <v>23</v>
      </c>
      <c r="L25" s="68" t="s">
        <v>24</v>
      </c>
      <c r="M25" s="68" t="s">
        <v>25</v>
      </c>
      <c r="N25" s="68" t="s">
        <v>26</v>
      </c>
      <c r="Q25" s="141" t="s">
        <v>155</v>
      </c>
      <c r="R25" s="153">
        <f>AVERAGE(R20:R24)</f>
        <v>0.57821798813599601</v>
      </c>
      <c r="S25" s="153">
        <f>AVERAGE(S20:S24)</f>
        <v>9.4926545637935164E-2</v>
      </c>
    </row>
    <row r="26" spans="1:19" x14ac:dyDescent="0.3">
      <c r="A26" s="11" t="s">
        <v>14</v>
      </c>
      <c r="B26" s="12">
        <f>[17]DCF!M4</f>
        <v>24587.641119982261</v>
      </c>
      <c r="C26" s="12">
        <f>[17]DCF!N4</f>
        <v>27015.152020087469</v>
      </c>
      <c r="D26" s="12">
        <f>[17]DCF!O4</f>
        <v>29682.328414795189</v>
      </c>
      <c r="E26" s="12">
        <f>[17]DCF!P4</f>
        <v>32612.832216107785</v>
      </c>
      <c r="F26" s="12">
        <f>[17]DCF!Q4</f>
        <v>35832.661450705018</v>
      </c>
      <c r="I26" s="11" t="s">
        <v>14</v>
      </c>
      <c r="J26" s="12">
        <f>[17]DCF!AE4</f>
        <v>285479.99722991779</v>
      </c>
      <c r="K26" s="12">
        <f>[17]DCF!AF4</f>
        <v>313626.79044851416</v>
      </c>
      <c r="L26" s="12">
        <f>[17]DCF!AG4</f>
        <v>344548.70618419664</v>
      </c>
      <c r="M26" s="12">
        <f>[17]DCF!AH4</f>
        <v>378519.35660034837</v>
      </c>
      <c r="N26" s="12">
        <f>[17]DCF!AI4</f>
        <v>415839.33054894564</v>
      </c>
    </row>
    <row r="27" spans="1:19" s="52" customFormat="1" x14ac:dyDescent="0.3">
      <c r="A27" s="13" t="s">
        <v>94</v>
      </c>
      <c r="B27" s="13">
        <f>([17]DCF!M5+[17]DCF!M8)/[17]DCF!M4</f>
        <v>9.4692510915747874E-2</v>
      </c>
      <c r="C27" s="13">
        <f>([17]DCF!N5+[17]DCF!N8)/[17]DCF!N4</f>
        <v>9.4692510915747888E-2</v>
      </c>
      <c r="D27" s="13">
        <f>([17]DCF!O5+[17]DCF!O8)/[17]DCF!O4</f>
        <v>9.4692510915747874E-2</v>
      </c>
      <c r="E27" s="13">
        <f>([17]DCF!P5+[17]DCF!P8)/[17]DCF!P4</f>
        <v>9.4692510915747874E-2</v>
      </c>
      <c r="F27" s="13">
        <f>([17]DCF!Q5+[17]DCF!Q8)/[17]DCF!Q4</f>
        <v>9.4692510915747888E-2</v>
      </c>
      <c r="I27" s="13" t="s">
        <v>94</v>
      </c>
      <c r="J27" s="13">
        <f>([17]DCF!AE5+[17]DCF!AE8)/[17]DCF!AE4</f>
        <v>0.16094158381592483</v>
      </c>
      <c r="K27" s="13">
        <f>([17]DCF!AF5+[17]DCF!AF8)/[17]DCF!AF4</f>
        <v>0.1609415838159248</v>
      </c>
      <c r="L27" s="13">
        <f>([17]DCF!AG5+[17]DCF!AG8)/[17]DCF!AG4</f>
        <v>0.1609415838159248</v>
      </c>
      <c r="M27" s="13">
        <f>([17]DCF!AH5+[17]DCF!AH8)/[17]DCF!AH4</f>
        <v>0.16094158381592483</v>
      </c>
      <c r="N27" s="13">
        <f>([17]DCF!AI5+[17]DCF!AI8)/[17]DCF!AI4</f>
        <v>0.16094158381592483</v>
      </c>
    </row>
    <row r="28" spans="1:19" s="52" customFormat="1" x14ac:dyDescent="0.3">
      <c r="A28" s="13" t="s">
        <v>127</v>
      </c>
      <c r="B28" s="13">
        <f>[17]DCF!M7/[17]DCF!M4</f>
        <v>5.2652674618153178E-2</v>
      </c>
      <c r="C28" s="13">
        <f>[17]DCF!N7/[17]DCF!N4</f>
        <v>5.2652674618153185E-2</v>
      </c>
      <c r="D28" s="13">
        <f>[17]DCF!O7/[17]DCF!O4</f>
        <v>5.2652674618153178E-2</v>
      </c>
      <c r="E28" s="13">
        <f>[17]DCF!P7/[17]DCF!P4</f>
        <v>5.2652674618153178E-2</v>
      </c>
      <c r="F28" s="13">
        <f>[17]DCF!Q7/[17]DCF!Q4</f>
        <v>5.2652674618153185E-2</v>
      </c>
      <c r="I28" s="13" t="s">
        <v>127</v>
      </c>
      <c r="J28" s="13">
        <f>[17]DCF!AE7/[17]DCF!AE4</f>
        <v>0.10753721487536679</v>
      </c>
      <c r="K28" s="13">
        <f>[17]DCF!AF7/[17]DCF!AF4</f>
        <v>0.10753721487536679</v>
      </c>
      <c r="L28" s="13">
        <f>[17]DCF!AG7/[17]DCF!AG4</f>
        <v>0.10753721487536679</v>
      </c>
      <c r="M28" s="13">
        <f>[17]DCF!AH7/[17]DCF!AH4</f>
        <v>0.10753721487536679</v>
      </c>
      <c r="N28" s="13">
        <f>[17]DCF!AI7/[17]DCF!AI4</f>
        <v>0.10753721487536677</v>
      </c>
    </row>
    <row r="29" spans="1:19" x14ac:dyDescent="0.3">
      <c r="A29" s="11" t="s">
        <v>113</v>
      </c>
      <c r="B29" s="12">
        <f>[17]DCF!M9</f>
        <v>679.18973096111131</v>
      </c>
      <c r="C29" s="12">
        <f>[17]DCF!N9</f>
        <v>746.24538982249339</v>
      </c>
      <c r="D29" s="12">
        <f>[17]DCF!O9</f>
        <v>819.92138050039341</v>
      </c>
      <c r="E29" s="12">
        <f>[17]DCF!P9</f>
        <v>900.87132111004598</v>
      </c>
      <c r="F29" s="12">
        <f>[17]DCF!Q9</f>
        <v>989.81336076791104</v>
      </c>
      <c r="I29" s="11" t="s">
        <v>113</v>
      </c>
      <c r="J29" s="12">
        <f>[17]DCF!AE9</f>
        <v>5476.1132801226304</v>
      </c>
      <c r="K29" s="12">
        <f>[17]DCF!AF9</f>
        <v>6016.0286144116562</v>
      </c>
      <c r="L29" s="12">
        <f>[17]DCF!AG9</f>
        <v>6609.1766985158765</v>
      </c>
      <c r="M29" s="12">
        <f>[17]DCF!AH9</f>
        <v>7260.805995431102</v>
      </c>
      <c r="N29" s="12">
        <f>[17]DCF!AI9</f>
        <v>7976.6824383930634</v>
      </c>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F1DBE-F2D1-4B71-A196-135ACC705226}">
  <dimension ref="A1:AA27"/>
  <sheetViews>
    <sheetView workbookViewId="0">
      <selection activeCell="Z27" sqref="Z27"/>
    </sheetView>
  </sheetViews>
  <sheetFormatPr defaultRowHeight="14.4" x14ac:dyDescent="0.3"/>
  <cols>
    <col min="1" max="1" width="15.109375" style="1" bestFit="1" customWidth="1"/>
    <col min="2" max="7" width="10.88671875" style="1" bestFit="1" customWidth="1"/>
    <col min="8" max="8" width="8.88671875" style="1"/>
    <col min="9" max="9" width="15.109375" style="1" bestFit="1" customWidth="1"/>
    <col min="10" max="15" width="10.88671875" style="1" bestFit="1" customWidth="1"/>
    <col min="16" max="16" width="8.88671875" style="1"/>
    <col min="17" max="17" width="15.109375" style="1" bestFit="1" customWidth="1"/>
    <col min="18" max="23" width="10.88671875" style="1" bestFit="1" customWidth="1"/>
    <col min="24" max="16384" width="8.88671875" style="1"/>
  </cols>
  <sheetData>
    <row r="1" spans="1:23" x14ac:dyDescent="0.3">
      <c r="A1" s="70" t="s">
        <v>60</v>
      </c>
      <c r="B1" s="71" t="s">
        <v>16</v>
      </c>
      <c r="C1" s="71" t="s">
        <v>17</v>
      </c>
      <c r="D1" s="71" t="s">
        <v>18</v>
      </c>
      <c r="E1" s="71" t="s">
        <v>19</v>
      </c>
      <c r="F1" s="71" t="s">
        <v>20</v>
      </c>
      <c r="G1" s="71" t="s">
        <v>21</v>
      </c>
      <c r="I1" s="70" t="s">
        <v>60</v>
      </c>
      <c r="J1" s="71" t="s">
        <v>16</v>
      </c>
      <c r="K1" s="71" t="s">
        <v>17</v>
      </c>
      <c r="L1" s="71" t="s">
        <v>18</v>
      </c>
      <c r="M1" s="71" t="s">
        <v>19</v>
      </c>
      <c r="N1" s="71" t="s">
        <v>20</v>
      </c>
      <c r="O1" s="71" t="s">
        <v>21</v>
      </c>
      <c r="Q1" s="70" t="s">
        <v>60</v>
      </c>
      <c r="R1" s="71" t="s">
        <v>16</v>
      </c>
      <c r="S1" s="71" t="s">
        <v>17</v>
      </c>
      <c r="T1" s="71" t="s">
        <v>18</v>
      </c>
      <c r="U1" s="71" t="s">
        <v>19</v>
      </c>
      <c r="V1" s="71" t="s">
        <v>20</v>
      </c>
      <c r="W1" s="71" t="s">
        <v>21</v>
      </c>
    </row>
    <row r="2" spans="1:23" x14ac:dyDescent="0.3">
      <c r="A2" s="11" t="s">
        <v>14</v>
      </c>
      <c r="B2" s="12">
        <f>'[18]Income Statement'!B9</f>
        <v>102525.3</v>
      </c>
      <c r="C2" s="12">
        <f>'[18]Income Statement'!C9</f>
        <v>93818.390000000014</v>
      </c>
      <c r="D2" s="12">
        <f>'[18]Income Statement'!D9</f>
        <v>113596.83000000002</v>
      </c>
      <c r="E2" s="12">
        <f>'[18]Income Statement'!E9</f>
        <v>144802.57</v>
      </c>
      <c r="F2" s="12">
        <f>'[18]Income Statement'!F9</f>
        <v>152731.49999999997</v>
      </c>
      <c r="G2" s="12">
        <f>'[18]Income Statement'!G9</f>
        <v>152838.97999999998</v>
      </c>
      <c r="I2" s="11" t="s">
        <v>14</v>
      </c>
      <c r="J2" s="12">
        <f>'[18]Income Statement'!R11</f>
        <v>73872</v>
      </c>
      <c r="K2" s="12">
        <f>'[18]Income Statement'!S11</f>
        <v>80431</v>
      </c>
      <c r="L2" s="12">
        <f>'[18]Income Statement'!T11</f>
        <v>147902</v>
      </c>
      <c r="M2" s="12">
        <f>'[18]Income Statement'!U11</f>
        <v>166990</v>
      </c>
      <c r="N2" s="12">
        <f>'[18]Income Statement'!V11</f>
        <v>176010</v>
      </c>
      <c r="O2" s="12">
        <f>'[18]Income Statement'!W11</f>
        <v>169518</v>
      </c>
      <c r="Q2" s="11" t="s">
        <v>14</v>
      </c>
      <c r="R2" s="12">
        <f>'[18]Income Statement'!AH8</f>
        <v>62569.950000000004</v>
      </c>
      <c r="S2" s="12">
        <f>'[18]Income Statement'!AI8</f>
        <v>69974.28</v>
      </c>
      <c r="T2" s="12">
        <f>'[18]Income Statement'!AJ8</f>
        <v>104335.39</v>
      </c>
      <c r="U2" s="12">
        <f>'[18]Income Statement'!AK8</f>
        <v>105398.08</v>
      </c>
      <c r="V2" s="12">
        <f>'[18]Income Statement'!AL8</f>
        <v>106445.29000000001</v>
      </c>
      <c r="W2" s="12">
        <f>'[18]Income Statement'!AM8</f>
        <v>103354.09</v>
      </c>
    </row>
    <row r="3" spans="1:23" s="52" customFormat="1" x14ac:dyDescent="0.3">
      <c r="A3" s="13" t="s">
        <v>94</v>
      </c>
      <c r="B3" s="13">
        <f>'[18]Financial Ratios'!B14</f>
        <v>0.23970093235523346</v>
      </c>
      <c r="C3" s="13">
        <f>'[18]Financial Ratios'!C14</f>
        <v>0.19886186492861371</v>
      </c>
      <c r="D3" s="13">
        <f>'[18]Financial Ratios'!D14</f>
        <v>0.21273797869183506</v>
      </c>
      <c r="E3" s="13">
        <f>'[18]Financial Ratios'!E14</f>
        <v>0.26721390373112847</v>
      </c>
      <c r="F3" s="13">
        <f>'[18]Financial Ratios'!F14</f>
        <v>0.32216766024035631</v>
      </c>
      <c r="G3" s="13">
        <f>'[18]Financial Ratios'!G14</f>
        <v>0.31004904638855874</v>
      </c>
      <c r="I3" s="13" t="s">
        <v>94</v>
      </c>
      <c r="J3" s="13">
        <f>'[18]Financial Ratios'!R14</f>
        <v>0.11063731860515487</v>
      </c>
      <c r="K3" s="13">
        <f>'[18]Financial Ratios'!S14</f>
        <v>0.19959965684872749</v>
      </c>
      <c r="L3" s="13">
        <f>'[18]Financial Ratios'!T14</f>
        <v>0.23351273140322645</v>
      </c>
      <c r="M3" s="13">
        <f>'[18]Financial Ratios'!U14</f>
        <v>7.2477393855919517E-2</v>
      </c>
      <c r="N3" s="13">
        <f>'[18]Financial Ratios'!V14</f>
        <v>0.11969774444633828</v>
      </c>
      <c r="O3" s="13">
        <f>'[18]Financial Ratios'!W14</f>
        <v>8.4291933599971683E-2</v>
      </c>
      <c r="Q3" s="13" t="s">
        <v>94</v>
      </c>
      <c r="R3" s="13">
        <f>'[18]Financial Ratios'!AH14</f>
        <v>0.11772072696238364</v>
      </c>
      <c r="S3" s="13">
        <f>'[18]Financial Ratios'!AI14</f>
        <v>0.13571600879637483</v>
      </c>
      <c r="T3" s="13">
        <f>'[18]Financial Ratios'!AJ14</f>
        <v>0.17180220441021979</v>
      </c>
      <c r="U3" s="13">
        <f>'[18]Financial Ratios'!AK14</f>
        <v>3.8200411240887869E-2</v>
      </c>
      <c r="V3" s="13">
        <f>'[18]Financial Ratios'!AL14</f>
        <v>6.5178083501862868E-2</v>
      </c>
      <c r="W3" s="13">
        <f>'[18]Financial Ratios'!AM14</f>
        <v>5.6800461404091646E-2</v>
      </c>
    </row>
    <row r="4" spans="1:23" s="52" customFormat="1" x14ac:dyDescent="0.3">
      <c r="A4" s="13" t="s">
        <v>97</v>
      </c>
      <c r="B4" s="13">
        <f>'[18]Financial Ratios'!B15</f>
        <v>0.16288994033667809</v>
      </c>
      <c r="C4" s="13">
        <f>'[18]Financial Ratios'!C15</f>
        <v>0.13539104646754227</v>
      </c>
      <c r="D4" s="13">
        <f>'[18]Financial Ratios'!D15</f>
        <v>0.15298331828449796</v>
      </c>
      <c r="E4" s="13">
        <f>'[18]Financial Ratios'!E15</f>
        <v>0.19422956374324016</v>
      </c>
      <c r="F4" s="13">
        <f>'[18]Financial Ratios'!F15</f>
        <v>0.24467205520799562</v>
      </c>
      <c r="G4" s="13">
        <f>'[18]Financial Ratios'!G15</f>
        <v>0.23097576285840166</v>
      </c>
      <c r="I4" s="13" t="s">
        <v>97</v>
      </c>
      <c r="J4" s="13">
        <f>'[18]Financial Ratios'!R15</f>
        <v>5.3051223738358244E-2</v>
      </c>
      <c r="K4" s="13">
        <f>'[18]Financial Ratios'!S15</f>
        <v>9.7885143787842993E-2</v>
      </c>
      <c r="L4" s="13">
        <f>'[18]Financial Ratios'!T15</f>
        <v>0.14156671309380536</v>
      </c>
      <c r="M4" s="13">
        <f>'[18]Financial Ratios'!U15</f>
        <v>2.4785915324270914E-2</v>
      </c>
      <c r="N4" s="13">
        <f>'[18]Financial Ratios'!V15</f>
        <v>5.0980057951252766E-2</v>
      </c>
      <c r="O4" s="13">
        <f>'[18]Financial Ratios'!W15</f>
        <v>2.0593683266673747E-2</v>
      </c>
      <c r="Q4" s="13" t="s">
        <v>97</v>
      </c>
      <c r="R4" s="13">
        <f>'[18]Financial Ratios'!AH15</f>
        <v>3.3893426477086798E-2</v>
      </c>
      <c r="S4" s="13">
        <f>'[18]Financial Ratios'!AI15</f>
        <v>5.9280781452842324E-2</v>
      </c>
      <c r="T4" s="13">
        <f>'[18]Financial Ratios'!AJ15</f>
        <v>0.11734723951288248</v>
      </c>
      <c r="U4" s="13">
        <f>'[18]Financial Ratios'!AK15</f>
        <v>2.0650565930612767E-2</v>
      </c>
      <c r="V4" s="13">
        <f>'[18]Financial Ratios'!AL15</f>
        <v>2.8809823337415941E-2</v>
      </c>
      <c r="W4" s="13">
        <f>'[18]Financial Ratios'!AM15</f>
        <v>2.2948293579867173E-2</v>
      </c>
    </row>
    <row r="5" spans="1:23" s="52" customFormat="1" x14ac:dyDescent="0.3">
      <c r="A5" s="13" t="s">
        <v>66</v>
      </c>
      <c r="B5" s="13">
        <f>'[18]Financial Ratios'!B17</f>
        <v>0.51305151915455816</v>
      </c>
      <c r="C5" s="13">
        <f>'[18]Financial Ratios'!C17</f>
        <v>0.34368793704496198</v>
      </c>
      <c r="D5" s="13">
        <f>'[18]Financial Ratios'!D17</f>
        <v>0.39661518188330858</v>
      </c>
      <c r="E5" s="13">
        <f>'[18]Financial Ratios'!E17</f>
        <v>0.48478261956230018</v>
      </c>
      <c r="F5" s="13">
        <f>'[18]Financial Ratios'!F17</f>
        <v>0.44709596216405678</v>
      </c>
      <c r="G5" s="13">
        <f>'[18]Financial Ratios'!G17</f>
        <v>0.35319516053365907</v>
      </c>
      <c r="I5" s="13" t="s">
        <v>66</v>
      </c>
      <c r="J5" s="13">
        <f>'[18]Financial Ratios'!R17</f>
        <v>0.10878858538751943</v>
      </c>
      <c r="K5" s="13">
        <f>'[18]Financial Ratios'!S17</f>
        <v>0.1706143677538195</v>
      </c>
      <c r="L5" s="13">
        <f>'[18]Financial Ratios'!T17</f>
        <v>0.3055081345298023</v>
      </c>
      <c r="M5" s="13">
        <f>'[18]Financial Ratios'!U17</f>
        <v>6.1740181088620054E-2</v>
      </c>
      <c r="N5" s="13">
        <f>'[18]Financial Ratios'!V17</f>
        <v>0.1124774368231047</v>
      </c>
      <c r="O5" s="13">
        <f>'[18]Financial Ratios'!W17</f>
        <v>4.2747287732961083E-2</v>
      </c>
      <c r="Q5" s="13" t="s">
        <v>66</v>
      </c>
      <c r="R5" s="13">
        <f>'[18]Financial Ratios'!AH17</f>
        <v>5.1088839765802301E-2</v>
      </c>
      <c r="S5" s="13">
        <f>'[18]Financial Ratios'!AI17</f>
        <v>9.1355965910404707E-2</v>
      </c>
      <c r="T5" s="13">
        <f>'[18]Financial Ratios'!AJ17</f>
        <v>0.22584556947034859</v>
      </c>
      <c r="U5" s="13">
        <f>'[18]Financial Ratios'!AK17</f>
        <v>3.9756383400783371E-2</v>
      </c>
      <c r="V5" s="13">
        <f>'[18]Financial Ratios'!AL17</f>
        <v>5.3705848367889934E-2</v>
      </c>
      <c r="W5" s="13">
        <f>'[18]Financial Ratios'!AM17</f>
        <v>4.0264423076923316E-2</v>
      </c>
    </row>
    <row r="6" spans="1:23" s="52" customFormat="1" x14ac:dyDescent="0.3">
      <c r="A6" s="13" t="s">
        <v>65</v>
      </c>
      <c r="B6" s="13">
        <f>'[18]Financial Ratios'!B16</f>
        <v>0.11109306162785423</v>
      </c>
      <c r="C6" s="13">
        <f>'[18]Financial Ratios'!C16</f>
        <v>7.8515232659921677E-2</v>
      </c>
      <c r="D6" s="13">
        <f>'[18]Financial Ratios'!D16</f>
        <v>9.6419461235852627E-2</v>
      </c>
      <c r="E6" s="13">
        <f>'[18]Financial Ratios'!E16</f>
        <v>0.13316313036719579</v>
      </c>
      <c r="F6" s="13">
        <f>'[18]Financial Ratios'!F16</f>
        <v>0.1572296657590582</v>
      </c>
      <c r="G6" s="13">
        <f>'[18]Financial Ratios'!G16</f>
        <v>0.13567379380585662</v>
      </c>
      <c r="I6" s="13" t="s">
        <v>65</v>
      </c>
      <c r="J6" s="13">
        <f>'[18]Financial Ratios'!R16</f>
        <v>2.9729934759520557E-2</v>
      </c>
      <c r="K6" s="13">
        <f>'[18]Financial Ratios'!S16</f>
        <v>5.3082249506125397E-2</v>
      </c>
      <c r="L6" s="13">
        <f>'[18]Financial Ratios'!T16</f>
        <v>0.10656284194722243</v>
      </c>
      <c r="M6" s="13">
        <f>'[18]Financial Ratios'!U16</f>
        <v>1.9608864969347824E-2</v>
      </c>
      <c r="N6" s="13">
        <f>'[18]Financial Ratios'!V16</f>
        <v>3.9321115873057609E-2</v>
      </c>
      <c r="O6" s="13">
        <f>'[18]Financial Ratios'!W16</f>
        <v>1.4501001071686701E-2</v>
      </c>
      <c r="Q6" s="13" t="s">
        <v>65</v>
      </c>
      <c r="R6" s="13">
        <f>'[18]Financial Ratios'!AH16</f>
        <v>1.6708023563661922E-2</v>
      </c>
      <c r="S6" s="13">
        <f>'[18]Financial Ratios'!AI16</f>
        <v>3.4786361993081993E-2</v>
      </c>
      <c r="T6" s="13">
        <f>'[18]Financial Ratios'!AJ16</f>
        <v>0.10193622266152645</v>
      </c>
      <c r="U6" s="13">
        <f>'[18]Financial Ratios'!AK16</f>
        <v>1.668080792396813E-2</v>
      </c>
      <c r="V6" s="13">
        <f>'[18]Financial Ratios'!AL16</f>
        <v>2.1794477635976486E-2</v>
      </c>
      <c r="W6" s="13">
        <f>'[18]Financial Ratios'!AM16</f>
        <v>1.7392268470100839E-2</v>
      </c>
    </row>
    <row r="7" spans="1:23" x14ac:dyDescent="0.3">
      <c r="A7" s="11" t="s">
        <v>119</v>
      </c>
      <c r="B7" s="12">
        <f>'[18]Financial Ratios'!B9</f>
        <v>0.19741298270406438</v>
      </c>
      <c r="C7" s="12">
        <f>'[18]Financial Ratios'!C9</f>
        <v>0.15897045438065024</v>
      </c>
      <c r="D7" s="12">
        <f>'[18]Financial Ratios'!D9</f>
        <v>7.5536272249726893E-2</v>
      </c>
      <c r="E7" s="12">
        <f>'[18]Financial Ratios'!E9</f>
        <v>7.0924581108140441E-2</v>
      </c>
      <c r="F7" s="12">
        <f>'[18]Financial Ratios'!F9</f>
        <v>7.5243802785052744E-2</v>
      </c>
      <c r="G7" s="12">
        <f>'[18]Financial Ratios'!G9</f>
        <v>8.9127948991647776E-2</v>
      </c>
      <c r="I7" s="11" t="s">
        <v>119</v>
      </c>
      <c r="J7" s="12">
        <f>'[18]Financial Ratios'!R9</f>
        <v>1.4711858760826115</v>
      </c>
      <c r="K7" s="12">
        <f>'[18]Financial Ratios'!S9</f>
        <v>1.12103153104345</v>
      </c>
      <c r="L7" s="12">
        <f>'[18]Financial Ratios'!T9</f>
        <v>1.0210111621799081</v>
      </c>
      <c r="M7" s="12">
        <f>'[18]Financial Ratios'!U9</f>
        <v>1.1760616954310177</v>
      </c>
      <c r="N7" s="12">
        <f>'[18]Financial Ratios'!V9</f>
        <v>1.0726910348977137</v>
      </c>
      <c r="O7" s="12">
        <f>'[18]Financial Ratios'!W9</f>
        <v>1.174993265251145</v>
      </c>
      <c r="Q7" s="11" t="s">
        <v>119</v>
      </c>
      <c r="R7" s="12">
        <f>'[18]Financial Ratios'!AH9</f>
        <v>1.2334501077324536</v>
      </c>
      <c r="S7" s="12">
        <f>'[18]Financial Ratios'!AI9</f>
        <v>0.78351076493247718</v>
      </c>
      <c r="T7" s="12">
        <f>'[18]Financial Ratios'!AJ9</f>
        <v>0.24691445701102477</v>
      </c>
      <c r="U7" s="12">
        <f>'[18]Financial Ratios'!AK9</f>
        <v>0.46873673435539831</v>
      </c>
      <c r="V7" s="12">
        <f>'[18]Financial Ratios'!AL9</f>
        <v>0.53590737012144918</v>
      </c>
      <c r="W7" s="12">
        <f>'[18]Financial Ratios'!AM9</f>
        <v>0.50608295306388529</v>
      </c>
    </row>
    <row r="9" spans="1:23" x14ac:dyDescent="0.3">
      <c r="A9" s="70" t="s">
        <v>60</v>
      </c>
      <c r="B9" s="71" t="s">
        <v>16</v>
      </c>
      <c r="C9" s="71" t="s">
        <v>17</v>
      </c>
      <c r="D9" s="71" t="s">
        <v>18</v>
      </c>
      <c r="E9" s="71" t="s">
        <v>19</v>
      </c>
      <c r="F9" s="71" t="s">
        <v>20</v>
      </c>
      <c r="G9" s="71" t="s">
        <v>21</v>
      </c>
      <c r="I9" s="70" t="s">
        <v>60</v>
      </c>
      <c r="J9" s="71" t="s">
        <v>16</v>
      </c>
      <c r="K9" s="71" t="s">
        <v>17</v>
      </c>
      <c r="L9" s="71" t="s">
        <v>18</v>
      </c>
      <c r="M9" s="71" t="s">
        <v>19</v>
      </c>
      <c r="N9" s="71" t="s">
        <v>20</v>
      </c>
      <c r="O9" s="71" t="s">
        <v>21</v>
      </c>
      <c r="Q9" s="70" t="s">
        <v>60</v>
      </c>
      <c r="R9" s="71" t="s">
        <v>16</v>
      </c>
      <c r="S9" s="71" t="s">
        <v>17</v>
      </c>
      <c r="T9" s="71" t="s">
        <v>18</v>
      </c>
      <c r="U9" s="71" t="s">
        <v>19</v>
      </c>
      <c r="V9" s="71" t="s">
        <v>20</v>
      </c>
      <c r="W9" s="71" t="s">
        <v>21</v>
      </c>
    </row>
    <row r="10" spans="1:23" x14ac:dyDescent="0.3">
      <c r="A10" s="11" t="s">
        <v>14</v>
      </c>
      <c r="B10" s="12">
        <f>'[18]Income Statement'!J9</f>
        <v>20495</v>
      </c>
      <c r="C10" s="12">
        <f>'[18]Income Statement'!K9</f>
        <v>24448</v>
      </c>
      <c r="D10" s="12">
        <f>'[18]Income Statement'!L9</f>
        <v>30656</v>
      </c>
      <c r="E10" s="12">
        <f>'[18]Income Statement'!M9</f>
        <v>35477</v>
      </c>
      <c r="F10" s="12">
        <f>'[18]Income Statement'!N9</f>
        <v>30006</v>
      </c>
      <c r="G10" s="12">
        <f>'[18]Income Statement'!O9</f>
        <v>35066</v>
      </c>
      <c r="I10" s="11" t="s">
        <v>14</v>
      </c>
      <c r="J10" s="12">
        <f>'[18]Income Statement'!Z8</f>
        <v>150792.99</v>
      </c>
      <c r="K10" s="12">
        <f>'[18]Income Statement'!AA8</f>
        <v>157189.78</v>
      </c>
      <c r="L10" s="12">
        <f>'[18]Income Statement'!AB8</f>
        <v>244744.06000000003</v>
      </c>
      <c r="M10" s="12">
        <f>'[18]Income Statement'!AC8</f>
        <v>244390.17</v>
      </c>
      <c r="N10" s="12">
        <f>'[18]Income Statement'!AD8</f>
        <v>230979.63</v>
      </c>
      <c r="O10" s="12">
        <f>'[18]Income Statement'!AE8</f>
        <v>220083.04</v>
      </c>
      <c r="Q10" s="11" t="s">
        <v>14</v>
      </c>
      <c r="R10" s="12">
        <f>'[18]Income Statement'!AP8</f>
        <v>12213.58</v>
      </c>
      <c r="S10" s="12">
        <f>'[18]Income Statement'!AQ8</f>
        <v>15721.66</v>
      </c>
      <c r="T10" s="12">
        <f>'[18]Income Statement'!AR8</f>
        <v>26683.31</v>
      </c>
      <c r="U10" s="12">
        <f>'[18]Income Statement'!AS8</f>
        <v>18435.100000000002</v>
      </c>
      <c r="V10" s="12">
        <f>'[18]Income Statement'!AT8</f>
        <v>22678.53</v>
      </c>
      <c r="W10" s="12">
        <f>'[18]Income Statement'!AU8</f>
        <v>25498.84</v>
      </c>
    </row>
    <row r="11" spans="1:23" s="52" customFormat="1" x14ac:dyDescent="0.3">
      <c r="A11" s="13" t="s">
        <v>94</v>
      </c>
      <c r="B11" s="13">
        <f>'[18]Financial Ratios'!J14</f>
        <v>0.41483288606977309</v>
      </c>
      <c r="C11" s="13">
        <f>'[18]Financial Ratios'!K14</f>
        <v>0.44829842931937175</v>
      </c>
      <c r="D11" s="13">
        <f>'[18]Financial Ratios'!L14</f>
        <v>0.46940240083507306</v>
      </c>
      <c r="E11" s="13">
        <f>'[18]Financial Ratios'!M14</f>
        <v>0.44031344251205007</v>
      </c>
      <c r="F11" s="13">
        <f>'[18]Financial Ratios'!N14</f>
        <v>0.37532493501299741</v>
      </c>
      <c r="G11" s="13">
        <f>'[18]Financial Ratios'!O14</f>
        <v>0.41772657274853137</v>
      </c>
      <c r="I11" s="13" t="s">
        <v>94</v>
      </c>
      <c r="J11" s="13">
        <f>'[18]Financial Ratios'!Z14</f>
        <v>7.3804160259704335E-2</v>
      </c>
      <c r="K11" s="13">
        <f>'[18]Financial Ratios'!AA14</f>
        <v>0.14309810726880595</v>
      </c>
      <c r="L11" s="13">
        <f>'[18]Financial Ratios'!AB14</f>
        <v>0.22808778280461645</v>
      </c>
      <c r="M11" s="13">
        <f>'[18]Financial Ratios'!AC14</f>
        <v>9.9924477322471644E-2</v>
      </c>
      <c r="N11" s="13">
        <f>'[18]Financial Ratios'!AD14</f>
        <v>6.1367359537289022E-2</v>
      </c>
      <c r="O11" s="13">
        <f>'[18]Financial Ratios'!AE14</f>
        <v>7.5464515575575652E-2</v>
      </c>
      <c r="Q11" s="13" t="s">
        <v>94</v>
      </c>
      <c r="R11" s="13">
        <f>'[18]Financial Ratios'!AP14</f>
        <v>0.5093797232261138</v>
      </c>
      <c r="S11" s="13">
        <f>'[18]Financial Ratios'!AQ14</f>
        <v>0.56688225034760964</v>
      </c>
      <c r="T11" s="13">
        <f>'[18]Financial Ratios'!AR14</f>
        <v>0.4892665115384861</v>
      </c>
      <c r="U11" s="13">
        <f>'[18]Financial Ratios'!AS14</f>
        <v>0.35175127881053003</v>
      </c>
      <c r="V11" s="13">
        <f>'[18]Financial Ratios'!AT14</f>
        <v>0.36656035466143533</v>
      </c>
      <c r="W11" s="13">
        <f>'[18]Financial Ratios'!AU14</f>
        <v>0.3655683944838275</v>
      </c>
    </row>
    <row r="12" spans="1:23" s="52" customFormat="1" x14ac:dyDescent="0.3">
      <c r="A12" s="13" t="s">
        <v>97</v>
      </c>
      <c r="B12" s="13">
        <f>'[18]Financial Ratios'!J15</f>
        <v>0.33203220297633568</v>
      </c>
      <c r="C12" s="13">
        <f>'[18]Financial Ratios'!K15</f>
        <v>0.32640706806282721</v>
      </c>
      <c r="D12" s="13">
        <f>'[18]Financial Ratios'!L15</f>
        <v>0.31409838204592899</v>
      </c>
      <c r="E12" s="13">
        <f>'[18]Financial Ratios'!M15</f>
        <v>0.29627646080559233</v>
      </c>
      <c r="F12" s="13">
        <f>'[18]Financial Ratios'!N15</f>
        <v>0.25858161700993132</v>
      </c>
      <c r="G12" s="13">
        <f>'[18]Financial Ratios'!O15</f>
        <v>0.29524325557520104</v>
      </c>
      <c r="I12" s="13" t="s">
        <v>97</v>
      </c>
      <c r="J12" s="13">
        <f>'[18]Financial Ratios'!Z15</f>
        <v>7.7705866831076983E-3</v>
      </c>
      <c r="K12" s="13">
        <f>'[18]Financial Ratios'!AA15</f>
        <v>5.2101288009945741E-2</v>
      </c>
      <c r="L12" s="13">
        <f>'[18]Financial Ratios'!AB15</f>
        <v>0.1705835884229428</v>
      </c>
      <c r="M12" s="13">
        <f>'[18]Financial Ratios'!AC15</f>
        <v>3.3042859293399514E-2</v>
      </c>
      <c r="N12" s="13">
        <f>'[18]Financial Ratios'!AD15</f>
        <v>-2.1255597300939521E-2</v>
      </c>
      <c r="O12" s="13">
        <f>'[18]Financial Ratios'!AE15</f>
        <v>1.4420829519621505E-2</v>
      </c>
      <c r="Q12" s="13" t="s">
        <v>97</v>
      </c>
      <c r="R12" s="13">
        <f>'[18]Financial Ratios'!AP15</f>
        <v>0.29487832396398106</v>
      </c>
      <c r="S12" s="13">
        <f>'[18]Financial Ratios'!AQ15</f>
        <v>0.39737979322794159</v>
      </c>
      <c r="T12" s="13">
        <f>'[18]Financial Ratios'!AR15</f>
        <v>0.3537949377344865</v>
      </c>
      <c r="U12" s="13">
        <f>'[18]Financial Ratios'!AS15</f>
        <v>0.30039001686999273</v>
      </c>
      <c r="V12" s="13">
        <f>'[18]Financial Ratios'!AT15</f>
        <v>0.24566186609096807</v>
      </c>
      <c r="W12" s="13">
        <f>'[18]Financial Ratios'!AU15</f>
        <v>0.25643597904845866</v>
      </c>
    </row>
    <row r="13" spans="1:23" s="52" customFormat="1" x14ac:dyDescent="0.3">
      <c r="A13" s="13" t="s">
        <v>66</v>
      </c>
      <c r="B13" s="13">
        <f>'[18]Financial Ratios'!J17</f>
        <v>0.16881667080129001</v>
      </c>
      <c r="C13" s="13">
        <f>'[18]Financial Ratios'!K17</f>
        <v>0.24695942809395599</v>
      </c>
      <c r="D13" s="13">
        <f>'[18]Financial Ratios'!L17</f>
        <v>0.28088445494588837</v>
      </c>
      <c r="E13" s="13">
        <f>'[18]Financial Ratios'!M17</f>
        <v>0.81278997834828337</v>
      </c>
      <c r="F13" s="13">
        <f>'[18]Financial Ratios'!N17</f>
        <v>0.51062849621586048</v>
      </c>
      <c r="G13" s="13">
        <f>'[18]Financial Ratios'!O17</f>
        <v>0.7769022962629446</v>
      </c>
      <c r="I13" s="13" t="s">
        <v>66</v>
      </c>
      <c r="J13" s="13">
        <f>'[18]Financial Ratios'!Z17</f>
        <v>1.5384787081374161E-2</v>
      </c>
      <c r="K13" s="13">
        <f>'[18]Financial Ratios'!AA17</f>
        <v>0.10566318898133055</v>
      </c>
      <c r="L13" s="13">
        <f>'[18]Financial Ratios'!AB17</f>
        <v>0.35653175968326156</v>
      </c>
      <c r="M13" s="13">
        <f>'[18]Financial Ratios'!AC17</f>
        <v>7.6779975053056587E-2</v>
      </c>
      <c r="N13" s="13">
        <f>'[18]Financial Ratios'!AD17</f>
        <v>-5.3115487001683705E-2</v>
      </c>
      <c r="O13" s="13">
        <f>'[18]Financial Ratios'!AE17</f>
        <v>3.4742018797895811E-2</v>
      </c>
      <c r="Q13" s="13" t="s">
        <v>66</v>
      </c>
      <c r="R13" s="13">
        <f>'[18]Financial Ratios'!AP17</f>
        <v>0.13010745229961793</v>
      </c>
      <c r="S13" s="13">
        <f>'[18]Financial Ratios'!AQ17</f>
        <v>0.20896232773277043</v>
      </c>
      <c r="T13" s="13">
        <f>'[18]Financial Ratios'!AR17</f>
        <v>0.52354575553053795</v>
      </c>
      <c r="U13" s="13">
        <f>'[18]Financial Ratios'!AS17</f>
        <v>0.24465232254741115</v>
      </c>
      <c r="V13" s="13">
        <f>'[18]Financial Ratios'!AT17</f>
        <v>0.2170089016009483</v>
      </c>
      <c r="W13" s="13">
        <f>'[18]Financial Ratios'!AU17</f>
        <v>0.22010907800740426</v>
      </c>
    </row>
    <row r="14" spans="1:23" s="52" customFormat="1" x14ac:dyDescent="0.3">
      <c r="A14" s="13" t="s">
        <v>65</v>
      </c>
      <c r="B14" s="13">
        <f>'[18]Financial Ratios'!J16</f>
        <v>0.14486428951569985</v>
      </c>
      <c r="C14" s="13">
        <f>'[18]Financial Ratios'!K16</f>
        <v>0.17451396330395608</v>
      </c>
      <c r="D14" s="13">
        <f>'[18]Financial Ratios'!L16</f>
        <v>0.21555854040743228</v>
      </c>
      <c r="E14" s="13">
        <f>'[18]Financial Ratios'!M16</f>
        <v>0.30383003324179797</v>
      </c>
      <c r="F14" s="13">
        <f>'[18]Financial Ratios'!N16</f>
        <v>0.2289128189998525</v>
      </c>
      <c r="G14" s="13">
        <f>'[18]Financial Ratios'!O16</f>
        <v>0.30017396346767178</v>
      </c>
      <c r="I14" s="13" t="s">
        <v>65</v>
      </c>
      <c r="J14" s="13">
        <f>'[18]Financial Ratios'!Z16</f>
        <v>4.6791676348792973E-3</v>
      </c>
      <c r="K14" s="13">
        <f>'[18]Financial Ratios'!AA16</f>
        <v>3.3361371453934439E-2</v>
      </c>
      <c r="L14" s="13">
        <f>'[18]Financial Ratios'!AB16</f>
        <v>0.14626016305733922</v>
      </c>
      <c r="M14" s="13">
        <f>'[18]Financial Ratios'!AC16</f>
        <v>2.8037293295985186E-2</v>
      </c>
      <c r="N14" s="13">
        <f>'[18]Financial Ratios'!AD16</f>
        <v>-1.7956064493359243E-2</v>
      </c>
      <c r="O14" s="13">
        <f>'[18]Financial Ratios'!AE16</f>
        <v>1.135948127882137E-2</v>
      </c>
      <c r="Q14" s="13" t="s">
        <v>65</v>
      </c>
      <c r="R14" s="13">
        <f>'[18]Financial Ratios'!AP16</f>
        <v>0.11508501672661878</v>
      </c>
      <c r="S14" s="13">
        <f>'[18]Financial Ratios'!AQ16</f>
        <v>0.1691715549966572</v>
      </c>
      <c r="T14" s="13">
        <f>'[18]Financial Ratios'!AR16</f>
        <v>0.37894553462260078</v>
      </c>
      <c r="U14" s="13">
        <f>'[18]Financial Ratios'!AS16</f>
        <v>0.19604137822145595</v>
      </c>
      <c r="V14" s="13">
        <f>'[18]Financial Ratios'!AT16</f>
        <v>0.15622796088615507</v>
      </c>
      <c r="W14" s="13">
        <f>'[18]Financial Ratios'!AU16</f>
        <v>0.15945665702925951</v>
      </c>
    </row>
    <row r="15" spans="1:23" x14ac:dyDescent="0.3">
      <c r="A15" s="11" t="s">
        <v>119</v>
      </c>
      <c r="B15" s="12">
        <f>'[18]Financial Ratios'!J9</f>
        <v>1.5157529149094517E-2</v>
      </c>
      <c r="C15" s="12">
        <f>'[18]Financial Ratios'!K9</f>
        <v>0.20032185188623775</v>
      </c>
      <c r="D15" s="12">
        <f>'[18]Financial Ratios'!L9</f>
        <v>8.2348822963157431E-2</v>
      </c>
      <c r="E15" s="12">
        <f>'[18]Financial Ratios'!M9</f>
        <v>0.91563563253943703</v>
      </c>
      <c r="F15" s="12">
        <f>'[18]Financial Ratios'!N9</f>
        <v>0.55649884830536356</v>
      </c>
      <c r="G15" s="12">
        <f>'[18]Financial Ratios'!O9</f>
        <v>0.79926459552754014</v>
      </c>
      <c r="I15" s="11" t="s">
        <v>119</v>
      </c>
      <c r="J15" s="12">
        <f>'[18]Financial Ratios'!Z9</f>
        <v>1.4874623996722811</v>
      </c>
      <c r="K15" s="12">
        <f>'[18]Financial Ratios'!AA9</f>
        <v>1.0566705952705802</v>
      </c>
      <c r="L15" s="12">
        <f>'[18]Financial Ratios'!AB9</f>
        <v>0.58778467283002689</v>
      </c>
      <c r="M15" s="12">
        <f>'[18]Financial Ratios'!AC9</f>
        <v>0.74178791751402251</v>
      </c>
      <c r="N15" s="12">
        <f>'[18]Financial Ratios'!AD9</f>
        <v>0.88252192891825987</v>
      </c>
      <c r="O15" s="12">
        <f>'[18]Financial Ratios'!AE9</f>
        <v>0.9738489622319102</v>
      </c>
      <c r="Q15" s="11" t="s">
        <v>119</v>
      </c>
      <c r="R15" s="12">
        <f>'[18]Financial Ratios'!AP9</f>
        <v>2.0431615483766555E-2</v>
      </c>
      <c r="S15" s="12">
        <f>'[18]Financial Ratios'!AQ9</f>
        <v>6.6710059238888481E-2</v>
      </c>
      <c r="T15" s="12">
        <f>'[18]Financial Ratios'!AR9</f>
        <v>9.9408264334477608E-2</v>
      </c>
      <c r="U15" s="12">
        <f>'[18]Financial Ratios'!AS9</f>
        <v>1.837768488353908E-2</v>
      </c>
      <c r="V15" s="12">
        <f>'[18]Financial Ratios'!AT9</f>
        <v>0.13074248302977731</v>
      </c>
      <c r="W15" s="12">
        <f>'[18]Financial Ratios'!AU9</f>
        <v>0.1269204953146007</v>
      </c>
    </row>
    <row r="17" spans="1:27" x14ac:dyDescent="0.3">
      <c r="A17" s="70" t="s">
        <v>82</v>
      </c>
      <c r="B17" s="71" t="s">
        <v>22</v>
      </c>
      <c r="C17" s="71" t="s">
        <v>23</v>
      </c>
      <c r="D17" s="71" t="s">
        <v>24</v>
      </c>
      <c r="E17" s="71" t="s">
        <v>25</v>
      </c>
      <c r="F17" s="71" t="s">
        <v>26</v>
      </c>
      <c r="I17" s="70" t="s">
        <v>82</v>
      </c>
      <c r="J17" s="71" t="s">
        <v>22</v>
      </c>
      <c r="K17" s="71" t="s">
        <v>23</v>
      </c>
      <c r="L17" s="71" t="s">
        <v>24</v>
      </c>
      <c r="M17" s="71" t="s">
        <v>25</v>
      </c>
      <c r="N17" s="71" t="s">
        <v>26</v>
      </c>
      <c r="Q17" s="70" t="s">
        <v>82</v>
      </c>
      <c r="R17" s="71" t="s">
        <v>22</v>
      </c>
      <c r="S17" s="71" t="s">
        <v>23</v>
      </c>
      <c r="T17" s="71" t="s">
        <v>24</v>
      </c>
      <c r="U17" s="71" t="s">
        <v>25</v>
      </c>
      <c r="V17" s="71" t="s">
        <v>26</v>
      </c>
    </row>
    <row r="18" spans="1:27" x14ac:dyDescent="0.3">
      <c r="A18" s="11" t="s">
        <v>14</v>
      </c>
      <c r="B18" s="12">
        <f>[18]DCF!D5</f>
        <v>163355.83215386738</v>
      </c>
      <c r="C18" s="12">
        <f>[18]DCF!E5</f>
        <v>174596.34903793846</v>
      </c>
      <c r="D18" s="12">
        <f>[18]DCF!F5</f>
        <v>186610.32603148441</v>
      </c>
      <c r="E18" s="12">
        <f>[18]DCF!G5</f>
        <v>199450.98493445612</v>
      </c>
      <c r="F18" s="12">
        <f>[18]DCF!H5</f>
        <v>213175.20973953471</v>
      </c>
      <c r="I18" s="11" t="s">
        <v>14</v>
      </c>
      <c r="J18" s="12">
        <f>[18]DCF!V5</f>
        <v>194687.68467585841</v>
      </c>
      <c r="K18" s="12">
        <f>[18]DCF!W5</f>
        <v>223594.51246738678</v>
      </c>
      <c r="L18" s="12">
        <f>[18]DCF!X5</f>
        <v>256793.36671328644</v>
      </c>
      <c r="M18" s="12">
        <f>[18]DCF!Y5</f>
        <v>294921.51869139785</v>
      </c>
      <c r="N18" s="12">
        <f>[18]DCF!Z5</f>
        <v>338710.86041078909</v>
      </c>
      <c r="Q18" s="11" t="s">
        <v>14</v>
      </c>
      <c r="R18" s="12">
        <f>[18]DCF!AN5</f>
        <v>112371.10308223894</v>
      </c>
      <c r="S18" s="12">
        <f>[18]DCF!AO5</f>
        <v>122174.79548142866</v>
      </c>
      <c r="T18" s="12">
        <f>[18]DCF!AP5</f>
        <v>132833.80016306159</v>
      </c>
      <c r="U18" s="12">
        <f>[18]DCF!AQ5</f>
        <v>144422.73789967017</v>
      </c>
      <c r="V18" s="12">
        <f>[18]DCF!AR5</f>
        <v>157022.73967041861</v>
      </c>
      <c r="Z18" s="52">
        <f>((F20*Table121[[#This Row],[2030]])-(B20*Table121[[#This Row],[2026]]))/(Table121[[#This Row],[2026]]*B20)</f>
        <v>0.30497458786008746</v>
      </c>
      <c r="AA18" s="1">
        <f>(Table121[[#This Row],[2030]]/Table121[[#This Row],[2026]])^(1/5)-1</f>
        <v>5.467927243322368E-2</v>
      </c>
    </row>
    <row r="19" spans="1:27" s="52" customFormat="1" x14ac:dyDescent="0.3">
      <c r="A19" s="13" t="s">
        <v>94</v>
      </c>
      <c r="B19" s="13">
        <f>[18]DCF!D6/[18]DCF!D5</f>
        <v>0.30885843586876927</v>
      </c>
      <c r="C19" s="13">
        <f>[18]DCF!E6/[18]DCF!E5</f>
        <v>0.30885843586876927</v>
      </c>
      <c r="D19" s="13">
        <f>[18]DCF!F6/[18]DCF!F5</f>
        <v>0.30885843586876927</v>
      </c>
      <c r="E19" s="13">
        <f>[18]DCF!G6/[18]DCF!G5</f>
        <v>0.30885843586876927</v>
      </c>
      <c r="F19" s="13">
        <f>[18]DCF!H6/[18]DCF!H5</f>
        <v>0.30885843586876921</v>
      </c>
      <c r="I19" s="13" t="s">
        <v>94</v>
      </c>
      <c r="J19" s="13">
        <f>[18]DCF!V6/[18]DCF!V5</f>
        <v>0.17933088914882728</v>
      </c>
      <c r="K19" s="13">
        <f>[18]DCF!W6/[18]DCF!W5</f>
        <v>0.17933088914882728</v>
      </c>
      <c r="L19" s="13">
        <f>[18]DCF!X6/[18]DCF!X5</f>
        <v>0.17933088914882728</v>
      </c>
      <c r="M19" s="13">
        <f>[18]DCF!Y6/[18]DCF!Y5</f>
        <v>0.17933088914882728</v>
      </c>
      <c r="N19" s="13">
        <f>[18]DCF!Z6/[18]DCF!Z5</f>
        <v>0.17933088914882728</v>
      </c>
      <c r="Q19" s="13" t="s">
        <v>94</v>
      </c>
      <c r="R19" s="13">
        <f>[18]DCF!AN6/[18]DCF!AN5</f>
        <v>0.10383110320749418</v>
      </c>
      <c r="S19" s="13">
        <f>[18]DCF!AO6/[18]DCF!AO5</f>
        <v>0.10383110320749418</v>
      </c>
      <c r="T19" s="13">
        <f>[18]DCF!AP6/[18]DCF!AP5</f>
        <v>0.10383110320749418</v>
      </c>
      <c r="U19" s="13">
        <f>[18]DCF!AQ6/[18]DCF!AQ5</f>
        <v>0.10383110320749418</v>
      </c>
      <c r="V19" s="13">
        <f>[18]DCF!AR6/[18]DCF!AR5</f>
        <v>0.10383110320749418</v>
      </c>
      <c r="Z19" s="52">
        <f>((F26*F24)-(B24*B26))/(B26*B24)</f>
        <v>0.43051430109430855</v>
      </c>
      <c r="AA19" s="52">
        <f>(F24/B24)^(1/5)-1</f>
        <v>7.4232879247605021E-2</v>
      </c>
    </row>
    <row r="20" spans="1:27" s="52" customFormat="1" x14ac:dyDescent="0.3">
      <c r="A20" s="13" t="s">
        <v>97</v>
      </c>
      <c r="B20" s="13">
        <f>[18]DCF!D8/[18]DCF!D5</f>
        <v>0.23215320188592856</v>
      </c>
      <c r="C20" s="13">
        <f>[18]DCF!E8/[18]DCF!E5</f>
        <v>0.23215320188592856</v>
      </c>
      <c r="D20" s="13">
        <f>[18]DCF!F8/[18]DCF!F5</f>
        <v>0.23215320188592856</v>
      </c>
      <c r="E20" s="13">
        <f>[18]DCF!G8/[18]DCF!G5</f>
        <v>0.23215320188592856</v>
      </c>
      <c r="F20" s="13">
        <f>[18]DCF!H8/[18]DCF!H5</f>
        <v>0.23215320188592856</v>
      </c>
      <c r="I20" s="13" t="s">
        <v>97</v>
      </c>
      <c r="J20" s="13">
        <f>[18]DCF!V8/[18]DCF!V5</f>
        <v>0.12330985503615442</v>
      </c>
      <c r="K20" s="13">
        <f>[18]DCF!W8/[18]DCF!W5</f>
        <v>0.12330985503615444</v>
      </c>
      <c r="L20" s="13">
        <f>[18]DCF!X8/[18]DCF!X5</f>
        <v>0.12330985503615444</v>
      </c>
      <c r="M20" s="13">
        <f>[18]DCF!Y8/[18]DCF!Y5</f>
        <v>0.12330985503615442</v>
      </c>
      <c r="N20" s="13">
        <f>[18]DCF!Z8/[18]DCF!Z5</f>
        <v>0.12330985503615441</v>
      </c>
      <c r="Q20" s="13" t="s">
        <v>97</v>
      </c>
      <c r="R20" s="13">
        <f>[18]DCF!AN8/[18]DCF!AN5</f>
        <v>7.5738686276163869E-2</v>
      </c>
      <c r="S20" s="13">
        <f>[18]DCF!AO8/[18]DCF!AO5</f>
        <v>7.5738686276163855E-2</v>
      </c>
      <c r="T20" s="13">
        <f>[18]DCF!AP8/[18]DCF!AP5</f>
        <v>7.5738686276163869E-2</v>
      </c>
      <c r="U20" s="13">
        <f>[18]DCF!AQ8/[18]DCF!AQ5</f>
        <v>7.5738686276163869E-2</v>
      </c>
      <c r="V20" s="13">
        <f>[18]DCF!AR8/[18]DCF!AR5</f>
        <v>7.5738686276163855E-2</v>
      </c>
      <c r="Z20" s="52">
        <f>((Table121138[[#This Row],[2030]]*N18)-(J18*Table121138[[#This Row],[2026]]))/(Table121138[[#This Row],[2026]]*J18)</f>
        <v>0.73976520895360842</v>
      </c>
      <c r="AA20" s="52">
        <f>(N18/J18)^(1/5)-1</f>
        <v>0.11711563029668137</v>
      </c>
    </row>
    <row r="21" spans="1:27" x14ac:dyDescent="0.3">
      <c r="A21" s="11" t="s">
        <v>134</v>
      </c>
      <c r="B21" s="12">
        <f>[18]DCF!D12</f>
        <v>14647.513082213147</v>
      </c>
      <c r="C21" s="12">
        <f>[18]DCF!E12</f>
        <v>28608.750153447261</v>
      </c>
      <c r="D21" s="12">
        <f>[18]DCF!F12</f>
        <v>30577.318614652228</v>
      </c>
      <c r="E21" s="12">
        <f>[18]DCF!G12</f>
        <v>32681.344296660805</v>
      </c>
      <c r="F21" s="12">
        <f>[18]DCF!H12</f>
        <v>34930.148012555917</v>
      </c>
      <c r="I21" s="11" t="s">
        <v>134</v>
      </c>
      <c r="J21" s="12">
        <f>[18]DCF!V12</f>
        <v>23049.977964702837</v>
      </c>
      <c r="K21" s="12">
        <f>[18]DCF!W12</f>
        <v>17431.446378274515</v>
      </c>
      <c r="L21" s="12">
        <f>[18]DCF!X12</f>
        <v>20019.631755551873</v>
      </c>
      <c r="M21" s="12">
        <f>[18]DCF!Y12</f>
        <v>22992.10558496257</v>
      </c>
      <c r="N21" s="12">
        <f>[18]DCF!Z12</f>
        <v>26405.92622706281</v>
      </c>
      <c r="Q21" s="11" t="s">
        <v>134</v>
      </c>
      <c r="R21" s="12">
        <f>[18]DCF!AN12</f>
        <v>9586.1300196349475</v>
      </c>
      <c r="S21" s="12">
        <f>[18]DCF!AO12</f>
        <v>9942.3043443507577</v>
      </c>
      <c r="T21" s="12">
        <f>[18]DCF!AP12</f>
        <v>10809.709672389661</v>
      </c>
      <c r="U21" s="12">
        <f>[18]DCF!AQ12</f>
        <v>11752.790817326862</v>
      </c>
      <c r="V21" s="12">
        <f>[18]DCF!AR12</f>
        <v>12778.150031970945</v>
      </c>
      <c r="Z21" s="52">
        <f>((N26*N24)-(J26*J24))/(J24*J26)</f>
        <v>0.28667920605321717</v>
      </c>
      <c r="AA21" s="1">
        <f>(N24/J24)^(1/5)-1</f>
        <v>5.170528536930874E-2</v>
      </c>
    </row>
    <row r="22" spans="1:27" x14ac:dyDescent="0.3">
      <c r="Z22" s="52">
        <f>((V20*V18)-(R18*R20))/(R20*R18)</f>
        <v>0.39735871023265895</v>
      </c>
      <c r="AA22" s="1">
        <f>(V18/R18)^(1/5)-1</f>
        <v>6.9206477815195955E-2</v>
      </c>
    </row>
    <row r="23" spans="1:27" x14ac:dyDescent="0.3">
      <c r="A23" s="70" t="s">
        <v>82</v>
      </c>
      <c r="B23" s="71" t="s">
        <v>22</v>
      </c>
      <c r="C23" s="71" t="s">
        <v>23</v>
      </c>
      <c r="D23" s="71" t="s">
        <v>24</v>
      </c>
      <c r="E23" s="71" t="s">
        <v>25</v>
      </c>
      <c r="F23" s="71" t="s">
        <v>26</v>
      </c>
      <c r="I23" s="70" t="s">
        <v>82</v>
      </c>
      <c r="J23" s="71" t="s">
        <v>22</v>
      </c>
      <c r="K23" s="71" t="s">
        <v>23</v>
      </c>
      <c r="L23" s="71" t="s">
        <v>24</v>
      </c>
      <c r="M23" s="71" t="s">
        <v>25</v>
      </c>
      <c r="N23" s="71" t="s">
        <v>26</v>
      </c>
      <c r="Q23" s="70" t="s">
        <v>82</v>
      </c>
      <c r="R23" s="71" t="s">
        <v>22</v>
      </c>
      <c r="S23" s="71" t="s">
        <v>23</v>
      </c>
      <c r="T23" s="71" t="s">
        <v>24</v>
      </c>
      <c r="U23" s="71" t="s">
        <v>25</v>
      </c>
      <c r="V23" s="71" t="s">
        <v>26</v>
      </c>
      <c r="Z23" s="52">
        <f>((V26*V24)-(R26*R24))/(R26*R24)</f>
        <v>0.63349682600878743</v>
      </c>
      <c r="AA23" s="1">
        <f>(V24/R24)^(1/5)-1</f>
        <v>0.1031222870434183</v>
      </c>
    </row>
    <row r="24" spans="1:27" x14ac:dyDescent="0.3">
      <c r="A24" s="11" t="s">
        <v>14</v>
      </c>
      <c r="B24" s="12">
        <f>[18]DCF!M5</f>
        <v>38349.462333571093</v>
      </c>
      <c r="C24" s="12">
        <f>[18]DCF!N5</f>
        <v>41940.377039696235</v>
      </c>
      <c r="D24" s="12">
        <f>[18]DCF!O5</f>
        <v>45867.532924759049</v>
      </c>
      <c r="E24" s="12">
        <f>[18]DCF!P5</f>
        <v>50162.414482173022</v>
      </c>
      <c r="F24" s="12">
        <f>[18]DCF!Q5</f>
        <v>54859.454307450964</v>
      </c>
      <c r="I24" s="11" t="s">
        <v>14</v>
      </c>
      <c r="J24" s="12">
        <f>[18]DCF!AE5</f>
        <v>234398.13232617266</v>
      </c>
      <c r="K24" s="12">
        <f>[18]DCF!AF5</f>
        <v>249644.33623780345</v>
      </c>
      <c r="L24" s="12">
        <f>[18]DCF!AG5</f>
        <v>265882.21500370128</v>
      </c>
      <c r="M24" s="12">
        <f>[18]DCF!AH5</f>
        <v>283176.27117297845</v>
      </c>
      <c r="N24" s="12">
        <f>[18]DCF!AI5</f>
        <v>301595.20280179678</v>
      </c>
      <c r="Q24" s="11" t="s">
        <v>14</v>
      </c>
      <c r="R24" s="12">
        <f>[18]DCF!AW5</f>
        <v>28827.036472497315</v>
      </c>
      <c r="S24" s="12">
        <f>[18]DCF!AX5</f>
        <v>32589.640618423837</v>
      </c>
      <c r="T24" s="12">
        <f>[18]DCF!AY5</f>
        <v>36843.35282439844</v>
      </c>
      <c r="U24" s="12">
        <f>[18]DCF!AZ5</f>
        <v>41652.27420690591</v>
      </c>
      <c r="V24" s="12">
        <f>[18]DCF!BA5</f>
        <v>47088.872581063915</v>
      </c>
      <c r="Z24" s="154">
        <f>AVERAGE(Z18:Z23)</f>
        <v>0.46546480670044471</v>
      </c>
      <c r="AA24" s="154">
        <f>AVERAGE(AA18:AA23)</f>
        <v>7.8343638700905507E-2</v>
      </c>
    </row>
    <row r="25" spans="1:27" s="52" customFormat="1" x14ac:dyDescent="0.3">
      <c r="A25" s="13" t="s">
        <v>94</v>
      </c>
      <c r="B25" s="13">
        <f>[18]DCF!M6/[18]DCF!M5</f>
        <v>0.53070145559415949</v>
      </c>
      <c r="C25" s="13">
        <f>[18]DCF!N6/[18]DCF!N5</f>
        <v>0.53070145559415949</v>
      </c>
      <c r="D25" s="13">
        <f>[18]DCF!O6/[18]DCF!O5</f>
        <v>0.53070145559415949</v>
      </c>
      <c r="E25" s="13">
        <f>[18]DCF!P6/[18]DCF!P5</f>
        <v>0.53070145559415949</v>
      </c>
      <c r="F25" s="13">
        <f>[18]DCF!Q6/[18]DCF!Q5</f>
        <v>0.53070145559415949</v>
      </c>
      <c r="I25" s="13" t="s">
        <v>94</v>
      </c>
      <c r="J25" s="13">
        <f>[18]DCF!AE6/[18]DCF!AE5</f>
        <v>0.11325823083519643</v>
      </c>
      <c r="K25" s="13">
        <f>[18]DCF!AF6/[18]DCF!AF5</f>
        <v>0.11325823083519641</v>
      </c>
      <c r="L25" s="13">
        <f>[18]DCF!AG6/[18]DCF!AG5</f>
        <v>0.11325823083519641</v>
      </c>
      <c r="M25" s="13">
        <f>[18]DCF!AH6/[18]DCF!AH5</f>
        <v>0.11325823083519641</v>
      </c>
      <c r="N25" s="13">
        <f>[18]DCF!AI6/[18]DCF!AI5</f>
        <v>0.11325823083519641</v>
      </c>
      <c r="Q25" s="13" t="s">
        <v>94</v>
      </c>
      <c r="R25" s="13">
        <f>[18]DCF!AW6/[18]DCF!AW5</f>
        <v>0.44729962677869084</v>
      </c>
      <c r="S25" s="13">
        <f>[18]DCF!AX6/[18]DCF!AX5</f>
        <v>0.44729962677869084</v>
      </c>
      <c r="T25" s="13">
        <f>[18]DCF!AY6/[18]DCF!AY5</f>
        <v>0.44729962677869084</v>
      </c>
      <c r="U25" s="13">
        <f>[18]DCF!AZ6/[18]DCF!AZ5</f>
        <v>0.44729962677869084</v>
      </c>
      <c r="V25" s="13">
        <f>[18]DCF!BA6/[18]DCF!BA5</f>
        <v>0.44729962677869084</v>
      </c>
    </row>
    <row r="26" spans="1:27" s="52" customFormat="1" x14ac:dyDescent="0.3">
      <c r="A26" s="13" t="s">
        <v>97</v>
      </c>
      <c r="B26" s="13">
        <f>[18]DCF!M8/[18]DCF!M5</f>
        <v>0.40539748909955975</v>
      </c>
      <c r="C26" s="13">
        <f>[18]DCF!N8/[18]DCF!N5</f>
        <v>0.40539748909955975</v>
      </c>
      <c r="D26" s="13">
        <f>[18]DCF!O8/[18]DCF!O5</f>
        <v>0.40539748909955969</v>
      </c>
      <c r="E26" s="13">
        <f>[18]DCF!P8/[18]DCF!P5</f>
        <v>0.40539748909955975</v>
      </c>
      <c r="F26" s="13">
        <f>[18]DCF!Q8/[18]DCF!Q5</f>
        <v>0.40539748909955975</v>
      </c>
      <c r="I26" s="13" t="s">
        <v>97</v>
      </c>
      <c r="J26" s="13">
        <f>[18]DCF!AE8/[18]DCF!AE5</f>
        <v>7.3780494825168574E-2</v>
      </c>
      <c r="K26" s="13">
        <f>[18]DCF!AF8/[18]DCF!AF5</f>
        <v>7.3780494825168574E-2</v>
      </c>
      <c r="L26" s="13">
        <f>[18]DCF!AG8/[18]DCF!AG5</f>
        <v>7.3780494825168574E-2</v>
      </c>
      <c r="M26" s="13">
        <f>[18]DCF!AH8/[18]DCF!AH5</f>
        <v>7.3780494825168561E-2</v>
      </c>
      <c r="N26" s="13">
        <f>[18]DCF!AI8/[18]DCF!AI5</f>
        <v>7.3780494825168574E-2</v>
      </c>
      <c r="Q26" s="13" t="s">
        <v>97</v>
      </c>
      <c r="R26" s="13">
        <f>[18]DCF!AW8/[18]DCF!AW5</f>
        <v>0.31991064352545179</v>
      </c>
      <c r="S26" s="13">
        <f>[18]DCF!AX8/[18]DCF!AX5</f>
        <v>0.31991064352545184</v>
      </c>
      <c r="T26" s="13">
        <f>[18]DCF!AY8/[18]DCF!AY5</f>
        <v>0.31991064352545179</v>
      </c>
      <c r="U26" s="13">
        <f>[18]DCF!AZ8/[18]DCF!AZ5</f>
        <v>0.31991064352545184</v>
      </c>
      <c r="V26" s="13">
        <f>[18]DCF!BA8/[18]DCF!BA5</f>
        <v>0.31991064352545179</v>
      </c>
    </row>
    <row r="27" spans="1:27" x14ac:dyDescent="0.3">
      <c r="A27" s="11" t="s">
        <v>134</v>
      </c>
      <c r="B27" s="12">
        <f>[18]DCF!M12</f>
        <v>14137.35396987752</v>
      </c>
      <c r="C27" s="12">
        <f>[18]DCF!N12</f>
        <v>16297.173772305401</v>
      </c>
      <c r="D27" s="12">
        <f>[18]DCF!O12</f>
        <v>17823.186326489718</v>
      </c>
      <c r="E27" s="12">
        <f>[18]DCF!P12</f>
        <v>19492.089565161041</v>
      </c>
      <c r="F27" s="12">
        <f>[18]DCF!Q12</f>
        <v>21317.263291556992</v>
      </c>
      <c r="I27" s="11" t="s">
        <v>134</v>
      </c>
      <c r="J27" s="12">
        <f>[18]DCF!AE12</f>
        <v>14951.847013863209</v>
      </c>
      <c r="K27" s="12">
        <f>[18]DCF!AF12</f>
        <v>15805.295447735325</v>
      </c>
      <c r="L27" s="12">
        <f>[18]DCF!AG12</f>
        <v>16833.335880004743</v>
      </c>
      <c r="M27" s="12">
        <f>[18]DCF!AH12</f>
        <v>17928.244225871567</v>
      </c>
      <c r="N27" s="12">
        <f>[18]DCF!AI12</f>
        <v>19094.369845271973</v>
      </c>
      <c r="Q27" s="11" t="s">
        <v>134</v>
      </c>
      <c r="R27" s="12">
        <f>[18]DCF!AW12</f>
        <v>6935.5698967137942</v>
      </c>
      <c r="S27" s="12">
        <f>[18]DCF!AX12</f>
        <v>6011.5323091642749</v>
      </c>
      <c r="T27" s="12">
        <f>[18]DCF!AY12</f>
        <v>6796.1782234750553</v>
      </c>
      <c r="U27" s="12">
        <f>[18]DCF!AZ12</f>
        <v>7683.2388266175021</v>
      </c>
      <c r="V27" s="12">
        <f>[18]DCF!BA12</f>
        <v>8686.0816367258303</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6BBD-90C8-4C82-921C-596279A63B11}">
  <dimension ref="A1:AA24"/>
  <sheetViews>
    <sheetView workbookViewId="0"/>
  </sheetViews>
  <sheetFormatPr defaultRowHeight="14.4" x14ac:dyDescent="0.3"/>
  <cols>
    <col min="1" max="1" width="18.77734375" style="1" bestFit="1" customWidth="1"/>
    <col min="2" max="2" width="12.6640625" style="1" bestFit="1" customWidth="1"/>
    <col min="3" max="3" width="15.109375" style="1" bestFit="1" customWidth="1"/>
    <col min="4" max="4" width="12.88671875" style="1" bestFit="1" customWidth="1"/>
    <col min="5" max="5" width="11.88671875" style="1" bestFit="1" customWidth="1"/>
    <col min="6" max="6" width="16" style="1" bestFit="1" customWidth="1"/>
    <col min="7" max="7" width="8.88671875" style="1"/>
    <col min="8" max="8" width="22.33203125" style="1" bestFit="1" customWidth="1"/>
    <col min="9" max="9" width="12.6640625" style="1" bestFit="1" customWidth="1"/>
    <col min="10" max="10" width="15.109375" style="1" bestFit="1" customWidth="1"/>
    <col min="11" max="11" width="12.88671875" style="1" bestFit="1" customWidth="1"/>
    <col min="12" max="12" width="11.88671875" style="1" bestFit="1" customWidth="1"/>
    <col min="13" max="13" width="16" style="1" bestFit="1" customWidth="1"/>
    <col min="14" max="14" width="8.88671875" style="1"/>
    <col min="15" max="15" width="22.6640625" style="1" bestFit="1" customWidth="1"/>
    <col min="16" max="16" width="12.6640625" style="1" bestFit="1" customWidth="1"/>
    <col min="17" max="17" width="15.109375" style="1" bestFit="1" customWidth="1"/>
    <col min="18" max="18" width="12.88671875" style="1" bestFit="1" customWidth="1"/>
    <col min="19" max="19" width="11.88671875" style="1" bestFit="1" customWidth="1"/>
    <col min="20" max="20" width="16" style="1" bestFit="1" customWidth="1"/>
    <col min="21" max="21" width="8.88671875" style="1"/>
    <col min="22" max="22" width="22.6640625" style="1" bestFit="1" customWidth="1"/>
    <col min="23" max="23" width="12.6640625" style="1" bestFit="1" customWidth="1"/>
    <col min="24" max="24" width="15.109375" style="1" bestFit="1" customWidth="1"/>
    <col min="25" max="25" width="15.33203125" style="1" bestFit="1" customWidth="1"/>
    <col min="26" max="26" width="11.88671875" style="1" bestFit="1" customWidth="1"/>
    <col min="27" max="27" width="16" style="1" bestFit="1" customWidth="1"/>
    <col min="28" max="16384" width="8.88671875" style="1"/>
  </cols>
  <sheetData>
    <row r="1" spans="1:27" x14ac:dyDescent="0.3">
      <c r="A1" s="72" t="s">
        <v>71</v>
      </c>
      <c r="B1" s="72" t="s">
        <v>75</v>
      </c>
      <c r="C1" s="72" t="s">
        <v>72</v>
      </c>
      <c r="D1" s="72" t="s">
        <v>76</v>
      </c>
      <c r="E1" s="72" t="s">
        <v>73</v>
      </c>
      <c r="F1" s="72" t="s">
        <v>74</v>
      </c>
      <c r="H1" s="73" t="s">
        <v>71</v>
      </c>
      <c r="I1" s="73" t="s">
        <v>75</v>
      </c>
      <c r="J1" s="73" t="s">
        <v>72</v>
      </c>
      <c r="K1" s="73" t="s">
        <v>76</v>
      </c>
      <c r="L1" s="73" t="s">
        <v>73</v>
      </c>
      <c r="M1" s="73" t="s">
        <v>74</v>
      </c>
      <c r="O1" s="74" t="s">
        <v>71</v>
      </c>
      <c r="P1" s="74" t="s">
        <v>75</v>
      </c>
      <c r="Q1" s="74" t="s">
        <v>72</v>
      </c>
      <c r="R1" s="74" t="s">
        <v>76</v>
      </c>
      <c r="S1" s="74" t="s">
        <v>73</v>
      </c>
      <c r="T1" s="74" t="s">
        <v>74</v>
      </c>
      <c r="V1" s="75" t="s">
        <v>71</v>
      </c>
      <c r="W1" s="75" t="s">
        <v>75</v>
      </c>
      <c r="X1" s="75" t="s">
        <v>72</v>
      </c>
      <c r="Y1" s="75" t="s">
        <v>133</v>
      </c>
      <c r="Z1" s="75" t="s">
        <v>73</v>
      </c>
      <c r="AA1" s="75" t="s">
        <v>74</v>
      </c>
    </row>
    <row r="2" spans="1:27" x14ac:dyDescent="0.3">
      <c r="A2" s="11" t="s">
        <v>1</v>
      </c>
      <c r="B2" s="37">
        <f>[7]WACC!$D$4</f>
        <v>7.3372500000000021E-2</v>
      </c>
      <c r="C2" s="13">
        <v>0.02</v>
      </c>
      <c r="D2" s="76">
        <f>'[7]Intrinsic Value'!$E$6</f>
        <v>375.88780064560626</v>
      </c>
      <c r="E2" s="76">
        <f>'[7]Intrinsic Value'!$F$7</f>
        <v>1002.95</v>
      </c>
      <c r="F2" s="13">
        <f>(D2-E2)/E2</f>
        <v>-0.6252178068242622</v>
      </c>
      <c r="H2" s="11" t="s">
        <v>93</v>
      </c>
      <c r="I2" s="37">
        <f>[10]WACC!$B$6</f>
        <v>0.12756993999999999</v>
      </c>
      <c r="J2" s="13">
        <f>[10]WACC!$I$3</f>
        <v>0.04</v>
      </c>
      <c r="K2" s="76">
        <f>[10]FCFF!$B$14</f>
        <v>1962.1126835508521</v>
      </c>
      <c r="L2" s="76">
        <f>[10]FCFF!$B$15</f>
        <v>2999.8</v>
      </c>
      <c r="M2" s="13">
        <f>(Table2369[[#This Row],[Intrinsic Value]]-Table2369[[#This Row],[Current Price]])/Table2369[[#This Row],[Current Price]]</f>
        <v>-0.34591883340527635</v>
      </c>
      <c r="O2" s="11" t="s">
        <v>106</v>
      </c>
      <c r="P2" s="37">
        <f>[13]WACC!$B$9</f>
        <v>0.11286401999999998</v>
      </c>
      <c r="Q2" s="13">
        <f>[13]WACC!$B$21</f>
        <v>3.2500000000000001E-2</v>
      </c>
      <c r="R2" s="76">
        <f>[13]DCF!$B$25</f>
        <v>2241.4002332725154</v>
      </c>
      <c r="S2" s="76">
        <f>[13]DCF!$B$26</f>
        <v>2012</v>
      </c>
      <c r="T2" s="13">
        <f>(Table234589123[[#This Row],[Intrinsic Value]]-Table234589123[[#This Row],[Current Price]])/Table234589123[[#This Row],[Current Price]]</f>
        <v>0.11401602051317862</v>
      </c>
      <c r="V2" s="11" t="s">
        <v>128</v>
      </c>
      <c r="W2" s="37">
        <f>'[17]WACC &amp; Key Assumptions'!$B$7</f>
        <v>0.16085925000000001</v>
      </c>
      <c r="X2" s="13">
        <f>'[17]WACC &amp; Key Assumptions'!$B$21</f>
        <v>6.5000000000000002E-2</v>
      </c>
      <c r="Y2" s="76">
        <f>'[17]Relative Valuation'!$R$22</f>
        <v>1524.5753314756821</v>
      </c>
      <c r="Z2" s="76">
        <f>'[17]Relative Valuation'!$R$23</f>
        <v>1467</v>
      </c>
      <c r="AA2" s="13">
        <f>(Table236910913736[[#This Row],[Intrinsic/Relative]]-Table236910913736[[#This Row],[Current Price]])/Table236910913736[[#This Row],[Current Price]]</f>
        <v>3.924698805431636E-2</v>
      </c>
    </row>
    <row r="3" spans="1:27" x14ac:dyDescent="0.3">
      <c r="A3" s="11" t="s">
        <v>2</v>
      </c>
      <c r="B3" s="37">
        <f>[7]WACC!$E$4</f>
        <v>7.9838999999999993E-2</v>
      </c>
      <c r="C3" s="13">
        <v>0.02</v>
      </c>
      <c r="D3" s="76">
        <f>'[7]Intrinsic Value'!$H$6</f>
        <v>1002.6580084203596</v>
      </c>
      <c r="E3" s="76">
        <f>'[7]Intrinsic Value'!$I$7</f>
        <v>1390.3</v>
      </c>
      <c r="F3" s="13">
        <f t="shared" ref="F3:F8" si="0">(D3-E3)/E3</f>
        <v>-0.27881895388019878</v>
      </c>
      <c r="H3" s="11" t="s">
        <v>29</v>
      </c>
      <c r="I3" s="37">
        <f>[10]WACC!$C$6</f>
        <v>0.12767158000000001</v>
      </c>
      <c r="J3" s="13">
        <f>[10]WACC!$I$3</f>
        <v>0.04</v>
      </c>
      <c r="K3" s="76">
        <f>[10]FCFF!$J$14</f>
        <v>654.27158100969655</v>
      </c>
      <c r="L3" s="76">
        <f>[10]FCFF!$J$15</f>
        <v>1470.9</v>
      </c>
      <c r="M3" s="13">
        <f>(Table2369[[#This Row],[Intrinsic Value]]-Table2369[[#This Row],[Current Price]])/Table2369[[#This Row],[Current Price]]</f>
        <v>-0.55518962471296718</v>
      </c>
      <c r="O3" s="11" t="s">
        <v>107</v>
      </c>
      <c r="P3" s="37">
        <f>[13]WACC!$C$9</f>
        <v>0.14428530000000001</v>
      </c>
      <c r="Q3" s="13">
        <f>[13]WACC!$C$21</f>
        <v>3.5000000000000003E-2</v>
      </c>
      <c r="R3" s="76">
        <f>[13]DCF!$K$25</f>
        <v>714.37554966599691</v>
      </c>
      <c r="S3" s="76">
        <f>[13]DCF!$K$26</f>
        <v>343</v>
      </c>
      <c r="T3" s="13">
        <f>(Table234589123[[#This Row],[Intrinsic Value]]-Table234589123[[#This Row],[Current Price]])/Table234589123[[#This Row],[Current Price]]</f>
        <v>1.0827275500466382</v>
      </c>
      <c r="V3" s="11" t="s">
        <v>129</v>
      </c>
      <c r="W3" s="37">
        <f>'[17]WACC &amp; Key Assumptions'!$C$7</f>
        <v>0.11954925000000001</v>
      </c>
      <c r="X3" s="13">
        <f>'[17]WACC &amp; Key Assumptions'!$B$21</f>
        <v>6.5000000000000002E-2</v>
      </c>
      <c r="Y3" s="76">
        <f>'[17]Relative Valuation'!$Q$22</f>
        <v>2362.9057996263919</v>
      </c>
      <c r="Z3" s="76">
        <f>'[17]Relative Valuation'!$Q$23</f>
        <v>1262.5999999999999</v>
      </c>
      <c r="AA3" s="13">
        <f>(Table236910913736[[#This Row],[Intrinsic/Relative]]-Table236910913736[[#This Row],[Current Price]])/Table236910913736[[#This Row],[Current Price]]</f>
        <v>0.87146031967875182</v>
      </c>
    </row>
    <row r="4" spans="1:27" x14ac:dyDescent="0.3">
      <c r="A4" s="11" t="s">
        <v>4</v>
      </c>
      <c r="B4" s="37">
        <f>[7]WACC!$F$4</f>
        <v>9.927900000000002E-2</v>
      </c>
      <c r="C4" s="13">
        <v>0.02</v>
      </c>
      <c r="D4" s="76">
        <f>'[7]Intrinsic Value'!$K$6</f>
        <v>230.95924853755409</v>
      </c>
      <c r="E4" s="76">
        <f>'[7]Intrinsic Value'!$L$7</f>
        <v>907.5</v>
      </c>
      <c r="F4" s="13">
        <f t="shared" si="0"/>
        <v>-0.74549945064732326</v>
      </c>
      <c r="H4" s="11" t="s">
        <v>30</v>
      </c>
      <c r="I4" s="37">
        <f>[10]WACC!$D$6</f>
        <v>0.13031422000000001</v>
      </c>
      <c r="J4" s="13">
        <f>[10]WACC!$I$3</f>
        <v>0.04</v>
      </c>
      <c r="K4" s="76">
        <f>[10]FCFF!$R$14</f>
        <v>1742.5890797037789</v>
      </c>
      <c r="L4" s="76">
        <f>[10]FCFF!$R$15</f>
        <v>1482</v>
      </c>
      <c r="M4" s="13">
        <f>(Table2369[[#This Row],[Intrinsic Value]]-Table2369[[#This Row],[Current Price]])/Table2369[[#This Row],[Current Price]]</f>
        <v>0.1758360861698913</v>
      </c>
      <c r="O4" s="11" t="s">
        <v>108</v>
      </c>
      <c r="P4" s="37">
        <f>[13]WACC!$D$9</f>
        <v>0.16045332000000001</v>
      </c>
      <c r="Q4" s="13">
        <f>[13]WACC!$D$21</f>
        <v>3.2500000000000001E-2</v>
      </c>
      <c r="R4" s="76">
        <f>[13]DCF!$T$25</f>
        <v>111.67284118912463</v>
      </c>
      <c r="S4" s="76">
        <f>[13]DCF!$T$26</f>
        <v>368.15</v>
      </c>
      <c r="T4" s="13">
        <f>(Table234589123[[#This Row],[Intrinsic Value]]-Table234589123[[#This Row],[Current Price]])/Table234589123[[#This Row],[Current Price]]</f>
        <v>-0.69666483447202332</v>
      </c>
      <c r="V4" s="11" t="s">
        <v>130</v>
      </c>
      <c r="W4" s="37">
        <f>'[17]WACC &amp; Key Assumptions'!$D$7</f>
        <v>0.11104425000000001</v>
      </c>
      <c r="X4" s="13">
        <f>'[17]WACC &amp; Key Assumptions'!$B$21</f>
        <v>6.5000000000000002E-2</v>
      </c>
      <c r="Y4" s="76">
        <f>'[17]Relative Valuation'!$P$22</f>
        <v>1380.4738970814369</v>
      </c>
      <c r="Z4" s="76">
        <f>'[17]Relative Valuation'!$P$23</f>
        <v>852.5</v>
      </c>
      <c r="AA4" s="13">
        <f>(Table236910913736[[#This Row],[Intrinsic/Relative]]-Table236910913736[[#This Row],[Current Price]])/Table236910913736[[#This Row],[Current Price]]</f>
        <v>0.61932421945036586</v>
      </c>
    </row>
    <row r="5" spans="1:27" x14ac:dyDescent="0.3">
      <c r="A5" s="11" t="s">
        <v>3</v>
      </c>
      <c r="B5" s="37">
        <f>[7]WACC!$C$4</f>
        <v>8.4530250000000001E-2</v>
      </c>
      <c r="C5" s="13">
        <v>0.02</v>
      </c>
      <c r="D5" s="76">
        <f>'[7]Intrinsic Value'!$B$6</f>
        <v>944.29693403918031</v>
      </c>
      <c r="E5" s="76">
        <f>'[7]Intrinsic Value'!$C$7</f>
        <v>1226</v>
      </c>
      <c r="F5" s="13">
        <f t="shared" si="0"/>
        <v>-0.22977411579185944</v>
      </c>
      <c r="H5" s="11" t="s">
        <v>31</v>
      </c>
      <c r="I5" s="37">
        <f>[10]WACC!$E$6</f>
        <v>0.12543550000000001</v>
      </c>
      <c r="J5" s="13">
        <f>[10]WACC!$I$3</f>
        <v>0.04</v>
      </c>
      <c r="K5" s="76">
        <f>[10]FCFF!$Z$14</f>
        <v>185.59494011179564</v>
      </c>
      <c r="L5" s="76">
        <f>[10]FCFF!$Z$15</f>
        <v>241.24</v>
      </c>
      <c r="M5" s="13">
        <f>(Table2369[[#This Row],[Intrinsic Value]]-Table2369[[#This Row],[Current Price]])/Table2369[[#This Row],[Current Price]]</f>
        <v>-0.23066265912868666</v>
      </c>
      <c r="O5" s="11" t="s">
        <v>109</v>
      </c>
      <c r="P5" s="37">
        <f>[13]WACC!$E$9</f>
        <v>0.16403249999999997</v>
      </c>
      <c r="Q5" s="13">
        <f>[13]WACC!$E$21</f>
        <v>0.03</v>
      </c>
      <c r="R5" s="76">
        <f>[13]DCF!$AC$25</f>
        <v>521.15185023674212</v>
      </c>
      <c r="S5" s="76">
        <f>[13]DCF!$AC$26</f>
        <v>1929.05</v>
      </c>
      <c r="T5" s="13">
        <f>(Table234589123[[#This Row],[Intrinsic Value]]-Table234589123[[#This Row],[Current Price]])/Table234589123[[#This Row],[Current Price]]</f>
        <v>-0.72984015435745986</v>
      </c>
      <c r="V5" s="11" t="s">
        <v>131</v>
      </c>
      <c r="W5" s="37">
        <f>'[17]WACC &amp; Key Assumptions'!$E$7</f>
        <v>0.14280975000000001</v>
      </c>
      <c r="X5" s="13">
        <f>'[17]WACC &amp; Key Assumptions'!$B$21</f>
        <v>6.5000000000000002E-2</v>
      </c>
      <c r="Y5" s="76">
        <f>[17]DCF!$AC$23</f>
        <v>2199.2861208781696</v>
      </c>
      <c r="Z5" s="76">
        <f>'[17]Relative Valuation'!$D$7</f>
        <v>3872.7</v>
      </c>
      <c r="AA5" s="13">
        <f>(Table236910913736[[#This Row],[Intrinsic/Relative]]-Table236910913736[[#This Row],[Current Price]])/Table236910913736[[#This Row],[Current Price]]</f>
        <v>-0.43210521835459248</v>
      </c>
    </row>
    <row r="6" spans="1:27" x14ac:dyDescent="0.3">
      <c r="A6" s="11" t="s">
        <v>7</v>
      </c>
      <c r="B6" s="37">
        <f>[7]WACC!$I$4</f>
        <v>5.7199500000000007E-2</v>
      </c>
      <c r="C6" s="13">
        <v>0.02</v>
      </c>
      <c r="D6" s="76">
        <f>'[7]Intrinsic Value'!$T$6</f>
        <v>26155.347883495317</v>
      </c>
      <c r="E6" s="76">
        <f>'[7]Intrinsic Value'!$U$7</f>
        <v>3322.2</v>
      </c>
      <c r="F6" s="13">
        <f t="shared" si="0"/>
        <v>6.8728998505494303</v>
      </c>
      <c r="H6" s="31" t="s">
        <v>32</v>
      </c>
      <c r="I6" s="77">
        <f>[10]WACC!$F$6</f>
        <v>0.16096594</v>
      </c>
      <c r="J6" s="13">
        <f>[10]WACC!$I$3</f>
        <v>0.04</v>
      </c>
      <c r="K6" s="78">
        <f>[10]FCFF!$AH$14</f>
        <v>2302.8971084996374</v>
      </c>
      <c r="L6" s="78">
        <f>[10]FCFF!$AH$15</f>
        <v>5547</v>
      </c>
      <c r="M6" s="13">
        <f>(Table2369[[#This Row],[Intrinsic Value]]-Table2369[[#This Row],[Current Price]])/Table2369[[#This Row],[Current Price]]</f>
        <v>-0.58483917279617137</v>
      </c>
      <c r="O6" s="11" t="s">
        <v>110</v>
      </c>
      <c r="P6" s="37">
        <f>[13]WACC!$F$9</f>
        <v>0.13637916</v>
      </c>
      <c r="Q6" s="13">
        <f>[13]WACC!$F$21</f>
        <v>2.75E-2</v>
      </c>
      <c r="R6" s="76">
        <f>'[13]Relative Valuation Model'!$K$10</f>
        <v>20.120719478575783</v>
      </c>
      <c r="S6" s="76">
        <f>[13]DCF!$AL$26</f>
        <v>8.6999999999999993</v>
      </c>
      <c r="T6" s="13">
        <f>(Table234589123[[#This Row],[Intrinsic Value]]-Table234589123[[#This Row],[Current Price]])/Table234589123[[#This Row],[Current Price]]</f>
        <v>1.3127263768477913</v>
      </c>
      <c r="V6" s="31" t="s">
        <v>132</v>
      </c>
      <c r="W6" s="77">
        <f>'[17]WACC &amp; Key Assumptions'!$F$7</f>
        <v>0.15855750000000002</v>
      </c>
      <c r="X6" s="13">
        <f>'[17]WACC &amp; Key Assumptions'!$B$21</f>
        <v>6.5000000000000002E-2</v>
      </c>
      <c r="Y6" s="78">
        <f>'[17]Relative Valuation'!$S$22</f>
        <v>268.9303562415426</v>
      </c>
      <c r="Z6" s="78">
        <f>'[17]Relative Valuation'!$S$23</f>
        <v>329.05</v>
      </c>
      <c r="AA6" s="13">
        <f>(Table236910913736[[#This Row],[Intrinsic/Relative]]-Table236910913736[[#This Row],[Current Price]])/Table236910913736[[#This Row],[Current Price]]</f>
        <v>-0.18270671253140072</v>
      </c>
    </row>
    <row r="7" spans="1:27" x14ac:dyDescent="0.3">
      <c r="A7" s="11" t="s">
        <v>5</v>
      </c>
      <c r="B7" s="37">
        <f>[7]WACC!$H$4</f>
        <v>0.11094975</v>
      </c>
      <c r="C7" s="13">
        <v>0.02</v>
      </c>
      <c r="D7" s="76">
        <f>'[7]Intrinsic Value'!$Q$6</f>
        <v>670.76316422115781</v>
      </c>
      <c r="E7" s="76">
        <f>'[7]Intrinsic Value'!$Q$7</f>
        <v>1081</v>
      </c>
      <c r="F7" s="13">
        <f t="shared" si="0"/>
        <v>-0.37949753541058484</v>
      </c>
      <c r="I7" s="42"/>
      <c r="J7" s="51"/>
      <c r="K7" s="79"/>
      <c r="L7" s="79"/>
      <c r="M7" s="51"/>
      <c r="O7" s="31" t="s">
        <v>111</v>
      </c>
      <c r="P7" s="77">
        <f>[13]WACC!$H$10</f>
        <v>9.8882296956265464E-2</v>
      </c>
      <c r="Q7" s="13">
        <f>[13]WACC!$H$21</f>
        <v>3.2500000000000001E-2</v>
      </c>
      <c r="R7" s="78">
        <f>'[13]Relative Valuation Model'!$L$10</f>
        <v>142.40520271684068</v>
      </c>
      <c r="S7" s="78">
        <v>0</v>
      </c>
      <c r="T7" s="13">
        <v>0</v>
      </c>
    </row>
    <row r="8" spans="1:27" x14ac:dyDescent="0.3">
      <c r="A8" s="11" t="s">
        <v>6</v>
      </c>
      <c r="B8" s="37">
        <f>[7]WACC!$G$4</f>
        <v>0.10209375000000002</v>
      </c>
      <c r="C8" s="13">
        <v>0.02</v>
      </c>
      <c r="D8" s="76">
        <f>'[7]Intrinsic Value'!$N$6</f>
        <v>93.595541714906659</v>
      </c>
      <c r="E8" s="76">
        <f>'[7]Intrinsic Value'!$O$7</f>
        <v>109.05</v>
      </c>
      <c r="F8" s="13">
        <f t="shared" si="0"/>
        <v>-0.1417190122429467</v>
      </c>
      <c r="H8" s="80" t="s">
        <v>71</v>
      </c>
      <c r="I8" s="80" t="s">
        <v>75</v>
      </c>
      <c r="J8" s="80" t="s">
        <v>72</v>
      </c>
      <c r="K8" s="80" t="s">
        <v>76</v>
      </c>
      <c r="L8" s="80" t="s">
        <v>73</v>
      </c>
      <c r="M8" s="80" t="s">
        <v>74</v>
      </c>
    </row>
    <row r="9" spans="1:27" x14ac:dyDescent="0.3">
      <c r="H9" s="11" t="s">
        <v>98</v>
      </c>
      <c r="I9" s="37">
        <f>'[11]Key Assumptions-WACC'!$B$6</f>
        <v>8.916454E-2</v>
      </c>
      <c r="J9" s="13">
        <f>'[11]Key Assumptions-WACC'!$K$3</f>
        <v>0.04</v>
      </c>
      <c r="K9" s="76">
        <f>'[11]Valuation-FCFF'!$B$22</f>
        <v>7688.4347828197406</v>
      </c>
      <c r="L9" s="76">
        <f>'[11]Valuation-FCFF'!$B$23</f>
        <v>16012</v>
      </c>
      <c r="M9" s="13">
        <f>(Table234589[[#This Row],[Intrinsic Value]]-Table234589[[#This Row],[Current Price]])/Table234589[[#This Row],[Current Price]]</f>
        <v>-0.51983295136024599</v>
      </c>
      <c r="O9" s="81" t="s">
        <v>71</v>
      </c>
      <c r="P9" s="81" t="s">
        <v>75</v>
      </c>
      <c r="Q9" s="81" t="s">
        <v>72</v>
      </c>
      <c r="R9" s="81" t="s">
        <v>118</v>
      </c>
      <c r="S9" s="81" t="s">
        <v>73</v>
      </c>
      <c r="T9" s="81" t="s">
        <v>74</v>
      </c>
      <c r="V9" s="82" t="s">
        <v>71</v>
      </c>
      <c r="W9" s="83" t="s">
        <v>75</v>
      </c>
      <c r="X9" s="83" t="s">
        <v>72</v>
      </c>
      <c r="Y9" s="83" t="s">
        <v>76</v>
      </c>
      <c r="Z9" s="83" t="s">
        <v>73</v>
      </c>
      <c r="AA9" s="83" t="s">
        <v>74</v>
      </c>
    </row>
    <row r="10" spans="1:27" x14ac:dyDescent="0.3">
      <c r="A10" s="38" t="s">
        <v>71</v>
      </c>
      <c r="B10" s="38" t="s">
        <v>75</v>
      </c>
      <c r="C10" s="38" t="s">
        <v>72</v>
      </c>
      <c r="D10" s="38" t="s">
        <v>76</v>
      </c>
      <c r="E10" s="38" t="s">
        <v>73</v>
      </c>
      <c r="F10" s="38" t="s">
        <v>74</v>
      </c>
      <c r="H10" s="11" t="s">
        <v>99</v>
      </c>
      <c r="I10" s="37">
        <f>'[11]Key Assumptions-WACC'!$C$6</f>
        <v>0.13348684</v>
      </c>
      <c r="J10" s="13">
        <f>'[11]Key Assumptions-WACC'!$K$3</f>
        <v>0.04</v>
      </c>
      <c r="K10" s="76">
        <f>'[11]Valuation-FCFF'!$K$22</f>
        <v>817.08589210080697</v>
      </c>
      <c r="L10" s="76">
        <f>'[11]Valuation-FCFF'!$K$23</f>
        <v>3426.5</v>
      </c>
      <c r="M10" s="13">
        <f>(Table234589[[#This Row],[Intrinsic Value]]-Table234589[[#This Row],[Current Price]])/Table234589[[#This Row],[Current Price]]</f>
        <v>-0.76153921141082526</v>
      </c>
      <c r="O10" s="11" t="s">
        <v>42</v>
      </c>
      <c r="P10" s="37">
        <f>[14]WACC!$B$6</f>
        <v>0.16175735999999999</v>
      </c>
      <c r="Q10" s="13">
        <f>[14]WACC!$B$16</f>
        <v>5.5E-2</v>
      </c>
      <c r="R10" s="76">
        <f>'[14]Relative Model'!$C$25</f>
        <v>219.81120763186328</v>
      </c>
      <c r="S10" s="76">
        <f>'[14]Relative Model'!$D$24</f>
        <v>417</v>
      </c>
      <c r="T10" s="13">
        <f>(Table2369109137[[#This Row],[Relative value]]-Table2369109137[[#This Row],[Current Price]])/Table2369109137[[#This Row],[Current Price]]</f>
        <v>-0.47287480184205449</v>
      </c>
      <c r="V10" s="11" t="s">
        <v>135</v>
      </c>
      <c r="W10" s="63">
        <f>[18]WACC!$B$7</f>
        <v>0.14072999999999999</v>
      </c>
      <c r="X10" s="46">
        <f>[18]WACC!$B$19</f>
        <v>3.5000000000000003E-2</v>
      </c>
      <c r="Y10" s="87">
        <f>[18]DCF!$B$22</f>
        <v>452.24764991104757</v>
      </c>
      <c r="Z10" s="87">
        <f>[18]DCF!$B$23</f>
        <v>382.2</v>
      </c>
      <c r="AA10" s="46">
        <f>(Table23458912377144[[#This Row],[Intrinsic Value]]-Z10)/Z10</f>
        <v>0.1832748558635468</v>
      </c>
    </row>
    <row r="11" spans="1:27" x14ac:dyDescent="0.3">
      <c r="A11" s="11" t="s">
        <v>50</v>
      </c>
      <c r="B11" s="37">
        <f>'[8]WACC &amp; Key Assumptions'!$B$7</f>
        <v>0.1677033</v>
      </c>
      <c r="C11" s="13">
        <f>'[8]WACC &amp; Key Assumptions'!$B$18</f>
        <v>4.7500000000000001E-2</v>
      </c>
      <c r="D11" s="76">
        <f>'[8]Relative Valuation'!$F$24</f>
        <v>2995.0326473313235</v>
      </c>
      <c r="E11" s="76">
        <f>'[8]Relative Valuation'!$G$24</f>
        <v>4275.3</v>
      </c>
      <c r="F11" s="13">
        <f>(Table2345[[#This Row],[Intrinsic Value]]-Table2345[[#This Row],[Current Price]])/Table2345[[#This Row],[Current Price]]</f>
        <v>-0.29945672880702562</v>
      </c>
      <c r="H11" s="11" t="s">
        <v>36</v>
      </c>
      <c r="I11" s="37">
        <f>'[11]Key Assumptions-WACC'!$D$6</f>
        <v>0.16261396</v>
      </c>
      <c r="J11" s="13">
        <f>'[11]Key Assumptions-WACC'!$K$3</f>
        <v>0.04</v>
      </c>
      <c r="K11" s="76">
        <f>'[11]Valuation-FCFF'!$T$22</f>
        <v>691.28731874278731</v>
      </c>
      <c r="L11" s="76">
        <f>'[11]Valuation-FCFF'!$T$23</f>
        <v>681.3</v>
      </c>
      <c r="M11" s="13">
        <f>(Table234589[[#This Row],[Intrinsic Value]]-Table234589[[#This Row],[Current Price]])/Table234589[[#This Row],[Current Price]]</f>
        <v>1.4659208487872234E-2</v>
      </c>
      <c r="O11" s="11" t="s">
        <v>115</v>
      </c>
      <c r="P11" s="37">
        <f>[14]WACC!$C$6</f>
        <v>0.19688849999999999</v>
      </c>
      <c r="Q11" s="13">
        <f>[14]WACC!$B$16</f>
        <v>5.5E-2</v>
      </c>
      <c r="R11" s="76">
        <f>'[14]Relative Model'!$G$25</f>
        <v>6543.3010807503251</v>
      </c>
      <c r="S11" s="76">
        <f>'[14]Relative Model'!$H$24</f>
        <v>2826</v>
      </c>
      <c r="T11" s="13">
        <f>(Table2369109137[[#This Row],[Relative value]]-Table2369109137[[#This Row],[Current Price]])/Table2369109137[[#This Row],[Current Price]]</f>
        <v>1.3153931637474612</v>
      </c>
      <c r="V11" s="11" t="s">
        <v>136</v>
      </c>
      <c r="W11" s="63">
        <f>[18]WACC!$C$7</f>
        <v>0.10557</v>
      </c>
      <c r="X11" s="46">
        <f>[18]WACC!$B$19</f>
        <v>3.5000000000000003E-2</v>
      </c>
      <c r="Y11" s="87">
        <f>[18]DCF!$K$22</f>
        <v>589.31731355362751</v>
      </c>
      <c r="Z11" s="87">
        <f>[18]DCF!$K$23</f>
        <v>489.95</v>
      </c>
      <c r="AA11" s="46">
        <f>(Table23458912377144[[#This Row],[Intrinsic Value]]-Z11)/Z11</f>
        <v>0.20281113083708038</v>
      </c>
    </row>
    <row r="12" spans="1:27" x14ac:dyDescent="0.3">
      <c r="A12" s="11" t="s">
        <v>83</v>
      </c>
      <c r="B12" s="37">
        <f>'[8]WACC &amp; Key Assumptions'!$C$7</f>
        <v>0.12869532</v>
      </c>
      <c r="C12" s="13">
        <f>'[8]WACC &amp; Key Assumptions'!$C$18</f>
        <v>4.2500000000000003E-2</v>
      </c>
      <c r="D12" s="76">
        <f>'[8]DCF Valuation'!$I$23</f>
        <v>642.52006665727242</v>
      </c>
      <c r="E12" s="76">
        <f>'[8]DCF Valuation'!$I$25</f>
        <v>2594.4</v>
      </c>
      <c r="F12" s="13">
        <f>(Table2345[[#This Row],[Intrinsic Value]]-Table2345[[#This Row],[Current Price]])/Table2345[[#This Row],[Current Price]]</f>
        <v>-0.75234348340376489</v>
      </c>
      <c r="H12" s="11" t="s">
        <v>37</v>
      </c>
      <c r="I12" s="37">
        <f>'[11]Key Assumptions-WACC'!$E$6</f>
        <v>8.3008059999999995E-2</v>
      </c>
      <c r="J12" s="13">
        <f>'[11]Key Assumptions-WACC'!$K$3</f>
        <v>0.04</v>
      </c>
      <c r="K12" s="76">
        <f>'[11]Valuation-FCFF'!$AC$22</f>
        <v>5018.6171944595453</v>
      </c>
      <c r="L12" s="76">
        <f>'[11]Valuation-FCFF'!$AC$23</f>
        <v>3483</v>
      </c>
      <c r="M12" s="13">
        <f>(Table234589[[#This Row],[Intrinsic Value]]-Table234589[[#This Row],[Current Price]])/Table234589[[#This Row],[Current Price]]</f>
        <v>0.44088923182875261</v>
      </c>
      <c r="O12" s="11" t="s">
        <v>57</v>
      </c>
      <c r="P12" s="37">
        <f>[14]WACC!$D$6</f>
        <v>0.16268663999999999</v>
      </c>
      <c r="Q12" s="13">
        <f>[14]WACC!$B$16</f>
        <v>5.5E-2</v>
      </c>
      <c r="R12" s="76">
        <f>'[14]Relative Model'!$E$18</f>
        <v>1772.1750944072105</v>
      </c>
      <c r="S12" s="76">
        <f>'[14]Relative Model'!$F$17</f>
        <v>1540.8</v>
      </c>
      <c r="T12" s="13">
        <f>(Table2369109137[[#This Row],[Relative value]]-Table2369109137[[#This Row],[Current Price]])/Table2369109137[[#This Row],[Current Price]]</f>
        <v>0.1501655597139217</v>
      </c>
      <c r="V12" s="11" t="s">
        <v>137</v>
      </c>
      <c r="W12" s="63">
        <f>[18]WACC!$D$7</f>
        <v>0.12721499999999999</v>
      </c>
      <c r="X12" s="46">
        <f>[18]WACC!$B$19</f>
        <v>3.5000000000000003E-2</v>
      </c>
      <c r="Y12" s="87">
        <f>[18]DCF!$T$22</f>
        <v>866.4679803935154</v>
      </c>
      <c r="Z12" s="87">
        <f>[18]DCF!$T$23</f>
        <v>1145.2</v>
      </c>
      <c r="AA12" s="46">
        <f>(Table23458912377144[[#This Row],[Intrinsic Value]]-Z12)/Z12</f>
        <v>-0.2433915644485545</v>
      </c>
    </row>
    <row r="13" spans="1:27" x14ac:dyDescent="0.3">
      <c r="A13" s="11" t="s">
        <v>52</v>
      </c>
      <c r="B13" s="37">
        <f>'[8]WACC &amp; Key Assumptions'!$D$7</f>
        <v>0.13535274</v>
      </c>
      <c r="C13" s="13">
        <f>'[8]WACC &amp; Key Assumptions'!$D$18</f>
        <v>4.2500000000000003E-2</v>
      </c>
      <c r="D13" s="76">
        <f>'[8]DCF Valuation'!$Q$23</f>
        <v>274.42466465011211</v>
      </c>
      <c r="E13" s="76">
        <f>'[8]DCF Valuation'!$Q$25</f>
        <v>413.05</v>
      </c>
      <c r="F13" s="13">
        <f>(Table2345[[#This Row],[Intrinsic Value]]-Table2345[[#This Row],[Current Price]])/Table2345[[#This Row],[Current Price]]</f>
        <v>-0.33561393378498461</v>
      </c>
      <c r="H13" s="11" t="s">
        <v>38</v>
      </c>
      <c r="I13" s="37">
        <f>'[11]Key Assumptions-WACC'!$F$6</f>
        <v>0.14492859999999999</v>
      </c>
      <c r="J13" s="13">
        <f>'[11]Key Assumptions-WACC'!$K$3</f>
        <v>0.04</v>
      </c>
      <c r="K13" s="76">
        <f>'[11]Valuation-Summary'!$F$8</f>
        <v>154.65494117647057</v>
      </c>
      <c r="L13" s="76">
        <f>'[11]Valuation-FCFF'!$AM$23</f>
        <v>396.75</v>
      </c>
      <c r="M13" s="13">
        <f>(Table234589[[#This Row],[Intrinsic Value]]-Table234589[[#This Row],[Current Price]])/Table234589[[#This Row],[Current Price]]</f>
        <v>-0.61019548537751589</v>
      </c>
      <c r="O13" s="11" t="s">
        <v>116</v>
      </c>
      <c r="P13" s="37">
        <f>[14]WACC!$E$6</f>
        <v>0.16988129999999999</v>
      </c>
      <c r="Q13" s="13">
        <f>[14]WACC!$B$16</f>
        <v>5.5E-2</v>
      </c>
      <c r="R13" s="76">
        <f>'[14]Relative Model'!$K$25</f>
        <v>3876.7678622265894</v>
      </c>
      <c r="S13" s="76">
        <f>'[14]Relative Model'!$L$24</f>
        <v>2643</v>
      </c>
      <c r="T13" s="13">
        <f>(Table2369109137[[#This Row],[Relative value]]-Table2369109137[[#This Row],[Current Price]])/Table2369109137[[#This Row],[Current Price]]</f>
        <v>0.46680585025599297</v>
      </c>
      <c r="V13" s="11" t="s">
        <v>138</v>
      </c>
      <c r="W13" s="63">
        <f>[18]WACC!$E$7</f>
        <v>0.17700749999999998</v>
      </c>
      <c r="X13" s="46">
        <f>[18]WACC!$B$19</f>
        <v>3.5000000000000003E-2</v>
      </c>
      <c r="Y13" s="87">
        <f>[18]DCF!$AC$22</f>
        <v>67.953853452686232</v>
      </c>
      <c r="Z13" s="87">
        <f>[18]DCF!$AC$23</f>
        <v>171.94</v>
      </c>
      <c r="AA13" s="46">
        <f>(Table23458912377144[[#This Row],[Intrinsic Value]]-Z13)/Z13</f>
        <v>-0.60478158978314389</v>
      </c>
    </row>
    <row r="14" spans="1:27" x14ac:dyDescent="0.3">
      <c r="A14" s="11" t="s">
        <v>53</v>
      </c>
      <c r="B14" s="37">
        <f>'[8]WACC &amp; Key Assumptions'!$E$7</f>
        <v>0.16898831999999997</v>
      </c>
      <c r="C14" s="13">
        <f>'[8]WACC &amp; Key Assumptions'!$E$18</f>
        <v>4.7500000000000001E-2</v>
      </c>
      <c r="D14" s="76">
        <f>'[8]DCF Valuation'!$X$23</f>
        <v>486.77944323992875</v>
      </c>
      <c r="E14" s="76">
        <f>'[8]DCF Valuation'!$X$25</f>
        <v>3737.2</v>
      </c>
      <c r="F14" s="13">
        <f>(Table2345[[#This Row],[Intrinsic Value]]-Table2345[[#This Row],[Current Price]])/Table2345[[#This Row],[Current Price]]</f>
        <v>-0.8697475534518011</v>
      </c>
      <c r="H14" s="31" t="s">
        <v>100</v>
      </c>
      <c r="I14" s="77">
        <f>'[11]Key Assumptions-WACC'!$G$6</f>
        <v>0.20342968</v>
      </c>
      <c r="J14" s="13">
        <f>'[11]Key Assumptions-WACC'!$K$3</f>
        <v>0.04</v>
      </c>
      <c r="K14" s="78">
        <f>'[11]Valuation-FCFF'!$AV$22</f>
        <v>200.50159278025291</v>
      </c>
      <c r="L14" s="78">
        <f>'[11]Valuation-FCFF'!$AV$23</f>
        <v>101.64</v>
      </c>
      <c r="M14" s="13">
        <f>(Table234589[[#This Row],[Intrinsic Value]]-Table234589[[#This Row],[Current Price]])/Table234589[[#This Row],[Current Price]]</f>
        <v>0.97266423435904081</v>
      </c>
      <c r="O14" s="31" t="s">
        <v>117</v>
      </c>
      <c r="P14" s="77">
        <f>[14]WACC!$F$6</f>
        <v>0.18246287999999999</v>
      </c>
      <c r="Q14" s="13">
        <f>[14]WACC!$B$16</f>
        <v>5.5E-2</v>
      </c>
      <c r="R14" s="78">
        <f>'[14]Relative Model'!$J$18</f>
        <v>12166.275769289769</v>
      </c>
      <c r="S14" s="78">
        <f>'[14]Relative Model'!$K$17</f>
        <v>4857</v>
      </c>
      <c r="T14" s="13">
        <f>(Table2369109137[[#This Row],[Relative value]]-Table2369109137[[#This Row],[Current Price]])/Table2369109137[[#This Row],[Current Price]]</f>
        <v>1.50489515529952</v>
      </c>
      <c r="V14" s="11" t="s">
        <v>139</v>
      </c>
      <c r="W14" s="63">
        <f>[18]WACC!$F$7</f>
        <v>0.21354749999999997</v>
      </c>
      <c r="X14" s="46">
        <f>[18]WACC!$B$19</f>
        <v>3.5000000000000003E-2</v>
      </c>
      <c r="Y14" s="87">
        <f>[18]DCF!$AL$22</f>
        <v>131.50022609450448</v>
      </c>
      <c r="Z14" s="87">
        <f>[18]DCF!$AL$23</f>
        <v>131.72</v>
      </c>
      <c r="AA14" s="46">
        <f>(Table23458912377144[[#This Row],[Intrinsic Value]]-Z14)/Z14</f>
        <v>-1.6684930572085865E-3</v>
      </c>
    </row>
    <row r="15" spans="1:27" x14ac:dyDescent="0.3">
      <c r="A15" s="11" t="s">
        <v>54</v>
      </c>
      <c r="B15" s="37">
        <f>'[8]WACC &amp; Key Assumptions'!$F$7</f>
        <v>0.17284337999999999</v>
      </c>
      <c r="C15" s="13">
        <f>'[8]WACC &amp; Key Assumptions'!$F$18</f>
        <v>4.7500000000000001E-2</v>
      </c>
      <c r="D15" s="76">
        <f>'[8]DCF Valuation'!$AE$23</f>
        <v>573.45426947415046</v>
      </c>
      <c r="E15" s="76">
        <f>'[8]DCF Valuation'!$AE$25</f>
        <v>4802.3</v>
      </c>
      <c r="F15" s="13">
        <f>(Table2345[[#This Row],[Intrinsic Value]]-Table2345[[#This Row],[Current Price]])/Table2345[[#This Row],[Current Price]]</f>
        <v>-0.88058757897795836</v>
      </c>
      <c r="V15" s="31" t="s">
        <v>140</v>
      </c>
      <c r="W15" s="88">
        <f>[18]WACC!$G$7</f>
        <v>0.1434975</v>
      </c>
      <c r="X15" s="46">
        <f>[18]WACC!$B$19</f>
        <v>3.5000000000000003E-2</v>
      </c>
      <c r="Y15" s="89">
        <f>[18]DCF!$AU$22</f>
        <v>75.958980818300674</v>
      </c>
      <c r="Z15" s="89">
        <f>[18]DCF!$AU$23</f>
        <v>76.23</v>
      </c>
      <c r="AA15" s="46">
        <f>(Table23458912377144[[#This Row],[Intrinsic Value]]-Z15)/Z15</f>
        <v>-3.5552824570291241E-3</v>
      </c>
    </row>
    <row r="16" spans="1:27" x14ac:dyDescent="0.3">
      <c r="A16" s="31" t="s">
        <v>81</v>
      </c>
      <c r="B16" s="77">
        <f>'[8]WACC &amp; Key Assumptions'!$G$7</f>
        <v>0.15692945999999999</v>
      </c>
      <c r="C16" s="84">
        <f>'[8]WACC &amp; Key Assumptions'!$G$18</f>
        <v>4.2500000000000003E-2</v>
      </c>
      <c r="D16" s="78">
        <f>'[8]DCF Valuation'!$AL$23</f>
        <v>125.33610927628679</v>
      </c>
      <c r="E16" s="78">
        <f>'[8]DCF Valuation'!$AL$25</f>
        <v>456.35</v>
      </c>
      <c r="F16" s="13">
        <f>(Table2345[[#This Row],[Intrinsic Value]]-Table2345[[#This Row],[Current Price]])/Table2345[[#This Row],[Current Price]]</f>
        <v>-0.72535091645384731</v>
      </c>
      <c r="H16" s="85" t="s">
        <v>71</v>
      </c>
      <c r="I16" s="85" t="s">
        <v>75</v>
      </c>
      <c r="J16" s="85" t="s">
        <v>72</v>
      </c>
      <c r="K16" s="85" t="s">
        <v>76</v>
      </c>
      <c r="L16" s="85" t="s">
        <v>73</v>
      </c>
      <c r="M16" s="85" t="s">
        <v>74</v>
      </c>
      <c r="O16" s="86" t="s">
        <v>71</v>
      </c>
      <c r="P16" s="86" t="s">
        <v>75</v>
      </c>
      <c r="Q16" s="86" t="s">
        <v>72</v>
      </c>
      <c r="R16" s="86" t="s">
        <v>76</v>
      </c>
      <c r="S16" s="86" t="s">
        <v>73</v>
      </c>
      <c r="T16" s="86" t="s">
        <v>74</v>
      </c>
    </row>
    <row r="17" spans="1:20" x14ac:dyDescent="0.3">
      <c r="B17" s="42"/>
      <c r="C17" s="51"/>
      <c r="D17" s="79"/>
      <c r="E17" s="79"/>
      <c r="F17" s="51"/>
      <c r="H17" s="11" t="s">
        <v>44</v>
      </c>
      <c r="I17" s="37">
        <f>'[12]Weighted Avg Cost of Capital'!$B$3</f>
        <v>0.12125</v>
      </c>
      <c r="J17" s="13">
        <f>'[12]Weighted Avg Cost of Capital'!$B$8</f>
        <v>3.5000000000000003E-2</v>
      </c>
      <c r="K17" s="76">
        <f>'[12]Intrinsic Value calculation'!$B$11</f>
        <v>658.47441965458052</v>
      </c>
      <c r="L17" s="76">
        <f>'[12]Intrinsic Value calculation'!$B$12</f>
        <v>170.25</v>
      </c>
      <c r="M17" s="13">
        <f>(Table2369109[[#This Row],[Intrinsic Value]]-Table2369109[[#This Row],[Current Price]])/Table2369109[[#This Row],[Current Price]]</f>
        <v>2.8676911580298414</v>
      </c>
      <c r="O17" s="11" t="s">
        <v>120</v>
      </c>
      <c r="P17" s="37">
        <f>[16]WACC!$B$7</f>
        <v>0.15854646</v>
      </c>
      <c r="Q17" s="13">
        <f>[16]WACC!$B$19</f>
        <v>0.04</v>
      </c>
      <c r="R17" s="76">
        <f>[16]FCFF!$B$22</f>
        <v>259.2361988015391</v>
      </c>
      <c r="S17" s="76">
        <f>[16]Relative!$H$16</f>
        <v>344</v>
      </c>
      <c r="T17" s="13">
        <f>(Table23458912377[[#This Row],[Intrinsic Value]]-Table23458912377[[#This Row],[Current Price]])/Table23458912377[[#This Row],[Current Price]]</f>
        <v>-0.24640639883273516</v>
      </c>
    </row>
    <row r="18" spans="1:20" x14ac:dyDescent="0.3">
      <c r="A18" s="43" t="s">
        <v>71</v>
      </c>
      <c r="B18" s="43" t="s">
        <v>75</v>
      </c>
      <c r="C18" s="43" t="s">
        <v>72</v>
      </c>
      <c r="D18" s="43" t="s">
        <v>76</v>
      </c>
      <c r="E18" s="43" t="s">
        <v>73</v>
      </c>
      <c r="F18" s="43" t="s">
        <v>74</v>
      </c>
      <c r="H18" s="11" t="s">
        <v>45</v>
      </c>
      <c r="I18" s="37">
        <f>'[12]Weighted Avg Cost of Capital'!$C$3</f>
        <v>0.17083499999999999</v>
      </c>
      <c r="J18" s="13">
        <f>'[12]Weighted Avg Cost of Capital'!$B$8</f>
        <v>3.5000000000000003E-2</v>
      </c>
      <c r="K18" s="76">
        <f>'[12]Intrinsic Value calculation'!$C$11</f>
        <v>43.025318069056212</v>
      </c>
      <c r="L18" s="76">
        <f>'[12]Intrinsic Value calculation'!$C$12</f>
        <v>44.18</v>
      </c>
      <c r="M18" s="13">
        <f>(Table2369109[[#This Row],[Intrinsic Value]]-Table2369109[[#This Row],[Current Price]])/Table2369109[[#This Row],[Current Price]]</f>
        <v>-2.6135851764232412E-2</v>
      </c>
      <c r="O18" s="11" t="s">
        <v>121</v>
      </c>
      <c r="P18" s="37">
        <f>[16]WACC!$C$7</f>
        <v>0.18783329999999998</v>
      </c>
      <c r="Q18" s="13">
        <f>[16]WACC!$B$19</f>
        <v>0.04</v>
      </c>
      <c r="R18" s="76">
        <f>[16]FCFF!$K$22</f>
        <v>34.138373153936136</v>
      </c>
      <c r="S18" s="76">
        <f>[16]FCFF!$K$23</f>
        <v>178.45</v>
      </c>
      <c r="T18" s="13">
        <f>(Table23458912377[[#This Row],[Intrinsic Value]]-Table23458912377[[#This Row],[Current Price]])/Table23458912377[[#This Row],[Current Price]]</f>
        <v>-0.8086950229535661</v>
      </c>
    </row>
    <row r="19" spans="1:20" x14ac:dyDescent="0.3">
      <c r="A19" s="11" t="s">
        <v>87</v>
      </c>
      <c r="B19" s="37">
        <f>[9]WACC!$B$6</f>
        <v>0.12981335999999999</v>
      </c>
      <c r="C19" s="13">
        <f>[9]WACC!$B$17</f>
        <v>0.04</v>
      </c>
      <c r="D19" s="76">
        <f>[9]DCF!$B$21</f>
        <v>985.47907551936703</v>
      </c>
      <c r="E19" s="76">
        <f>'[9]Relative Valuation'!$B$3</f>
        <v>6564</v>
      </c>
      <c r="F19" s="13">
        <f>(Table234558[[#This Row],[Intrinsic Value]]-Table234558[[#This Row],[Current Price]])/Table234558[[#This Row],[Current Price]]</f>
        <v>-0.84986607624628774</v>
      </c>
      <c r="H19" s="11" t="s">
        <v>46</v>
      </c>
      <c r="I19" s="37">
        <f>'[12]Weighted Avg Cost of Capital'!$D$3</f>
        <v>0.14640500000000001</v>
      </c>
      <c r="J19" s="13">
        <f>'[12]Weighted Avg Cost of Capital'!$B$8</f>
        <v>3.5000000000000003E-2</v>
      </c>
      <c r="K19" s="76">
        <f>'[12]Intrinsic Value calculation'!$D$11</f>
        <v>99.742313378535641</v>
      </c>
      <c r="L19" s="76">
        <f>'[12]Intrinsic Value calculation'!$D$12</f>
        <v>399.9</v>
      </c>
      <c r="M19" s="13">
        <f>(Table2369109[[#This Row],[Intrinsic Value]]-Table2369109[[#This Row],[Current Price]])/Table2369109[[#This Row],[Current Price]]</f>
        <v>-0.75058186201916566</v>
      </c>
      <c r="O19" s="11" t="s">
        <v>122</v>
      </c>
      <c r="P19" s="37">
        <f>[16]WACC!$D$7</f>
        <v>0.18137915999999998</v>
      </c>
      <c r="Q19" s="13">
        <f>[16]WACC!$B$19</f>
        <v>0.04</v>
      </c>
      <c r="R19" s="76">
        <f>[16]FCFF!$T$22</f>
        <v>158.56827977282063</v>
      </c>
      <c r="S19" s="76">
        <f>[16]FCFF!$T$23</f>
        <v>458.05</v>
      </c>
      <c r="T19" s="13">
        <f>(Table23458912377[[#This Row],[Intrinsic Value]]-Table23458912377[[#This Row],[Current Price]])/Table23458912377[[#This Row],[Current Price]]</f>
        <v>-0.65381884123388134</v>
      </c>
    </row>
    <row r="20" spans="1:20" x14ac:dyDescent="0.3">
      <c r="A20" s="11" t="s">
        <v>88</v>
      </c>
      <c r="B20" s="37">
        <f>[9]WACC!$C$6</f>
        <v>0.13561409999999999</v>
      </c>
      <c r="C20" s="13">
        <f>[9]WACC!$B$17</f>
        <v>0.04</v>
      </c>
      <c r="D20" s="76">
        <f>[9]DCF!$I$21</f>
        <v>404.27448023093103</v>
      </c>
      <c r="E20" s="76">
        <f>'[9]Relative Valuation'!$C$3</f>
        <v>1690.1</v>
      </c>
      <c r="F20" s="13">
        <f>(Table234558[[#This Row],[Intrinsic Value]]-Table234558[[#This Row],[Current Price]])/Table234558[[#This Row],[Current Price]]</f>
        <v>-0.76079848516009052</v>
      </c>
      <c r="H20" s="11" t="s">
        <v>47</v>
      </c>
      <c r="I20" s="37">
        <f>'[12]Weighted Avg Cost of Capital'!$E$3</f>
        <v>0.12520500000000001</v>
      </c>
      <c r="J20" s="13">
        <f>'[12]Weighted Avg Cost of Capital'!$B$8</f>
        <v>3.5000000000000003E-2</v>
      </c>
      <c r="K20" s="76">
        <f>'[12]Intrinsic Value calculation'!$E$11</f>
        <v>202.34279469649596</v>
      </c>
      <c r="L20" s="76">
        <f>'[12]Intrinsic Value calculation'!$E$12</f>
        <v>525.29999999999995</v>
      </c>
      <c r="M20" s="13">
        <f>(Table2369109[[#This Row],[Intrinsic Value]]-Table2369109[[#This Row],[Current Price]])/Table2369109[[#This Row],[Current Price]]</f>
        <v>-0.6148052642366344</v>
      </c>
      <c r="O20" s="11" t="s">
        <v>123</v>
      </c>
      <c r="P20" s="37">
        <f>[16]WACC!$E$7</f>
        <v>0.15927246</v>
      </c>
      <c r="Q20" s="13">
        <f>[16]WACC!$B$19</f>
        <v>0.04</v>
      </c>
      <c r="R20" s="76">
        <f>[16]FCFF!$AC$22</f>
        <v>342.83588116962227</v>
      </c>
      <c r="S20" s="76">
        <f>[16]FCFF!$AC$23</f>
        <v>155.30000000000001</v>
      </c>
      <c r="T20" s="13">
        <f>(Table23458912377[[#This Row],[Intrinsic Value]]-Table23458912377[[#This Row],[Current Price]])/Table23458912377[[#This Row],[Current Price]]</f>
        <v>1.2075716752712315</v>
      </c>
    </row>
    <row r="21" spans="1:20" x14ac:dyDescent="0.3">
      <c r="A21" s="11" t="s">
        <v>89</v>
      </c>
      <c r="B21" s="37">
        <f>[9]WACC!$D$6</f>
        <v>0.11829899999999999</v>
      </c>
      <c r="C21" s="13">
        <f>[9]WACC!$B$17</f>
        <v>0.04</v>
      </c>
      <c r="D21" s="76"/>
      <c r="E21" s="76">
        <f>'[9]Relative Valuation'!$D$3</f>
        <v>2440</v>
      </c>
      <c r="F21" s="13">
        <f>(Table234558[[#This Row],[Intrinsic Value]]-Table234558[[#This Row],[Current Price]])/Table234558[[#This Row],[Current Price]]</f>
        <v>-1</v>
      </c>
      <c r="H21" s="31" t="s">
        <v>48</v>
      </c>
      <c r="I21" s="77">
        <f>'[12]Weighted Avg Cost of Capital'!$F$3</f>
        <v>0.12196499999999999</v>
      </c>
      <c r="J21" s="13">
        <f>'[12]Weighted Avg Cost of Capital'!$B$8</f>
        <v>3.5000000000000003E-2</v>
      </c>
      <c r="K21" s="78">
        <f>'[12]Intrinsic Value calculation'!$F$11</f>
        <v>563.92105884673606</v>
      </c>
      <c r="L21" s="78">
        <f>'[12]Intrinsic Value calculation'!$F$12</f>
        <v>341.95</v>
      </c>
      <c r="M21" s="13">
        <f>(Table2369109[[#This Row],[Intrinsic Value]]-Table2369109[[#This Row],[Current Price]])/Table2369109[[#This Row],[Current Price]]</f>
        <v>0.64913308626037747</v>
      </c>
      <c r="O21" s="11" t="s">
        <v>124</v>
      </c>
      <c r="P21" s="37">
        <f>[16]WACC!$F$7</f>
        <v>0.15045881999999999</v>
      </c>
      <c r="Q21" s="13">
        <f>[16]WACC!$B$19</f>
        <v>0.04</v>
      </c>
      <c r="R21" s="76">
        <f>[16]FCFF!$AL$22</f>
        <v>347.14670802703279</v>
      </c>
      <c r="S21" s="76">
        <f>[16]FCFF!$AL$23</f>
        <v>243.39</v>
      </c>
      <c r="T21" s="13">
        <f>(Table23458912377[[#This Row],[Intrinsic Value]]-Table23458912377[[#This Row],[Current Price]])/Table23458912377[[#This Row],[Current Price]]</f>
        <v>0.42629815533519377</v>
      </c>
    </row>
    <row r="22" spans="1:20" x14ac:dyDescent="0.3">
      <c r="A22" s="11" t="s">
        <v>90</v>
      </c>
      <c r="B22" s="37">
        <f>[9]WACC!$E$6</f>
        <v>0.10370639999999999</v>
      </c>
      <c r="C22" s="13">
        <f>[9]WACC!$B$17</f>
        <v>0.04</v>
      </c>
      <c r="D22" s="76">
        <f>[9]DCF!$W$21</f>
        <v>968.7045768536334</v>
      </c>
      <c r="E22" s="76">
        <f>'[9]Relative Valuation'!$E$3</f>
        <v>1288.5</v>
      </c>
      <c r="F22" s="13">
        <f>(Table234558[[#This Row],[Intrinsic Value]]-Table234558[[#This Row],[Current Price]])/Table234558[[#This Row],[Current Price]]</f>
        <v>-0.24819202417257788</v>
      </c>
      <c r="O22" s="31" t="s">
        <v>125</v>
      </c>
      <c r="P22" s="77">
        <f>[16]WACC!$G$7</f>
        <v>0.13789901999999998</v>
      </c>
      <c r="Q22" s="13">
        <f>[16]WACC!$B$19</f>
        <v>0.04</v>
      </c>
      <c r="R22" s="78" t="e">
        <f>[16]!Table15263945[[#This Row],[Value]]</f>
        <v>#REF!</v>
      </c>
      <c r="S22" s="78">
        <f>[16]FCFF!$AU$23</f>
        <v>1377.95</v>
      </c>
      <c r="T22" s="13" t="e">
        <f>(Table23458912377[[#This Row],[Intrinsic Value]]-Table23458912377[[#This Row],[Current Price]])/Table23458912377[[#This Row],[Current Price]]</f>
        <v>#REF!</v>
      </c>
    </row>
    <row r="23" spans="1:20" x14ac:dyDescent="0.3">
      <c r="A23" s="11" t="s">
        <v>91</v>
      </c>
      <c r="B23" s="37">
        <f>[9]WACC!$F$6</f>
        <v>0.11800133999999998</v>
      </c>
      <c r="C23" s="13">
        <f>[9]WACC!$B$17</f>
        <v>0.04</v>
      </c>
      <c r="D23" s="76">
        <f>[9]DCF!$AD$21</f>
        <v>724.62117424775033</v>
      </c>
      <c r="E23" s="76">
        <f>'[9]Relative Valuation'!$F$3</f>
        <v>3571.8</v>
      </c>
      <c r="F23" s="13">
        <f>(Table234558[[#This Row],[Intrinsic Value]]-Table234558[[#This Row],[Current Price]])/Table234558[[#This Row],[Current Price]]</f>
        <v>-0.79712716998495148</v>
      </c>
    </row>
    <row r="24" spans="1:20" x14ac:dyDescent="0.3">
      <c r="A24" s="31" t="s">
        <v>92</v>
      </c>
      <c r="B24" s="77">
        <f>[9]WACC!$G$6</f>
        <v>0.10347408</v>
      </c>
      <c r="C24" s="13">
        <f>[9]WACC!$B$17</f>
        <v>0.04</v>
      </c>
      <c r="D24" s="78">
        <f>[9]DCF!$AK$21</f>
        <v>382.19488267854575</v>
      </c>
      <c r="E24" s="78">
        <f>'[9]Relative Valuation'!$G$3</f>
        <v>1666.8</v>
      </c>
      <c r="F24" s="13">
        <f>(Table234558[[#This Row],[Intrinsic Value]]-Table234558[[#This Row],[Current Price]])/Table234558[[#This Row],[Current Price]]</f>
        <v>-0.77070141427973016</v>
      </c>
    </row>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4C9E-8B6A-464B-8038-AC3A613DA8DE}">
  <dimension ref="A1:AC26"/>
  <sheetViews>
    <sheetView workbookViewId="0">
      <selection activeCell="F17" sqref="F17"/>
    </sheetView>
  </sheetViews>
  <sheetFormatPr defaultRowHeight="14.4" x14ac:dyDescent="0.3"/>
  <cols>
    <col min="1" max="1" width="12.77734375" style="1" bestFit="1" customWidth="1"/>
    <col min="2" max="2" width="13.5546875" style="2" bestFit="1" customWidth="1"/>
    <col min="3" max="3" width="10.77734375" style="2" bestFit="1" customWidth="1"/>
    <col min="4" max="4" width="11.33203125" style="2" bestFit="1" customWidth="1"/>
    <col min="5" max="5" width="8.88671875" style="2" bestFit="1" customWidth="1"/>
    <col min="6" max="6" width="9.109375" style="2" bestFit="1" customWidth="1"/>
    <col min="7" max="8" width="8.88671875" style="1"/>
    <col min="9" max="9" width="12.77734375" style="132" bestFit="1" customWidth="1"/>
    <col min="10" max="10" width="10.6640625" style="1" customWidth="1"/>
    <col min="11" max="11" width="10.77734375" style="1" customWidth="1"/>
    <col min="12" max="12" width="8.21875" style="1" customWidth="1"/>
    <col min="13" max="13" width="9.5546875" style="1" customWidth="1"/>
    <col min="14" max="15" width="11.109375" style="1" bestFit="1" customWidth="1"/>
    <col min="16" max="16" width="8.88671875" style="1"/>
    <col min="17" max="17" width="12.77734375" style="132" bestFit="1" customWidth="1"/>
    <col min="18" max="18" width="10" style="134" bestFit="1" customWidth="1"/>
    <col min="19" max="19" width="9.77734375" style="134" bestFit="1" customWidth="1"/>
    <col min="20" max="20" width="7" style="134" bestFit="1" customWidth="1"/>
    <col min="21" max="21" width="13.77734375" style="134" customWidth="1"/>
    <col min="22" max="22" width="11.109375" style="134" bestFit="1" customWidth="1"/>
    <col min="23" max="23" width="11.109375" style="134" customWidth="1"/>
    <col min="24" max="24" width="8.88671875" style="1"/>
    <col min="25" max="25" width="12.77734375" style="1" bestFit="1" customWidth="1"/>
    <col min="26" max="27" width="15" style="134" bestFit="1" customWidth="1"/>
    <col min="28" max="29" width="18" style="134" bestFit="1" customWidth="1"/>
    <col min="30" max="16384" width="8.88671875" style="1"/>
  </cols>
  <sheetData>
    <row r="1" spans="1:29" s="99" customFormat="1" ht="43.2" x14ac:dyDescent="0.3">
      <c r="A1" s="97" t="s">
        <v>8</v>
      </c>
      <c r="B1" s="98" t="s">
        <v>141</v>
      </c>
      <c r="C1" s="98" t="s">
        <v>144</v>
      </c>
      <c r="D1" s="98" t="s">
        <v>142</v>
      </c>
      <c r="E1" s="98" t="s">
        <v>143</v>
      </c>
      <c r="F1" s="98" t="s">
        <v>151</v>
      </c>
      <c r="G1" s="3"/>
      <c r="H1" s="3"/>
      <c r="I1" s="107" t="s">
        <v>8</v>
      </c>
      <c r="J1" s="98" t="s">
        <v>156</v>
      </c>
      <c r="K1" s="98" t="s">
        <v>157</v>
      </c>
      <c r="L1" s="98" t="s">
        <v>158</v>
      </c>
      <c r="M1" s="98" t="s">
        <v>161</v>
      </c>
      <c r="N1" s="98" t="s">
        <v>159</v>
      </c>
      <c r="O1" s="98" t="s">
        <v>160</v>
      </c>
      <c r="Q1" s="135" t="s">
        <v>8</v>
      </c>
      <c r="R1" s="136" t="s">
        <v>207</v>
      </c>
      <c r="S1" s="136" t="s">
        <v>208</v>
      </c>
      <c r="T1" s="136" t="s">
        <v>158</v>
      </c>
      <c r="U1" s="136" t="s">
        <v>209</v>
      </c>
      <c r="V1" s="136" t="s">
        <v>159</v>
      </c>
      <c r="W1" s="137" t="s">
        <v>160</v>
      </c>
      <c r="Y1" s="107" t="s">
        <v>8</v>
      </c>
      <c r="Z1" s="158" t="s">
        <v>245</v>
      </c>
      <c r="AA1" s="158" t="s">
        <v>246</v>
      </c>
      <c r="AB1" s="158" t="s">
        <v>243</v>
      </c>
      <c r="AC1" s="158" t="s">
        <v>244</v>
      </c>
    </row>
    <row r="2" spans="1:29" x14ac:dyDescent="0.3">
      <c r="A2" s="11" t="s">
        <v>33</v>
      </c>
      <c r="B2" s="91">
        <f>AVERAGE('[11]Valuation-FCFF'!$C$3,'[11]Valuation-FCFF'!$L$3,'[11]Valuation-FCFF'!$U$3,'[11]Valuation-FCFF'!$AD$3,'[11]Valuation-FCFF'!$AN$3,'[11]Valuation-FCFF'!$AW$3)</f>
        <v>0.10444596511629878</v>
      </c>
      <c r="C2" s="91">
        <f>AVERAGE('[11]Financial Ratios'!$C$9:$H$9,'[11]Financial Ratios'!$L$9:$Q$9,'[11]Financial Ratios'!$U$9:$Z$9,'[11]Financial Ratios'!$AD$9:$AH$9,'[11]Financial Ratios'!$AM$9:$AR$9,'[11]Financial Ratios'!$AV$9:$AZ$9)</f>
        <v>0.12772039862401249</v>
      </c>
      <c r="D2" s="91">
        <f>AVERAGE('[11]Financial Ratios'!$C$11:$H$11,'[11]Financial Ratios'!$L$11:$Q$11,'[11]Financial Ratios'!$U$11:$Z$11,'[11]Financial Ratios'!$AD$11:$AH$11,'[11]Financial Ratios'!$AM$11:$AR$11,'[11]Financial Ratios'!$AV$11:$AZ$11)</f>
        <v>9.5429516888423799E-2</v>
      </c>
      <c r="E2" s="91">
        <f>AVERAGE('[11]Financial Ratios'!$C$8:$H$8,'[11]Financial Ratios'!$L$8:$Q$8,'[11]Financial Ratios'!$U$8:$Z$8,'[11]Financial Ratios'!$AD$8:$AH$8,'[11]Financial Ratios'!$AM$8:$AR$8,'[11]Financial Ratios'!$AV$8:$AZ$8)</f>
        <v>4.256716663117352E-2</v>
      </c>
      <c r="F2" s="92">
        <f>AVERAGE('[11]Financial Ratios'!$C$19:$H$19,'[11]Financial Ratios'!$L$19:$Q$19,'[11]Financial Ratios'!$U$19:$Z$19,'[11]Financial Ratios'!$AD$19:$AH$19,'[11]Financial Ratios'!$AM$19:$AR$19,'[11]Financial Ratios'!$AV$19:$AZ$19)</f>
        <v>36.386922016455642</v>
      </c>
      <c r="I2" s="130" t="s">
        <v>33</v>
      </c>
      <c r="J2" s="12">
        <f>'[11]5c'!$D$8</f>
        <v>4886.1617777777783</v>
      </c>
      <c r="K2" s="12">
        <f>'[11]5c'!$D$15</f>
        <v>13506.664255412521</v>
      </c>
      <c r="L2" s="13">
        <f>'[11]5c'!$D$22</f>
        <v>8.6338679478722313E-2</v>
      </c>
      <c r="M2" s="13">
        <f>C15</f>
        <v>7.5826979644863388E-2</v>
      </c>
      <c r="N2" s="13">
        <f>'[11]5c'!$J$8</f>
        <v>0.36798832590336278</v>
      </c>
      <c r="O2" s="13">
        <f>'[19]5c'!$P$8</f>
        <v>0.18333333333333335</v>
      </c>
      <c r="Q2" s="130" t="str">
        <f>Table5[[#This Row],[Sector]]</f>
        <v>Automotive</v>
      </c>
      <c r="R2" s="87">
        <f ca="1">(Table5[[#This Row],[Avg Capex (20-25)]]/$O$16)*10</f>
        <v>548.11394669109643</v>
      </c>
      <c r="S2" s="87">
        <f ca="1">(Table5[[#This Row],[Avg Capex (26-30)]]/$O$16)*10</f>
        <v>1515.1342481813363</v>
      </c>
      <c r="T2" s="46" cm="1">
        <f t="array" ref="T2:W13">Table5[[Capex CAGR]:[Incremental ROCE (Forecast)]]</f>
        <v>8.6338679478722313E-2</v>
      </c>
      <c r="U2" s="46">
        <v>7.5826979644863388E-2</v>
      </c>
      <c r="V2" s="46">
        <v>0.36798832590336278</v>
      </c>
      <c r="W2" s="46">
        <v>0.18333333333333335</v>
      </c>
      <c r="Y2" s="1" t="str">
        <f>Q2</f>
        <v>Automotive</v>
      </c>
      <c r="Z2" s="159">
        <f>'Tables-Auto'!R11</f>
        <v>0.89037609779459492</v>
      </c>
      <c r="AA2" s="159">
        <f>[20]Calc!$I$28</f>
        <v>0.492672244218537</v>
      </c>
      <c r="AB2" s="160">
        <f t="shared" ref="AB2:AB12" si="0">Z2/$W$22</f>
        <v>46.861899883926043</v>
      </c>
      <c r="AC2" s="160">
        <f>[20]Calc!$I$19</f>
        <v>246.3361221092687</v>
      </c>
    </row>
    <row r="3" spans="1:29" x14ac:dyDescent="0.3">
      <c r="A3" s="11" t="s">
        <v>0</v>
      </c>
      <c r="B3" s="91">
        <f>AVERAGE([7]WACC!$C$9:$I$9)</f>
        <v>0.1463275881443567</v>
      </c>
      <c r="C3" s="91">
        <f>AVERAGE('[7]Financial Ratios-Banks'!$G$9,'[7]Financial Ratios-Banks'!$M$9,'[7]Financial Ratios-Banks'!$S$9,'[7]Financial Ratios-Banks'!$Y$9,'[7]Financial Ratios-NBFCs'!$B$9:$P$9)</f>
        <v>0.40075584997953767</v>
      </c>
      <c r="D3" s="91">
        <f>AVERAGE('[7]Financial Ratios-Banks'!$G$7,'[7]Financial Ratios-Banks'!$M$7,'[7]Financial Ratios-Banks'!$S$7,'[7]Financial Ratios-Banks'!$Y$7,'[7]Financial Ratios-NBFCs'!$B$7:$P$7)</f>
        <v>0.15304406702329984</v>
      </c>
      <c r="E3" s="91">
        <f>AVERAGE('[7]Financial Ratios-Banks'!$G$10,'[7]Financial Ratios-Banks'!$M$10,'[7]Financial Ratios-Banks'!$S$10,'[7]Financial Ratios-Banks'!$Y$10,'[7]Financial Ratios-NBFCs'!$B$10:$P$10)</f>
        <v>0.22241786605009156</v>
      </c>
      <c r="F3" s="92">
        <f>AVERAGE('[7]Company Profile'!$B$8:$H$8)</f>
        <v>25.153557142857146</v>
      </c>
      <c r="I3" s="130" t="s">
        <v>0</v>
      </c>
      <c r="J3" s="12">
        <f>[7]Calc!$D$9</f>
        <v>1666.287314285714</v>
      </c>
      <c r="K3" s="12">
        <f>[7]Calc!$D$17</f>
        <v>1666.287314285714</v>
      </c>
      <c r="L3" s="13">
        <v>1.4E-2</v>
      </c>
      <c r="M3" s="13">
        <f t="shared" ref="M3:M12" si="1">C16</f>
        <v>1.4999999999999999E-2</v>
      </c>
      <c r="N3" s="13">
        <f>[7]Calc!$J$9</f>
        <v>0.31179801833350745</v>
      </c>
      <c r="O3" s="13">
        <f>[7]Calc!$M$9</f>
        <v>0.14954551308444244</v>
      </c>
      <c r="Q3" s="130" t="str">
        <f>Table5[[#This Row],[Sector]]</f>
        <v>BFSI</v>
      </c>
      <c r="R3" s="87">
        <f ca="1">(Table5[[#This Row],[Avg Capex (20-25)]]/$O$16)*10</f>
        <v>186.9187631707571</v>
      </c>
      <c r="S3" s="87">
        <f ca="1">(Table5[[#This Row],[Avg Capex (26-30)]]/$O$16)*10</f>
        <v>186.9187631707571</v>
      </c>
      <c r="T3" s="46">
        <v>1.4E-2</v>
      </c>
      <c r="U3" s="46">
        <v>1.4999999999999999E-2</v>
      </c>
      <c r="V3" s="46">
        <v>0.31179801833350745</v>
      </c>
      <c r="W3" s="46">
        <v>0.14954551308444244</v>
      </c>
      <c r="Y3" s="1" t="str">
        <f t="shared" ref="Y3:Y12" si="2">Q3</f>
        <v>BFSI</v>
      </c>
      <c r="Z3" s="159">
        <f>'Tables-BFSI'!R9</f>
        <v>1.0440538485831259</v>
      </c>
      <c r="AA3" s="159">
        <f>[21]Calc!$D$41</f>
        <v>0.27856796628023972</v>
      </c>
      <c r="AB3" s="160">
        <f t="shared" si="0"/>
        <v>54.950202557006619</v>
      </c>
      <c r="AC3" s="160">
        <f>[21]Calc!$I$17</f>
        <v>55.713593256047936</v>
      </c>
    </row>
    <row r="4" spans="1:29" x14ac:dyDescent="0.3">
      <c r="A4" s="11" t="s">
        <v>40</v>
      </c>
      <c r="B4" s="91">
        <v>0.1157</v>
      </c>
      <c r="C4" s="91">
        <f>AVERAGE('[14]Ratio Analysis'!$C$5:$G$5,'[14]Ratio Analysis'!$I$5:$M$5,'[14]Ratio Analysis'!$O$5:$S$5,'[14]Ratio Analysis'!$U$5:$Y$5,'[14]Ratio Analysis'!$AA$5:$AF$5)</f>
        <v>0.20012700159578906</v>
      </c>
      <c r="D4" s="91">
        <f>AVERAGE('[14]Ratio Analysis'!$C$9:$G$9,'[14]Ratio Analysis'!$I$9:$M$9,'[14]Ratio Analysis'!$O$9:$S$9,'[14]Ratio Analysis'!$U$9:$Y$9,'[14]Ratio Analysis'!$AA$9:$AF$9)</f>
        <v>0.19109054262551048</v>
      </c>
      <c r="E4" s="91">
        <f>AVERAGE('[14]Ratio Analysis'!$C$6:$G$6,'[14]Ratio Analysis'!$I$6:$M$6,'[14]Ratio Analysis'!$O$6:$S$6,'[14]Ratio Analysis'!$U$6:$Y$6,'[14]Ratio Analysis'!$AA$6:$AF$6)</f>
        <v>0.14845609444024879</v>
      </c>
      <c r="F4" s="92">
        <f>AVERAGE('[14]Ratio Analysis'!$C$21:$G$21,'[14]Ratio Analysis'!$I$21:$M$21,'[14]Ratio Analysis'!$O$21:$S$21,'[14]Ratio Analysis'!$U$21:$Y$21,'[14]Ratio Analysis'!$AA$21:$AF$21)</f>
        <v>75.725357888656362</v>
      </c>
      <c r="I4" s="130" t="s">
        <v>40</v>
      </c>
      <c r="J4" s="102">
        <f>[14]Calc!$D$7</f>
        <v>330.420816</v>
      </c>
      <c r="K4" s="102">
        <f>[14]Calc!$D$13</f>
        <v>528.3955989938147</v>
      </c>
      <c r="L4" s="13">
        <f>[14]Calc!$D$19</f>
        <v>7.7253064527665977E-2</v>
      </c>
      <c r="M4" s="13">
        <f t="shared" si="1"/>
        <v>2.9634974948604242E-2</v>
      </c>
      <c r="N4" s="13">
        <f>[14]Calc!$J$7</f>
        <v>0.34098067644437197</v>
      </c>
      <c r="O4" s="13">
        <f>[14]Calc!$P$7</f>
        <v>0.35</v>
      </c>
      <c r="Q4" s="130" t="str">
        <f>Table5[[#This Row],[Sector]]</f>
        <v>Defence</v>
      </c>
      <c r="R4" s="87">
        <f ca="1">(Table5[[#This Row],[Avg Capex (20-25)]]/$O$16)*10</f>
        <v>37.065546693589098</v>
      </c>
      <c r="S4" s="87">
        <f ca="1">(Table5[[#This Row],[Avg Capex (26-30)]]/$O$16)*10</f>
        <v>59.273722473926156</v>
      </c>
      <c r="T4" s="46">
        <v>7.7253064527665977E-2</v>
      </c>
      <c r="U4" s="46">
        <v>2.9634974948604242E-2</v>
      </c>
      <c r="V4" s="46">
        <v>0.34098067644437197</v>
      </c>
      <c r="W4" s="46">
        <v>0.35</v>
      </c>
      <c r="Y4" s="1" t="str">
        <f t="shared" si="2"/>
        <v>Defence</v>
      </c>
      <c r="Z4" s="159">
        <f>'Tables-defence'!J25</f>
        <v>1.4766480106157041</v>
      </c>
      <c r="AA4" s="159">
        <f>[22]Calc!$D$67</f>
        <v>0.21168527488127431</v>
      </c>
      <c r="AB4" s="160">
        <f t="shared" si="0"/>
        <v>77.718316348194932</v>
      </c>
      <c r="AC4" s="160">
        <f>[22]Calc!$I$16</f>
        <v>26.460659360159287</v>
      </c>
    </row>
    <row r="5" spans="1:29" x14ac:dyDescent="0.3">
      <c r="A5" s="11" t="s">
        <v>43</v>
      </c>
      <c r="B5" s="91">
        <f>AVERAGE('[12]Key Assumptions'!$B$13,'[12]Key Assumptions'!$J$13,'[12]Key Assumptions'!$R$13,'[12]Key Assumptions'!$Z$13,'[12]Key Assumptions'!$AH$13)</f>
        <v>0.13416422412496284</v>
      </c>
      <c r="C5" s="91">
        <f>AVERAGE('[12]Financial Ratio'!$B$5:$F$5,'[12]Financial Ratio'!$I$5:$M$5,'[12]Financial Ratio'!$P$5:$T$5,'[12]Financial Ratio'!$W$5:$AA$5,'[12]Financial Ratio'!$AD$5:$AH$5)</f>
        <v>8.4443215392707258E-2</v>
      </c>
      <c r="D5" s="91">
        <f>AVERAGE('[12]Financial Ratio'!$B$8:$F$8,'[12]Financial Ratio'!$I$8:$M$8,'[12]Financial Ratio'!$P$8:$T$8,'[12]Financial Ratio'!$W$8:$AA$8,'[12]Financial Ratio'!$AD$8:$AH$8)</f>
        <v>6.2171101404422668E-2</v>
      </c>
      <c r="E5" s="91">
        <f>AVERAGE('[12]Financial Ratio'!$B$6:$F$6,'[12]Financial Ratio'!$I$6:$M$6,'[12]Financial Ratio'!$P$6:$T$6,'[12]Financial Ratio'!$W$6:$AA$6,'[12]Financial Ratio'!$AD$6:$AH$6)</f>
        <v>5.6937245562696866E-2</v>
      </c>
      <c r="F5" s="92">
        <f>AVERAGE('[12]Financial Ratio'!$B$20:$F$20,'[12]Financial Ratio'!$I$20:$M$20,'[12]Financial Ratio'!$P$20:$T$20,'[12]Financial Ratio'!$W$20:$AA$20,'[12]Financial Ratio'!$AD$20:$AH$20)</f>
        <v>13.417327376400326</v>
      </c>
      <c r="I5" s="130" t="s">
        <v>43</v>
      </c>
      <c r="J5" s="12">
        <f>[12]Calc!$D$7</f>
        <v>7467.7503999999999</v>
      </c>
      <c r="K5" s="12">
        <f>[12]Calc!$D$13</f>
        <v>16661.377035813202</v>
      </c>
      <c r="L5" s="13">
        <f>[12]Calc!$D$19</f>
        <v>0.11021801478270014</v>
      </c>
      <c r="M5" s="13">
        <f t="shared" si="1"/>
        <v>0.14019600882941585</v>
      </c>
      <c r="N5" s="13">
        <f>[12]Calc!$J$7</f>
        <v>0.31583668986129132</v>
      </c>
      <c r="O5" s="13">
        <f>[12]Calc!$P$7</f>
        <v>0.18836444254685528</v>
      </c>
      <c r="Q5" s="130" t="str">
        <f>Table5[[#This Row],[Sector]]</f>
        <v>Energy</v>
      </c>
      <c r="R5" s="87">
        <f ca="1">(Table5[[#This Row],[Avg Capex (20-25)]]/$O$16)*10</f>
        <v>837.70827303830845</v>
      </c>
      <c r="S5" s="87">
        <f ca="1">(Table5[[#This Row],[Avg Capex (26-30)]]/$O$16)*10</f>
        <v>1869.0198032209551</v>
      </c>
      <c r="T5" s="46">
        <v>0.11021801478270014</v>
      </c>
      <c r="U5" s="46">
        <v>0.14019600882941585</v>
      </c>
      <c r="V5" s="46">
        <v>0.31583668986129132</v>
      </c>
      <c r="W5" s="46">
        <v>0.18836444254685528</v>
      </c>
      <c r="Y5" s="1" t="str">
        <f t="shared" si="2"/>
        <v>Energy</v>
      </c>
      <c r="Z5" s="159">
        <f>'Tables-P&amp;E'!T22</f>
        <v>0.61893691824891239</v>
      </c>
      <c r="AA5" s="159">
        <f>[23]Calc!$D$67</f>
        <v>0.22903605871928384</v>
      </c>
      <c r="AB5" s="160">
        <f t="shared" si="0"/>
        <v>32.575627276258544</v>
      </c>
      <c r="AC5" s="160">
        <f>[23]Calc!$I$15</f>
        <v>76.345352906427962</v>
      </c>
    </row>
    <row r="6" spans="1:29" x14ac:dyDescent="0.3">
      <c r="A6" s="11" t="s">
        <v>150</v>
      </c>
      <c r="B6" s="91">
        <f>AVERAGE('[8]Income Statement Forecast'!$C$4:$C$5,'[8]Income Statement Forecast'!$L$4:$L$5,'[8]Income Statement Forecast'!$V$4:$V$5,'[8]Income Statement Forecast'!$AE$4:$AE$5,'[8]Income Statement Forecast'!$AN$4:$AN$5,'[8]Income Statement Forecast'!$AW$4:$AW$5)</f>
        <v>0.14014886758874334</v>
      </c>
      <c r="C6" s="91">
        <f>AVERAGE('[8]Financial Ratio'!$B$5:$G$5,'[8]Financial Ratio'!$J$5:$N$5,'[8]Financial Ratio'!$Q$5:$V$5,'[8]Financial Ratio'!$Y$5:$AD$5,'[8]Financial Ratio'!$AG$5:$AL$5,'[8]Financial Ratio'!$AO$5:$AS$5)</f>
        <v>0.19075964883851651</v>
      </c>
      <c r="D6" s="91">
        <f>AVERAGE('[8]Financial Ratio'!$B$7:$G$7,'[8]Financial Ratio'!$J$7:$N$7,'[8]Financial Ratio'!$Q$7:$V$7,'[8]Financial Ratio'!$Y$7:$AD$7,'[8]Financial Ratio'!$AG$7:$AL$7,'[8]Financial Ratio'!$AO$7:$AS$7)</f>
        <v>0.24181254669144933</v>
      </c>
      <c r="E6" s="91">
        <v>0.1183</v>
      </c>
      <c r="F6" s="92">
        <f>AVERAGE('[8]Financial Ratio'!$B$24:$G$24,'[8]Financial Ratio'!$J$24:$N$24,'[8]Financial Ratio'!$Q$24:$V$24,'[8]Financial Ratio'!$Y$24:$AD$24,'[8]Financial Ratio'!$AG$24:$AL$24,'[8]Financial Ratio'!$AO$24:$AS$24)</f>
        <v>107.04129328101216</v>
      </c>
      <c r="I6" s="130" t="s">
        <v>150</v>
      </c>
      <c r="J6" s="12">
        <f>[8]Calc!$D$8</f>
        <v>1493.012777777778</v>
      </c>
      <c r="K6" s="12">
        <f>[8]Calc!$D$15</f>
        <v>3485.5255554137875</v>
      </c>
      <c r="L6" s="13">
        <f>[8]Calc!$D$22</f>
        <v>0.13427134752712036</v>
      </c>
      <c r="M6" s="13">
        <f t="shared" si="1"/>
        <v>5.4512789960205109E-2</v>
      </c>
      <c r="N6" s="13">
        <f>[8]Calc!$J$8</f>
        <v>0.46912962008385062</v>
      </c>
      <c r="O6" s="13">
        <f>[8]Calc!$M$8</f>
        <v>0.29165116823801068</v>
      </c>
      <c r="Q6" s="130" t="str">
        <f>Table5[[#This Row],[Sector]]</f>
        <v>FMCG &amp; Retail</v>
      </c>
      <c r="R6" s="87">
        <f ca="1">(Table5[[#This Row],[Avg Capex (20-25)]]/$O$16)*10</f>
        <v>167.48138176877873</v>
      </c>
      <c r="S6" s="87">
        <f ca="1">(Table5[[#This Row],[Avg Capex (26-30)]]/$O$16)*10</f>
        <v>390.99507043735349</v>
      </c>
      <c r="T6" s="46">
        <v>0.13427134752712036</v>
      </c>
      <c r="U6" s="46">
        <v>5.4512789960205109E-2</v>
      </c>
      <c r="V6" s="46">
        <v>0.46912962008385062</v>
      </c>
      <c r="W6" s="46">
        <v>0.29165116823801068</v>
      </c>
      <c r="Y6" s="1" t="str">
        <f t="shared" si="2"/>
        <v>FMCG &amp; Retail</v>
      </c>
      <c r="Z6" s="159">
        <f>'Tables-FMCG'!AA9</f>
        <v>0.83137299015861987</v>
      </c>
      <c r="AA6" s="159">
        <f>[24]Calc!$D$67</f>
        <v>0.27070200883745404</v>
      </c>
      <c r="AB6" s="160">
        <f t="shared" si="0"/>
        <v>43.756473166243147</v>
      </c>
      <c r="AC6" s="160">
        <f>[24]Calc!$L$20</f>
        <v>67.675502209363515</v>
      </c>
    </row>
    <row r="7" spans="1:29" x14ac:dyDescent="0.3">
      <c r="A7" s="11" t="s">
        <v>146</v>
      </c>
      <c r="B7" s="91">
        <f>AVERAGE('[17]WACC &amp; Key Assumptions'!$B$17:$F$17)</f>
        <v>0.12008373186140223</v>
      </c>
      <c r="C7" s="91">
        <f>AVERAGE('[17]Ratio Analysis'!$B$6:$G$6,'[17]Ratio Analysis'!$J$6:$O$6,'[17]Ratio Analysis'!$R$6:$W$6,'[17]Ratio Analysis'!$Z$6:$AE$6,'[17]Ratio Analysis'!$AH$6:$AM$6)</f>
        <v>0.20156017794419673</v>
      </c>
      <c r="D7" s="91">
        <f>AVERAGE('[17]Ratio Analysis'!$B$8:$G$8,'[17]Ratio Analysis'!$J$8:$O$8,'[17]Ratio Analysis'!$R$8:$W$8,'[17]Ratio Analysis'!$Z$8:$AE$8,'[17]Ratio Analysis'!$AH$8:$AM$8)</f>
        <v>0.14525838641825337</v>
      </c>
      <c r="E7" s="91">
        <v>9.74E-2</v>
      </c>
      <c r="F7" s="92">
        <f>AVERAGE('[17]Ratio Analysis'!$B$21:$G$21,'[17]Ratio Analysis'!$J$21:$O$21,'[17]Ratio Analysis'!$R$21:$W$21,'[17]Ratio Analysis'!$Z$21:$AE$21,'[17]Ratio Analysis'!$AH$21:$AM$21)</f>
        <v>24.806680215765947</v>
      </c>
      <c r="I7" s="130" t="s">
        <v>146</v>
      </c>
      <c r="J7" s="76">
        <f>ABS(AVERAGE('[17]Cash Flow Statement'!$B$41:$G$41,'[17]Cash Flow Statement'!$J$31:$O$31,'[17]Cash Flow Statement'!$R$35:$W$35,'[17]Cash Flow Statement'!$Z$38:$AE$38,'[17]Cash Flow Statement'!$AH$37:$AM$37))</f>
        <v>1996.9406633333331</v>
      </c>
      <c r="K7" s="12">
        <f>AVERAGE([17]DCF!$D$9:$H$9,[17]DCF!$M$9:$Q$9,[17]DCF!$V$9:$Z$9,[17]DCF!$AE$9:$AI$9,[17]DCF!$AN$9:$AR$9)</f>
        <v>4250.8966031332784</v>
      </c>
      <c r="L7" s="13">
        <f>'[17]WACC &amp; Key Assumptions'!$O$18</f>
        <v>9.4926545637935164E-2</v>
      </c>
      <c r="M7" s="13">
        <f t="shared" si="1"/>
        <v>6.4902825257354926E-2</v>
      </c>
      <c r="N7" s="13">
        <f>'[17]WACC &amp; Key Assumptions'!$T$7</f>
        <v>0.18100810344963053</v>
      </c>
      <c r="O7" s="13">
        <f>'[17]WACC &amp; Key Assumptions'!$Z$7</f>
        <v>0.15</v>
      </c>
      <c r="Q7" s="130" t="str">
        <f>Table5[[#This Row],[Sector]]</f>
        <v>Infrastructure</v>
      </c>
      <c r="R7" s="87">
        <f ca="1">(Table5[[#This Row],[Avg Capex (20-25)]]/$O$16)*10</f>
        <v>224.01039467534164</v>
      </c>
      <c r="S7" s="87">
        <f ca="1">(Table5[[#This Row],[Avg Capex (26-30)]]/$O$16)*10</f>
        <v>476.85193820553911</v>
      </c>
      <c r="T7" s="46">
        <v>9.4926545637935164E-2</v>
      </c>
      <c r="U7" s="46">
        <v>6.4902825257354926E-2</v>
      </c>
      <c r="V7" s="46">
        <v>0.18100810344963053</v>
      </c>
      <c r="W7" s="46">
        <v>0.15</v>
      </c>
      <c r="Y7" s="1" t="str">
        <f t="shared" si="2"/>
        <v>Infrastructure</v>
      </c>
      <c r="Z7" s="55">
        <f>'Tables-Infra'!R25</f>
        <v>0.57821798813599601</v>
      </c>
      <c r="AA7" s="159">
        <f>[25]Calc!$D$67</f>
        <v>0.23701341020543384</v>
      </c>
      <c r="AB7" s="160">
        <f t="shared" si="0"/>
        <v>30.432525691368205</v>
      </c>
      <c r="AC7" s="160">
        <f>[25]Calc!$I$13</f>
        <v>47.402682041086791</v>
      </c>
    </row>
    <row r="8" spans="1:29" x14ac:dyDescent="0.3">
      <c r="A8" s="11" t="s">
        <v>27</v>
      </c>
      <c r="B8" s="91">
        <f>AVERAGE([10]Valuation!$C$3,[10]Valuation!$M$3,[10]Valuation!$W$3,[10]Valuation!$AG$3,[10]Valuation!$AQ$3)</f>
        <v>0.12877929429751714</v>
      </c>
      <c r="C8" s="91">
        <f>AVERAGE('[10]Financial Ratios'!$C$4:$G$4,'[10]Financial Ratios'!$K$4:$O$4,'[10]Financial Ratios'!$S$4:$W$4,'[10]Financial Ratios'!$AA$4:$AE$4,'[10]Financial Ratios'!$AI$4:$AM$4)</f>
        <v>0.26657634423989957</v>
      </c>
      <c r="D8" s="91">
        <f>AVERAGE('[10]Financial Ratios'!$C$8:$G$8,'[10]Financial Ratios'!$K$8:$O$8,'[10]Financial Ratios'!$S$8:$W$8,'[10]Financial Ratios'!$AA$8:$AE$8,'[10]Financial Ratios'!$AI$8:$AM$8)</f>
        <v>0.28405867639096277</v>
      </c>
      <c r="E8" s="91">
        <f>AVERAGE('[10]Financial Ratios'!$C$6:$G$6,'[10]Financial Ratios'!$K$6:$O$6,'[10]Financial Ratios'!$S$6:$W$6,'[10]Financial Ratios'!$AA$6:$AE$6,'[10]Financial Ratios'!$AI$6:$AM$6)</f>
        <v>0.16291565499572513</v>
      </c>
      <c r="F8" s="92">
        <f>AVERAGE('[10]Financial Ratios'!$C$21:$G$21,'[10]Financial Ratios'!$K$21:$O$21,'[10]Financial Ratios'!$S$21:$W$21,'[10]Financial Ratios'!$AA$21:$AE$21,'[10]Financial Ratios'!$AI$21:$AM$21)</f>
        <v>33.858522556853316</v>
      </c>
      <c r="I8" s="130" t="s">
        <v>27</v>
      </c>
      <c r="J8" s="12">
        <f>[10]Calc!$D$7</f>
        <v>1806.732</v>
      </c>
      <c r="K8" s="12">
        <f>[10]Calc!$D$13</f>
        <v>1466.8436218019262</v>
      </c>
      <c r="L8" s="13">
        <f>[10]Calc!$D$19</f>
        <v>-1.2119107166643795E-2</v>
      </c>
      <c r="M8" s="13">
        <f t="shared" si="1"/>
        <v>9.4506520871989134E-3</v>
      </c>
      <c r="N8" s="13">
        <f>[10]Calc!$I$7</f>
        <v>1.0630660442512296</v>
      </c>
      <c r="O8" s="13">
        <f>[10]Calc!$O$7</f>
        <v>0.7</v>
      </c>
      <c r="Q8" s="130" t="str">
        <f>Table5[[#This Row],[Sector]]</f>
        <v>IT</v>
      </c>
      <c r="R8" s="87">
        <f ca="1">(Table5[[#This Row],[Avg Capex (20-25)]]/$O$16)*10</f>
        <v>202.67339727410399</v>
      </c>
      <c r="S8" s="87">
        <f ca="1">(Table5[[#This Row],[Avg Capex (26-30)]]/$O$16)*10</f>
        <v>164.54580983812062</v>
      </c>
      <c r="T8" s="46">
        <v>-1.2119107166643795E-2</v>
      </c>
      <c r="U8" s="46">
        <v>9.4506520871989134E-3</v>
      </c>
      <c r="V8" s="46">
        <v>1.0630660442512296</v>
      </c>
      <c r="W8" s="46">
        <v>0.7</v>
      </c>
      <c r="Y8" s="1" t="str">
        <f t="shared" si="2"/>
        <v>IT</v>
      </c>
      <c r="Z8" s="159">
        <f>'Tables-IT'!M39</f>
        <v>0.97635927081871121</v>
      </c>
      <c r="AA8" s="159">
        <f>[26]Calc!$D$67</f>
        <v>0.52259370833562013</v>
      </c>
      <c r="AB8" s="160">
        <f t="shared" si="0"/>
        <v>51.387330043090053</v>
      </c>
      <c r="AC8" s="160">
        <f>[26]Calc!$I$13</f>
        <v>65.324213541952517</v>
      </c>
    </row>
    <row r="9" spans="1:29" x14ac:dyDescent="0.3">
      <c r="A9" s="11" t="s">
        <v>148</v>
      </c>
      <c r="B9" s="91">
        <f>AVERAGE([18]DCF!$C$5,[18]DCF!$L$5,[18]DCF!$U$5,[18]DCF!$AD$5,[18]DCF!$AM$5,[18]DCF!$AV$5)</f>
        <v>9.8955997723953845E-2</v>
      </c>
      <c r="C9" s="91">
        <f>AVERAGE('[18]Financial Ratios'!$B$14:$G$14,'[18]Financial Ratios'!$J$14:$O$14,'[18]Financial Ratios'!$R$14:$W$14,'[18]Financial Ratios'!$Z$14:$AE$14,'[18]Financial Ratios'!$AH$14:$AM$14,'[18]Financial Ratios'!$AP$14:$AU$14)</f>
        <v>0.24592832343736523</v>
      </c>
      <c r="D9" s="91">
        <f>AVERAGE('[18]Financial Ratios'!$B$17:$G$17,'[18]Financial Ratios'!$J$17:$O$17,'[18]Financial Ratios'!$R$17:$W$17,'[18]Financial Ratios'!$Z$17:$AE$17,'[18]Financial Ratios'!$AH$17:$AM$17,'[18]Financial Ratios'!$AP$17:$AU$17)</f>
        <v>0.24221318912869375</v>
      </c>
      <c r="E9" s="91">
        <f>AVERAGE('[18]Financial Ratios'!$B$15:$G$15,'[18]Financial Ratios'!$J$15:$O$15,'[18]Financial Ratios'!$R$15:$W$15,'[18]Financial Ratios'!$Z$15:$AE$15,'[18]Financial Ratios'!$AH$15:$AM$15,'[18]Financial Ratios'!$AP$15:$AU$15)</f>
        <v>0.15891050034419421</v>
      </c>
      <c r="F9" s="92">
        <f>AVERAGE('[18]Financial Ratios'!$B$25:$G$25,'[18]Financial Ratios'!$J$25:$O$25,'[18]Financial Ratios'!$R$25:$W$25,'[18]Financial Ratios'!$Z$25:$AE$25,'[18]Financial Ratios'!$AH$25:$AM$25,'[18]Financial Ratios'!$AP$25:$AU$25)</f>
        <v>14.637596146490015</v>
      </c>
      <c r="I9" s="130" t="s">
        <v>148</v>
      </c>
      <c r="J9" s="76">
        <f>ABS(AVERAGE('[18]Cash Flow Statement'!$B$7:$G$7,'[18]Cash Flow Statement'!$J$6:$O$6,'[18]Cash Flow Statement'!$R$6:$W$6,'[18]Cash Flow Statement'!$Z$6:$AE$6,'[18]Cash Flow Statement'!$AH$6:$AM$6,'[18]Cash Flow Statement'!$AP$6:$AU$6))</f>
        <v>7824.7980555555587</v>
      </c>
      <c r="K9" s="12">
        <f>AVERAGE([18]DCF!$D$10:$H$10,[18]DCF!$M$10:$Q$10,[18]DCF!$V$10:$Z$10,[18]DCF!$AE$10:$AI$10,[18]DCF!$AN$10:$AR$10,[18]DCF!$AW$10:$BA$10)</f>
        <v>12257.034304644143</v>
      </c>
      <c r="L9" s="13">
        <f>[18]Calc!$C$28</f>
        <v>7.8343638700905507E-2</v>
      </c>
      <c r="M9" s="13">
        <f t="shared" si="1"/>
        <v>8.482991040983219E-2</v>
      </c>
      <c r="N9" s="13">
        <f>[18]Calc!$L$8</f>
        <v>0.4338456935774932</v>
      </c>
      <c r="O9" s="13">
        <f>[18]Calc!$R$8</f>
        <v>0.39999999999999997</v>
      </c>
      <c r="Q9" s="130" t="str">
        <f>Table5[[#This Row],[Sector]]</f>
        <v>Minerals</v>
      </c>
      <c r="R9" s="87">
        <f ca="1">(Table5[[#This Row],[Avg Capex (20-25)]]/$O$16)*10</f>
        <v>877.76073313764755</v>
      </c>
      <c r="S9" s="87">
        <f ca="1">(Table5[[#This Row],[Avg Capex (26-30)]]/$O$16)*10</f>
        <v>1374.9547708389864</v>
      </c>
      <c r="T9" s="46">
        <v>7.8343638700905507E-2</v>
      </c>
      <c r="U9" s="46">
        <v>8.482991040983219E-2</v>
      </c>
      <c r="V9" s="46">
        <v>0.4338456935774932</v>
      </c>
      <c r="W9" s="46">
        <v>0.39999999999999997</v>
      </c>
      <c r="Y9" s="1" t="str">
        <f t="shared" si="2"/>
        <v>Minerals</v>
      </c>
      <c r="Z9" s="159">
        <f>'Tables-Minerals'!Z24</f>
        <v>0.46546480670044471</v>
      </c>
      <c r="AA9" s="55">
        <f>[27]Calc!$D$78</f>
        <v>0.46315323097201094</v>
      </c>
      <c r="AB9" s="160">
        <f t="shared" si="0"/>
        <v>24.498147721076034</v>
      </c>
      <c r="AC9" s="160">
        <f>[27]Calc!$I$15</f>
        <v>231.57661548600566</v>
      </c>
    </row>
    <row r="10" spans="1:29" x14ac:dyDescent="0.3">
      <c r="A10" s="11" t="s">
        <v>147</v>
      </c>
      <c r="B10" s="91">
        <f>AVERAGE([16]FCFF!$C$5,[16]FCFF!$L$5,[16]FCFF!$U$5,[16]FCFF!$AD$5,[16]FCFF!$AM$5,[16]FCFF!$AV$5)</f>
        <v>8.1369571782140923E-2</v>
      </c>
      <c r="C10" s="91">
        <f>AVERAGE('[16]Financial Ratios'!$C$11:$H$11,'[16]Financial Ratios'!$L$11:$Q$11,'[16]Financial Ratios'!$U$11:$Z$11,'[16]Financial Ratios'!$AD$11:$AI$11,'[16]Financial Ratios'!$AM$11:$AR$11,'[16]Financial Ratios'!$AV$11:$BA$11)</f>
        <v>9.6379759375597215E-2</v>
      </c>
      <c r="D10" s="91">
        <f>AVERAGE('[16]Financial Ratios'!$C$14:$H$14,'[16]Financial Ratios'!$L$14:$Q$14,'[16]Financial Ratios'!$U$14:$Z$14,'[16]Financial Ratios'!$AD$14:$AI$14,'[16]Financial Ratios'!$AM$14:$AR$14,'[16]Financial Ratios'!$AV$14:$BA$14)</f>
        <v>0.13287534411289617</v>
      </c>
      <c r="E10" s="91">
        <f>AVERAGE('[16]Financial Ratios'!$C$12:$H$12,'[16]Financial Ratios'!$L$12:$Q$12,'[16]Financial Ratios'!$U$12:$Z$12,'[16]Financial Ratios'!$AD$12:$AI$12,'[16]Financial Ratios'!$AM$12:$AR$12,'[16]Financial Ratios'!$AV$12:$BA$12)</f>
        <v>5.1547632284979356E-2</v>
      </c>
      <c r="F10" s="92">
        <f>AVERAGE('[16]Financial Ratios'!$C$20:$H$20,'[16]Financial Ratios'!$L$20:$Q$20,'[16]Financial Ratios'!$U$20:$Z$20,'[16]Financial Ratios'!$AD$20:$AI$20,'[16]Financial Ratios'!$AM$20:$AR$20,'[16]Financial Ratios'!$AV$20:$BA$20)</f>
        <v>13.135594105904921</v>
      </c>
      <c r="I10" s="130" t="s">
        <v>147</v>
      </c>
      <c r="J10" s="76">
        <f>ABS(AVERAGE('[16]Cash Flow Statement'!$B$6:$G$6,'[16]Cash Flow Statement'!$J$6:$O$6,'[16]Cash Flow Statement'!$R$6:$W$6,'[16]Cash Flow Statement'!$Z$6:$AE$6,'[16]Cash Flow Statement'!$AH$6:$AM$6,'[16]Cash Flow Statement'!$AP$6:$AU$6))</f>
        <v>16483.263999999999</v>
      </c>
      <c r="K10" s="76">
        <v>23965.23</v>
      </c>
      <c r="L10" s="13">
        <f>[16]Calc!$C$28</f>
        <v>6.4562942381574409E-2</v>
      </c>
      <c r="M10" s="13">
        <f t="shared" si="1"/>
        <v>4.112892423100159E-2</v>
      </c>
      <c r="N10" s="13">
        <f>[16]Calc!$L$8</f>
        <v>0.12318343727178789</v>
      </c>
      <c r="O10" s="13">
        <f>[16]Calc!$R$8</f>
        <v>0.3</v>
      </c>
      <c r="Q10" s="130" t="str">
        <f>Table5[[#This Row],[Sector]]</f>
        <v>Oil &amp; Gas</v>
      </c>
      <c r="R10" s="87">
        <f ca="1">(Table5[[#This Row],[Avg Capex (20-25)]]/$O$16)*10</f>
        <v>1849.0396544954847</v>
      </c>
      <c r="S10" s="87">
        <f ca="1">(Table5[[#This Row],[Avg Capex (26-30)]]/$O$16)*10</f>
        <v>2688.3425879185597</v>
      </c>
      <c r="T10" s="46">
        <v>6.4562942381574409E-2</v>
      </c>
      <c r="U10" s="46">
        <v>4.112892423100159E-2</v>
      </c>
      <c r="V10" s="46">
        <v>0.12318343727178789</v>
      </c>
      <c r="W10" s="46">
        <v>0.3</v>
      </c>
      <c r="Y10" s="1" t="str">
        <f t="shared" si="2"/>
        <v>Oil &amp; Gas</v>
      </c>
      <c r="Z10" s="159">
        <f>'Tables-Oil&amp;Gas'!Y24</f>
        <v>0.36933067830476207</v>
      </c>
      <c r="AA10" s="159">
        <f>[28]Calc!$D$67</f>
        <v>0.33088853162233078</v>
      </c>
      <c r="AB10" s="160">
        <f t="shared" si="0"/>
        <v>19.43845675288221</v>
      </c>
      <c r="AC10" s="160">
        <f>[28]Calc!$I$13</f>
        <v>41.361066452791349</v>
      </c>
    </row>
    <row r="11" spans="1:29" x14ac:dyDescent="0.3">
      <c r="A11" s="11" t="s">
        <v>145</v>
      </c>
      <c r="B11" s="91">
        <f>AVERAGE([9]WACC!$B$20:$G$20)</f>
        <v>9.4404392374930035E-2</v>
      </c>
      <c r="C11" s="91">
        <f>AVERAGE('[9]Ratio Analysis'!$B$6:$G$6,'[9]Ratio Analysis'!$J$6:$O$6,'[9]Ratio Analysis'!$R$6:$W$6,'[9]Ratio Analysis'!$Z$6:$AE$6,'[9]Ratio Analysis'!$AH$6:$AM$6,'[9]Ratio Analysis'!$AP$6:$AU$6)</f>
        <v>0.28353537352030667</v>
      </c>
      <c r="D11" s="91">
        <f>AVERAGE('[9]Ratio Analysis'!$B$10:$G$10,'[9]Ratio Analysis'!$J$10:$O$10,'[9]Ratio Analysis'!$R$10:$W$10,'[9]Ratio Analysis'!$Z$10:$AE$10,'[9]Ratio Analysis'!$AH$10:$AM$10,'[9]Ratio Analysis'!$AP$10:$AU$10)</f>
        <v>0.34691113676932833</v>
      </c>
      <c r="E11" s="91">
        <f>AVERAGE('[9]Ratio Analysis'!$B$8:$G$8,'[9]Ratio Analysis'!$J$8:$O$8,'[9]Ratio Analysis'!$R$8:$W$8,'[9]Ratio Analysis'!$Z$8:$AE$8,'[9]Ratio Analysis'!$AH$8:$AM$8,'[9]Ratio Analysis'!$AP$8:$AU$8)</f>
        <v>0.16374808096713533</v>
      </c>
      <c r="F11" s="92">
        <f>AVERAGE('[9]Company Profile'!$B$13:$G$13)</f>
        <v>45.303416666666664</v>
      </c>
      <c r="I11" s="130" t="s">
        <v>145</v>
      </c>
      <c r="J11" s="76">
        <f>ABS(AVERAGE('[9]Cash Flow Statement'!$B$33:$G$33,'[9]Cash Flow Statement'!$J$30:$O$30,'[9]Cash Flow Statement'!$R$44:$W$44,'[9]Cash Flow Statement'!$Z$28:$AE$28,'[9]Cash Flow Statement'!$AH$22:$AM$22,'[9]Cash Flow Statement'!$AP$29:$AU$29))</f>
        <v>985.9506416666668</v>
      </c>
      <c r="K11" s="12">
        <f>ABS(AVERAGE('[9]Cash Flow Statement Forecast'!$B$13:$F$13,'[9]Cash Flow Statement Forecast'!$I$13:$M$13,'[9]Cash Flow Statement Forecast'!$P$13:$T$13,'[9]Cash Flow Statement Forecast'!$W$13:$AA$13,'[9]Cash Flow Statement Forecast'!$AD$13:$AH$13,'[9]Cash Flow Statement Forecast'!$AK$13:$AO$13))</f>
        <v>1679.2414085391765</v>
      </c>
      <c r="L11" s="13">
        <f>'[9]Income Statement Forecast'!$C$53</f>
        <v>7.6328885485147713E-2</v>
      </c>
      <c r="M11" s="13">
        <f t="shared" si="1"/>
        <v>6.0397061943283974E-2</v>
      </c>
      <c r="N11" s="13">
        <f>[9]Calc!$D$8</f>
        <v>0.34535474693319451</v>
      </c>
      <c r="O11" s="13">
        <f>[9]Calc!$G$8</f>
        <v>0.15031580928325544</v>
      </c>
      <c r="Q11" s="130" t="str">
        <f>Table5[[#This Row],[Sector]]</f>
        <v>Pharma</v>
      </c>
      <c r="R11" s="87">
        <f ca="1">(Table5[[#This Row],[Avg Capex (20-25)]]/$O$16)*10</f>
        <v>110.60077869388826</v>
      </c>
      <c r="S11" s="87">
        <f ca="1">(Table5[[#This Row],[Avg Capex (26-30)]]/$O$16)*10</f>
        <v>188.37191188952568</v>
      </c>
      <c r="T11" s="46">
        <v>7.6328885485147713E-2</v>
      </c>
      <c r="U11" s="46">
        <v>6.0397061943283974E-2</v>
      </c>
      <c r="V11" s="46">
        <v>0.34535474693319451</v>
      </c>
      <c r="W11" s="46">
        <v>0.15031580928325544</v>
      </c>
      <c r="Y11" s="1" t="str">
        <f t="shared" si="2"/>
        <v>Pharma</v>
      </c>
      <c r="Z11" s="159">
        <f>'Tables-Pharma'!S8</f>
        <v>0.41996373434476669</v>
      </c>
      <c r="AA11" s="159">
        <f>[29]Calc!$D$67</f>
        <v>0.41618739009404282</v>
      </c>
      <c r="AB11" s="160">
        <f t="shared" si="0"/>
        <v>22.103354439198242</v>
      </c>
      <c r="AC11" s="160">
        <f>[29]Calc!$H$14</f>
        <v>52.023423761755353</v>
      </c>
    </row>
    <row r="12" spans="1:29" x14ac:dyDescent="0.3">
      <c r="A12" s="11" t="s">
        <v>149</v>
      </c>
      <c r="B12" s="91">
        <f>AVERAGE([13]DCF!$C$4,[13]DCF!$L$4,[13]DCF!$U$4,[13]DCF!$AD$4,[13]DCF!$AM$4,[13]DCF!$AV$4)</f>
        <v>0.1523103296266354</v>
      </c>
      <c r="C12" s="91">
        <f>AVERAGE('[13]Ratio Analysis'!$C$4:$H$4,'[13]Ratio Analysis'!$L$4:$Q$4,'[13]Ratio Analysis'!$U$4:$Z$4,'[13]Ratio Analysis'!$AD$4:$AI$4,'[13]Ratio Analysis'!$AM$4:$AR$4,'[13]Ratio Analysis'!$AV$4:$BA$4)</f>
        <v>0.39614963207984882</v>
      </c>
      <c r="D12" s="91">
        <f>AVERAGE('[13]Ratio Analysis'!$C$20:$H$20,'[13]Ratio Analysis'!$L$20:$Q$20,'[13]Ratio Analysis'!$U$20:$Z$20,'[13]Ratio Analysis'!$AD$20:$AI$20,'[13]Ratio Analysis'!$AM$20:$AR$20,'[13]Ratio Analysis'!$AV$19:$BA$19)</f>
        <v>0.14174798172031108</v>
      </c>
      <c r="E12" s="91">
        <f>AVERAGE('[13]Ratio Analysis'!$F$6:$H$6,'[13]Ratio Analysis'!$O$6:$Q$6,'[13]Ratio Analysis'!$X$6:$Z$6,'[13]Ratio Analysis'!$AG$6:$AI$6,'[13]Ratio Analysis'!$AP$6:$AR$6,'[13]Ratio Analysis'!$AY$6:$BA$6)</f>
        <v>-2.5072354949500714E-3</v>
      </c>
      <c r="F12" s="92">
        <f>'[13]Relative Valuation Model'!$G$13</f>
        <v>22.99099856876796</v>
      </c>
      <c r="I12" s="130" t="s">
        <v>149</v>
      </c>
      <c r="J12" s="12">
        <f>[13]Calc!$D$8</f>
        <v>12179.195277777777</v>
      </c>
      <c r="K12" s="12">
        <f>[13]Calc!$D$15</f>
        <v>29219.668035405921</v>
      </c>
      <c r="L12" s="13">
        <f>[13]Calc!$D$22</f>
        <v>0.11957547741869641</v>
      </c>
      <c r="M12" s="13">
        <f t="shared" si="1"/>
        <v>0.21151205184506519</v>
      </c>
      <c r="N12" s="13">
        <f>[13]Calc!$I$8</f>
        <v>0.25264961210996845</v>
      </c>
      <c r="O12" s="13">
        <f>[13]Calc!$O$8</f>
        <v>0.13389398859242055</v>
      </c>
      <c r="Q12" s="130" t="str">
        <f>Table5[[#This Row],[Sector]]</f>
        <v>Telecom</v>
      </c>
      <c r="R12" s="87">
        <f ca="1">(Table5[[#This Row],[Avg Capex (20-25)]]/$O$16)*10</f>
        <v>1366.223038619976</v>
      </c>
      <c r="S12" s="87">
        <f ca="1">(Table5[[#This Row],[Avg Capex (26-30)]]/$O$16)*10</f>
        <v>3277.7685832526695</v>
      </c>
      <c r="T12" s="46">
        <v>0.11957547741869641</v>
      </c>
      <c r="U12" s="46">
        <v>0.21151205184506519</v>
      </c>
      <c r="V12" s="46">
        <v>0.25264961210996845</v>
      </c>
      <c r="W12" s="46">
        <v>0.13389398859242055</v>
      </c>
      <c r="Y12" s="1" t="str">
        <f t="shared" si="2"/>
        <v>Telecom</v>
      </c>
      <c r="Z12" s="159">
        <f>'Tables-Telecom'!S10</f>
        <v>0.82449164965401811</v>
      </c>
      <c r="AA12" s="159">
        <f>[30]Calc!$D$67</f>
        <v>5.8602874804370486E-2</v>
      </c>
      <c r="AB12" s="160">
        <f t="shared" si="0"/>
        <v>43.394297350211474</v>
      </c>
      <c r="AC12" s="160">
        <f>[30]Calc!$I$14</f>
        <v>7.3253593505463108</v>
      </c>
    </row>
    <row r="13" spans="1:29" x14ac:dyDescent="0.3">
      <c r="I13" s="131" t="s">
        <v>155</v>
      </c>
      <c r="J13" s="100">
        <f>AVERAGE(J2:J12)</f>
        <v>5192.7739749249649</v>
      </c>
      <c r="K13" s="100">
        <f t="shared" ref="K13:O13" si="3">AVERAGE(K2:K12)</f>
        <v>9880.6512484948635</v>
      </c>
      <c r="L13" s="101">
        <f t="shared" si="3"/>
        <v>7.6699953524893116E-2</v>
      </c>
      <c r="M13" s="101">
        <f t="shared" si="3"/>
        <v>7.1581107196075036E-2</v>
      </c>
      <c r="N13" s="101">
        <f t="shared" si="3"/>
        <v>0.38225826983815342</v>
      </c>
      <c r="O13" s="101">
        <f t="shared" si="3"/>
        <v>0.27246402318893792</v>
      </c>
      <c r="Q13" s="138" t="str">
        <f>Table5[[#This Row],[Sector]]</f>
        <v>Average</v>
      </c>
      <c r="R13" s="139">
        <f ca="1">(Table5[[#This Row],[Avg Capex (20-25)]]/$O$16)*10</f>
        <v>582.50871893263388</v>
      </c>
      <c r="S13" s="139">
        <f ca="1">(Table5[[#This Row],[Avg Capex (26-30)]]/$O$16)*10</f>
        <v>1108.3797463116118</v>
      </c>
      <c r="T13" s="140">
        <v>7.6699953524893116E-2</v>
      </c>
      <c r="U13" s="140">
        <v>7.1581107196075036E-2</v>
      </c>
      <c r="V13" s="140">
        <v>0.38225826983815342</v>
      </c>
      <c r="W13" s="140">
        <v>0.27246402318893792</v>
      </c>
      <c r="Y13" s="141" t="s">
        <v>155</v>
      </c>
      <c r="Z13" s="156">
        <f>AVERAGE(Z2:Z12)</f>
        <v>0.77229236303269599</v>
      </c>
      <c r="AA13" s="156">
        <f t="shared" ref="AA13:AC13" si="4">AVERAGE(AA2:AA12)</f>
        <v>0.31919115445187257</v>
      </c>
      <c r="AB13" s="161">
        <f t="shared" si="4"/>
        <v>40.646966475405044</v>
      </c>
      <c r="AC13" s="161">
        <f t="shared" si="4"/>
        <v>83.413144588673219</v>
      </c>
    </row>
    <row r="14" spans="1:29" s="3" customFormat="1" ht="31.2" customHeight="1" x14ac:dyDescent="0.3">
      <c r="A14" s="97" t="s">
        <v>8</v>
      </c>
      <c r="B14" s="98" t="s">
        <v>152</v>
      </c>
      <c r="C14" s="98" t="s">
        <v>153</v>
      </c>
      <c r="D14" s="98" t="s">
        <v>154</v>
      </c>
      <c r="E14" s="99"/>
      <c r="F14" s="99"/>
      <c r="I14" s="103"/>
      <c r="Q14" s="103"/>
      <c r="R14" s="133"/>
      <c r="S14" s="133"/>
      <c r="T14" s="133"/>
      <c r="Z14" s="133"/>
      <c r="AA14" s="133"/>
      <c r="AB14" s="133"/>
      <c r="AC14" s="133"/>
    </row>
    <row r="15" spans="1:29" x14ac:dyDescent="0.3">
      <c r="A15" s="11" t="s">
        <v>33</v>
      </c>
      <c r="B15" s="90">
        <f>'[11]5b'!$C$8</f>
        <v>9.1680897524922852E-2</v>
      </c>
      <c r="C15" s="90">
        <f>'[11]5b'!$C$15</f>
        <v>7.5826979644863388E-2</v>
      </c>
      <c r="D15" s="93">
        <f>'[11]5b'!$H$9</f>
        <v>63.562236795303598</v>
      </c>
      <c r="O15" s="1" t="e" vm="1">
        <v>#VALUE!</v>
      </c>
    </row>
    <row r="16" spans="1:29" x14ac:dyDescent="0.3">
      <c r="A16" s="11" t="s">
        <v>0</v>
      </c>
      <c r="B16" s="90">
        <f>[7]WACC!$C$17</f>
        <v>0.136583290968567</v>
      </c>
      <c r="C16" s="91">
        <v>1.4999999999999999E-2</v>
      </c>
      <c r="D16" s="93">
        <f>[7]WACC!$C$16</f>
        <v>62.232733257080184</v>
      </c>
      <c r="O16" s="129" cm="1">
        <f t="array" aca="1" ref="O16" ca="1">_FV(O15,"Price")</f>
        <v>89.144999999999996</v>
      </c>
    </row>
    <row r="17" spans="1:24" x14ac:dyDescent="0.3">
      <c r="A17" s="11" t="s">
        <v>40</v>
      </c>
      <c r="B17" s="90">
        <f>[14]DCF!$C$20</f>
        <v>9.4896022862696189E-2</v>
      </c>
      <c r="C17" s="90">
        <f>[14]DCF!$C$32</f>
        <v>2.9634974948604242E-2</v>
      </c>
      <c r="D17" s="93">
        <f>[14]DCF!$G$20</f>
        <v>24.969914154087061</v>
      </c>
    </row>
    <row r="18" spans="1:24" x14ac:dyDescent="0.3">
      <c r="A18" s="11" t="s">
        <v>43</v>
      </c>
      <c r="B18" s="90">
        <f>'[12]FCFF Projections (5y )'!$C$19</f>
        <v>0.11021801478270014</v>
      </c>
      <c r="C18" s="90">
        <f>'[12]FCFF Projections (5y )'!$C$31</f>
        <v>0.14019600882941585</v>
      </c>
      <c r="D18" s="93">
        <f>'[12]FCFF Projections (5y )'!$G$19</f>
        <v>156.4424941941773</v>
      </c>
    </row>
    <row r="19" spans="1:24" x14ac:dyDescent="0.3">
      <c r="A19" s="11" t="s">
        <v>150</v>
      </c>
      <c r="B19" s="91">
        <f>'[8]Income Statement Forecast'!$C$27</f>
        <v>0.13427134752712042</v>
      </c>
      <c r="C19" s="91">
        <f>'[8]Income Statement Forecast'!$C$34</f>
        <v>5.4512789960205109E-2</v>
      </c>
      <c r="D19" s="93">
        <f>'[8]Income Statement Forecast'!$G$28</f>
        <v>68.198838217276105</v>
      </c>
      <c r="U19" s="133" t="s">
        <v>10</v>
      </c>
      <c r="V19" s="133" t="s">
        <v>224</v>
      </c>
      <c r="W19" s="133" t="s">
        <v>219</v>
      </c>
      <c r="X19" s="134" t="s">
        <v>220</v>
      </c>
    </row>
    <row r="20" spans="1:24" x14ac:dyDescent="0.3">
      <c r="A20" s="11" t="s">
        <v>146</v>
      </c>
      <c r="B20" s="91">
        <f>'[17]WACC &amp; Key Assumptions'!$K$9</f>
        <v>9.4926545637935164E-2</v>
      </c>
      <c r="C20" s="91">
        <f>'[17]WACC &amp; Key Assumptions'!$K$21</f>
        <v>6.4902825257354926E-2</v>
      </c>
      <c r="D20" s="93">
        <f>'[17]WACC &amp; Key Assumptions'!$O$11</f>
        <v>14.699628421637179</v>
      </c>
      <c r="U20" s="134" t="s">
        <v>223</v>
      </c>
      <c r="V20" s="134">
        <v>2025</v>
      </c>
      <c r="W20" s="55">
        <v>6.6000000000000003E-2</v>
      </c>
      <c r="X20" s="52">
        <v>2.1000000000000001E-2</v>
      </c>
    </row>
    <row r="21" spans="1:24" x14ac:dyDescent="0.3">
      <c r="A21" s="11" t="s">
        <v>27</v>
      </c>
      <c r="B21" s="91">
        <f>[10]Valuation!$C$19</f>
        <v>0.10593601098318235</v>
      </c>
      <c r="C21" s="91">
        <f>[10]Valuation!$C$25</f>
        <v>9.4506520871989134E-3</v>
      </c>
      <c r="D21" s="93">
        <f>[10]Valuation!$G$22</f>
        <v>12.313121925749821</v>
      </c>
      <c r="U21" s="134" t="s">
        <v>223</v>
      </c>
      <c r="V21" s="134">
        <v>2030</v>
      </c>
      <c r="W21" s="55">
        <v>8.5000000000000006E-2</v>
      </c>
      <c r="X21" s="52">
        <v>2.3E-2</v>
      </c>
    </row>
    <row r="22" spans="1:24" x14ac:dyDescent="0.3">
      <c r="A22" s="11" t="s">
        <v>148</v>
      </c>
      <c r="B22" s="91">
        <f>[18]Calc!$C$7</f>
        <v>7.8343638700905507E-2</v>
      </c>
      <c r="C22" s="91">
        <f>[18]Calc!$C$14</f>
        <v>8.482991040983219E-2</v>
      </c>
      <c r="D22" s="93">
        <f>[18]Calc!$G$9</f>
        <v>11.87628915488275</v>
      </c>
      <c r="U22" s="155" t="s">
        <v>225</v>
      </c>
      <c r="V22" s="155" t="s">
        <v>226</v>
      </c>
      <c r="W22" s="156">
        <f>W21-W20</f>
        <v>1.9000000000000003E-2</v>
      </c>
      <c r="X22" s="156">
        <f>X21-X20</f>
        <v>1.9999999999999983E-3</v>
      </c>
    </row>
    <row r="23" spans="1:24" x14ac:dyDescent="0.3">
      <c r="A23" s="11" t="s">
        <v>147</v>
      </c>
      <c r="B23" s="91">
        <f>[16]Calc!$C$7</f>
        <v>6.4562942381574451E-2</v>
      </c>
      <c r="C23" s="91">
        <f>[16]Calc!$C$14</f>
        <v>4.112892423100159E-2</v>
      </c>
      <c r="D23" s="93">
        <f>[16]Calc!$G$10</f>
        <v>19.577900404682961</v>
      </c>
    </row>
    <row r="24" spans="1:24" x14ac:dyDescent="0.3">
      <c r="A24" s="11" t="s">
        <v>145</v>
      </c>
      <c r="B24" s="91">
        <f>'[9]Income Statement Forecast'!$C$28</f>
        <v>7.697489244137605E-2</v>
      </c>
      <c r="C24" s="91">
        <f>'[9]Income Statement Forecast'!$C$35</f>
        <v>6.0397061943283974E-2</v>
      </c>
      <c r="D24" s="93">
        <f>'[9]Income Statement Forecast'!$C$46</f>
        <v>24.499671989513079</v>
      </c>
    </row>
    <row r="25" spans="1:24" x14ac:dyDescent="0.3">
      <c r="A25" s="11" t="s">
        <v>149</v>
      </c>
      <c r="B25" s="91">
        <f>[13]Summary!$L$9</f>
        <v>0.11957547741869638</v>
      </c>
      <c r="C25" s="91">
        <f>[13]Summary!$L$16</f>
        <v>0.21151205184506519</v>
      </c>
      <c r="D25" s="93">
        <f>[13]Summary!$P$12</f>
        <v>83.834806004028593</v>
      </c>
    </row>
    <row r="26" spans="1:24" x14ac:dyDescent="0.3">
      <c r="A26" s="94" t="s">
        <v>155</v>
      </c>
      <c r="B26" s="95">
        <f>AVERAGE(B15:B25)</f>
        <v>0.10072446192997059</v>
      </c>
      <c r="C26" s="95">
        <f t="shared" ref="C26:D26" si="5">AVERAGE(C15:C25)</f>
        <v>7.1581107196075036E-2</v>
      </c>
      <c r="D26" s="96">
        <f t="shared" si="5"/>
        <v>49.291603138038063</v>
      </c>
    </row>
  </sheetData>
  <sortState xmlns:xlrd2="http://schemas.microsoft.com/office/spreadsheetml/2017/richdata2" ref="A3:A12">
    <sortCondition ref="A2:A12"/>
  </sortState>
  <pageMargins left="0.7" right="0.7" top="0.75" bottom="0.75" header="0.3" footer="0.3"/>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2D7A-DF72-4B37-A3D8-9AA34CCE6D11}">
  <dimension ref="A1:BV25"/>
  <sheetViews>
    <sheetView zoomScale="84" workbookViewId="0">
      <selection activeCell="AU8" sqref="AU8"/>
    </sheetView>
  </sheetViews>
  <sheetFormatPr defaultRowHeight="14.4" x14ac:dyDescent="0.3"/>
  <cols>
    <col min="1" max="1" width="12.77734375" style="1" bestFit="1" customWidth="1"/>
    <col min="2" max="2" width="7.44140625" style="1" bestFit="1" customWidth="1"/>
    <col min="3" max="3" width="9" style="1" customWidth="1"/>
    <col min="4" max="4" width="8" style="1" bestFit="1" customWidth="1"/>
    <col min="5" max="5" width="10.5546875" style="1" bestFit="1" customWidth="1"/>
    <col min="6" max="6" width="10.21875" style="1" customWidth="1"/>
    <col min="7" max="7" width="11.109375" style="1" customWidth="1"/>
    <col min="8" max="8" width="5.88671875" style="1" bestFit="1" customWidth="1"/>
    <col min="9" max="9" width="4.77734375" style="1" bestFit="1" customWidth="1"/>
    <col min="10" max="10" width="7.5546875" style="1" bestFit="1" customWidth="1"/>
    <col min="11" max="11" width="10.21875" style="1" customWidth="1"/>
    <col min="12" max="12" width="8.88671875" style="1"/>
    <col min="13" max="13" width="12.77734375" style="1" bestFit="1" customWidth="1"/>
    <col min="14" max="14" width="9.88671875" style="2" customWidth="1"/>
    <col min="15" max="15" width="10.88671875" style="2" customWidth="1"/>
    <col min="16" max="16" width="16.33203125" style="2" customWidth="1"/>
    <col min="17" max="17" width="12" style="2" bestFit="1" customWidth="1"/>
    <col min="18" max="19" width="8.6640625" style="2" bestFit="1" customWidth="1"/>
    <col min="20" max="20" width="11.88671875" style="2" bestFit="1" customWidth="1"/>
    <col min="21" max="21" width="12.33203125" style="2" bestFit="1" customWidth="1"/>
    <col min="22" max="22" width="8.109375" style="2" bestFit="1" customWidth="1"/>
    <col min="23" max="23" width="8.88671875" style="1"/>
    <col min="24" max="24" width="13.6640625" style="1" bestFit="1" customWidth="1"/>
    <col min="25" max="25" width="10.33203125" style="1" bestFit="1" customWidth="1"/>
    <col min="26" max="26" width="11.5546875" style="1" bestFit="1" customWidth="1"/>
    <col min="27" max="27" width="8.77734375" style="1" bestFit="1" customWidth="1"/>
    <col min="28" max="29" width="8.88671875" style="1"/>
    <col min="30" max="30" width="12.77734375" style="1" bestFit="1" customWidth="1"/>
    <col min="31" max="31" width="10.44140625" style="2" bestFit="1" customWidth="1"/>
    <col min="32" max="32" width="10.6640625" style="2" customWidth="1"/>
    <col min="33" max="33" width="10.109375" style="2" bestFit="1" customWidth="1"/>
    <col min="34" max="34" width="10.88671875" style="2" customWidth="1"/>
    <col min="35" max="36" width="8.88671875" style="1"/>
    <col min="37" max="37" width="12.77734375" style="1" bestFit="1" customWidth="1"/>
    <col min="38" max="39" width="13.33203125" style="134" bestFit="1" customWidth="1"/>
    <col min="40" max="41" width="8.88671875" style="1"/>
    <col min="42" max="42" width="10.88671875" style="1" customWidth="1"/>
    <col min="43" max="43" width="14.33203125" style="1" bestFit="1" customWidth="1"/>
    <col min="44" max="44" width="12.33203125" style="2" customWidth="1"/>
    <col min="45" max="45" width="10.21875" style="2" customWidth="1"/>
    <col min="46" max="46" width="32.77734375" style="1" customWidth="1"/>
    <col min="47" max="48" width="8.88671875" style="1"/>
    <col min="49" max="49" width="12.77734375" style="1" customWidth="1"/>
    <col min="50" max="50" width="12.109375" style="134" bestFit="1" customWidth="1"/>
    <col min="51" max="51" width="9.6640625" style="134" bestFit="1" customWidth="1"/>
    <col min="52" max="52" width="10.21875" style="134" bestFit="1" customWidth="1"/>
    <col min="53" max="53" width="7.77734375" style="134" bestFit="1" customWidth="1"/>
    <col min="54" max="54" width="11.77734375" style="1" bestFit="1" customWidth="1"/>
    <col min="55" max="55" width="9.33203125" style="1" bestFit="1" customWidth="1"/>
    <col min="56" max="56" width="9.88671875" style="1" bestFit="1" customWidth="1"/>
    <col min="57" max="57" width="7.44140625" style="1" bestFit="1" customWidth="1"/>
    <col min="58" max="60" width="8.88671875" style="1"/>
    <col min="61" max="61" width="12.77734375" style="1" customWidth="1"/>
    <col min="62" max="62" width="12.109375" style="1" bestFit="1" customWidth="1"/>
    <col min="63" max="63" width="9.6640625" style="1" bestFit="1" customWidth="1"/>
    <col min="64" max="64" width="10.21875" style="1" bestFit="1" customWidth="1"/>
    <col min="65" max="65" width="7.77734375" style="1" bestFit="1" customWidth="1"/>
    <col min="66" max="16384" width="8.88671875" style="1"/>
  </cols>
  <sheetData>
    <row r="1" spans="1:74" s="3" customFormat="1" ht="39" customHeight="1" x14ac:dyDescent="0.3">
      <c r="A1" s="107" t="s">
        <v>8</v>
      </c>
      <c r="B1" s="98" t="s">
        <v>175</v>
      </c>
      <c r="C1" s="98" t="s">
        <v>176</v>
      </c>
      <c r="D1" s="98" t="s">
        <v>105</v>
      </c>
      <c r="E1" s="98" t="s">
        <v>177</v>
      </c>
      <c r="F1" s="111" t="s">
        <v>178</v>
      </c>
      <c r="G1" s="98" t="s">
        <v>179</v>
      </c>
      <c r="H1" s="98" t="s">
        <v>180</v>
      </c>
      <c r="I1" s="98" t="s">
        <v>181</v>
      </c>
      <c r="J1" s="98" t="s">
        <v>182</v>
      </c>
      <c r="K1" s="98" t="s">
        <v>183</v>
      </c>
      <c r="M1" s="3" t="s">
        <v>8</v>
      </c>
      <c r="N1" s="99" t="s">
        <v>184</v>
      </c>
      <c r="O1" s="99" t="s">
        <v>183</v>
      </c>
      <c r="P1" s="99" t="s">
        <v>185</v>
      </c>
      <c r="Q1" s="99" t="s">
        <v>186</v>
      </c>
      <c r="R1" s="99" t="s">
        <v>205</v>
      </c>
      <c r="S1" s="99" t="s">
        <v>194</v>
      </c>
      <c r="T1" s="99" t="s">
        <v>195</v>
      </c>
      <c r="U1" s="99" t="s">
        <v>196</v>
      </c>
      <c r="V1" s="99" t="s">
        <v>197</v>
      </c>
      <c r="X1" s="3" t="s">
        <v>198</v>
      </c>
      <c r="Y1" s="3" t="s">
        <v>199</v>
      </c>
      <c r="Z1" s="3" t="s">
        <v>200</v>
      </c>
      <c r="AA1" s="3" t="s">
        <v>201</v>
      </c>
      <c r="AD1" s="149" t="s">
        <v>8</v>
      </c>
      <c r="AE1" s="237" t="s">
        <v>600</v>
      </c>
      <c r="AF1" s="237" t="s">
        <v>601</v>
      </c>
      <c r="AG1" s="237" t="s">
        <v>602</v>
      </c>
      <c r="AH1" s="237" t="s">
        <v>603</v>
      </c>
      <c r="AK1" s="177" t="s">
        <v>8</v>
      </c>
      <c r="AL1" s="178" t="s">
        <v>274</v>
      </c>
      <c r="AM1" s="178" t="s">
        <v>275</v>
      </c>
      <c r="AR1" s="99"/>
      <c r="AS1" s="99"/>
      <c r="AW1" s="240" t="s">
        <v>8</v>
      </c>
      <c r="AX1" s="241" t="s">
        <v>607</v>
      </c>
      <c r="AY1" s="241" t="s">
        <v>608</v>
      </c>
      <c r="AZ1" s="241" t="s">
        <v>609</v>
      </c>
      <c r="BA1" s="241" t="s">
        <v>610</v>
      </c>
      <c r="BB1" s="240" t="s">
        <v>611</v>
      </c>
      <c r="BC1" s="240" t="s">
        <v>612</v>
      </c>
      <c r="BD1" s="240" t="s">
        <v>613</v>
      </c>
      <c r="BE1" s="240" t="s">
        <v>614</v>
      </c>
      <c r="BI1" s="249" t="s">
        <v>8</v>
      </c>
      <c r="BJ1" s="250" t="s">
        <v>607</v>
      </c>
      <c r="BK1" s="250" t="s">
        <v>608</v>
      </c>
      <c r="BL1" s="250" t="s">
        <v>609</v>
      </c>
      <c r="BM1" s="250" t="s">
        <v>610</v>
      </c>
    </row>
    <row r="2" spans="1:74" ht="28.8" x14ac:dyDescent="0.3">
      <c r="A2" s="108" t="str">
        <f>Table126[[#This Row],[Sector]]</f>
        <v>Automotive</v>
      </c>
      <c r="B2" s="112">
        <f>AVERAGE('[20]Company Profile'!$B$10:$F$10)</f>
        <v>12.963766666666666</v>
      </c>
      <c r="C2" s="109">
        <f>Table161[[#This Row],[Earnings CAGR (Historical)]]</f>
        <v>5.2895448779041454E-2</v>
      </c>
      <c r="D2" s="110">
        <f>[20]Calc!$I$8</f>
        <v>0.48659581580542222</v>
      </c>
      <c r="E2" s="109">
        <f>AVERAGE('[20]Assumptions &amp; WACC'!$B$11:$G$11)</f>
        <v>0.10785893333333335</v>
      </c>
      <c r="F2" s="112">
        <f>[20]Calc!$H$19</f>
        <v>233.6281494527685</v>
      </c>
      <c r="G2" s="112">
        <f>MIN(0.5,Table127148[[#This Row],[Earnings Sensitivity]]/100)</f>
        <v>0.5</v>
      </c>
      <c r="H2" s="112">
        <v>0.4</v>
      </c>
      <c r="I2" s="112">
        <v>0.4</v>
      </c>
      <c r="J2" s="112">
        <v>0.2</v>
      </c>
      <c r="K2" s="117">
        <f>Table127148[[#This Row],[Base PE]]*(1+Table127148[[#This Row],[Alpha]]*Table127148[[#This Row],[Earnings CAGR]]/0.15)+Table127148[[#This Row],[Beta]]*((Table127148[[#This Row],[ROCE]]-Table127148[[#This Row],[Ke]])/Table127148[[#This Row],[Ke]])-Table127148[[#This Row],[Gamma]]*Table127148[[#This Row],[Risk Adjustment]]</f>
        <v>16.096928479291584</v>
      </c>
      <c r="M2" s="1" t="str">
        <f>Table126[[#This Row],[Sector]]</f>
        <v>Automotive</v>
      </c>
      <c r="N2" s="119">
        <f>Table127148[[#This Row],[ROCE]]</f>
        <v>0.48659581580542222</v>
      </c>
      <c r="O2" s="119">
        <f>Table127148[[#This Row],[Forecasted PE]]</f>
        <v>16.096928479291584</v>
      </c>
      <c r="P2" s="99" t="str">
        <f t="shared" ref="P2:P12" si="0">IF(N2&gt;= $AA$16,
    IF(O2&gt;= $AA$18,"High ROCE &amp; High PE",
       IF(O2&gt;= $AA$19,"High ROCE &amp; Moderate PE","High ROCE &amp; Low PE")),
 IF(N2&gt;= $AA$17,
    IF(O2&gt;= $AA$18,"Moderate ROCE &amp; High PE",
       IF(O2&gt;= $AA$19,"Moderate ROCE &amp; Moderate PE","Moderate ROCE &amp; Low PE")),
 IF(O2&gt;= $AA$18,"Low ROCE &amp; High PE",
    IF(O2&gt;= $AA$19,"Low ROCE &amp; Moderate PE","Low ROCE &amp; Low PE"))))</f>
        <v>High ROCE &amp; Low PE</v>
      </c>
      <c r="Q2"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Mid-tier Performer</v>
      </c>
      <c r="R2" s="2" t="e">
        <f t="shared" ref="R2:R12" si="1">IF($Q2="Premium Efficiency",$O2,NA())</f>
        <v>#N/A</v>
      </c>
      <c r="S2" s="119" t="e">
        <f t="shared" ref="S2:S12" si="2">IF($Q2="Balanced Compounder",$O2,NA())</f>
        <v>#N/A</v>
      </c>
      <c r="T2" s="8" t="e">
        <f t="shared" ref="T2:T12" si="3">IF($Q2="Undervalued Efficient",$O2,NA())</f>
        <v>#N/A</v>
      </c>
      <c r="U2" s="8" t="e">
        <f t="shared" ref="U2:U12" si="4">IF($Q2="Value Anchor",$O2,NA())</f>
        <v>#N/A</v>
      </c>
      <c r="V2" s="2" t="e">
        <f t="shared" ref="V2:V12" si="5">IF($Q2="Mid-tier",$O2,NA())</f>
        <v>#N/A</v>
      </c>
      <c r="X2" s="3" t="s">
        <v>202</v>
      </c>
      <c r="Y2" s="3"/>
      <c r="Z2" s="3"/>
      <c r="AA2" s="3"/>
      <c r="AD2" s="11" t="str">
        <f>Table150[[#This Row],[Sector]]</f>
        <v>Automotive</v>
      </c>
      <c r="AE2" s="93">
        <f>Table139[[#This Row],[Forecasted ROCE]]</f>
        <v>0.18333333333333335</v>
      </c>
      <c r="AF2" s="93">
        <f>Table139[[#This Row],[Forecasted PE]]</f>
        <v>49.73219626834004</v>
      </c>
      <c r="AG2" s="93">
        <f>Table150[[#This Row],[Forecasted ROCE]]</f>
        <v>0.48659581580542222</v>
      </c>
      <c r="AH2" s="93">
        <f>Table150[[#This Row],[Forecasted PE]]</f>
        <v>16.096928479291584</v>
      </c>
      <c r="AK2" s="11" t="str">
        <f>Table160[[#This Row],[Sector]]</f>
        <v>Automotive</v>
      </c>
      <c r="AL2" s="63">
        <f>[20]Calc!$D$71</f>
        <v>5.2895448779041454E-2</v>
      </c>
      <c r="AM2" s="63">
        <f>[20]Calc!$D$29</f>
        <v>7.4359630911576116E-2</v>
      </c>
      <c r="AW2" s="242" t="s">
        <v>33</v>
      </c>
      <c r="AX2" s="87">
        <f>Table5[[#This Row],[Incremental ROCE (Historical)]]</f>
        <v>0.36798832590336278</v>
      </c>
      <c r="AY2" s="45">
        <f>Table144[[#This Row],[Avg Valuation Multiple]]</f>
        <v>36.386922016455642</v>
      </c>
      <c r="AZ2" s="87">
        <f>Table5157[[#This Row],[Incremental ROCE (Historical)]]</f>
        <v>0.48659581580542222</v>
      </c>
      <c r="BA2" s="64">
        <f>Table127148[[#This Row],[Base PE]]</f>
        <v>12.963766666666666</v>
      </c>
      <c r="BB2" s="102">
        <f>Table160[[#This Row],[Forecasted ROCE-India]]</f>
        <v>0.18333333333333335</v>
      </c>
      <c r="BC2" s="102">
        <f>Table160[[#This Row],[Forecasted PE-India]]</f>
        <v>49.73219626834004</v>
      </c>
      <c r="BD2" s="102">
        <f>Table160[[#This Row],[Forecasted ROCE-US]]</f>
        <v>0.48659581580542222</v>
      </c>
      <c r="BE2" s="243">
        <f>Table160[[#This Row],[Forecasted PE-US]]</f>
        <v>16.096928479291584</v>
      </c>
      <c r="BI2" s="251" t="s">
        <v>33</v>
      </c>
      <c r="BJ2" s="252">
        <f>Table5[[#This Row],[Incremental ROCE (Historical)]]</f>
        <v>0.36798832590336278</v>
      </c>
      <c r="BK2" s="253">
        <f>Table144[[#This Row],[Avg Valuation Multiple]]</f>
        <v>36.386922016455642</v>
      </c>
      <c r="BL2" s="252">
        <f>Table5157[[#This Row],[Incremental ROCE (Historical)]]</f>
        <v>0.48659581580542222</v>
      </c>
      <c r="BM2" s="254">
        <f>Table127148[[#This Row],[Base PE]]</f>
        <v>12.963766666666666</v>
      </c>
      <c r="BU2" s="1" t="s">
        <v>219</v>
      </c>
    </row>
    <row r="3" spans="1:74" ht="28.8" x14ac:dyDescent="0.3">
      <c r="A3" s="108" t="str">
        <f>Table126[[#This Row],[Sector]]</f>
        <v>BFSI</v>
      </c>
      <c r="B3" s="112">
        <f>AVERAGE('[21]Company Profile'!$B$4:$H$4)</f>
        <v>18.562685714285717</v>
      </c>
      <c r="C3" s="109">
        <f>Table161[[#This Row],[Earnings CAGR (Historical)]]</f>
        <v>0.13004115059435936</v>
      </c>
      <c r="D3" s="110">
        <f>[21]Calc!$I$9</f>
        <v>0.10906980664764367</v>
      </c>
      <c r="E3" s="109">
        <f>AVERAGE('[21]Assumptions &amp; WACC'!$B$5:$G$5,'[21]Assumptions &amp; WACC'!$J$11)</f>
        <v>0.1161607857142857</v>
      </c>
      <c r="F3" s="112">
        <f>[21]Calc!$H$17</f>
        <v>77.604742231905249</v>
      </c>
      <c r="G3" s="112">
        <f>MIN(0.5,Table127148[[#This Row],[Earnings Sensitivity]]/100)</f>
        <v>0.5</v>
      </c>
      <c r="H3" s="112">
        <v>0.4</v>
      </c>
      <c r="I3" s="112">
        <v>0.4</v>
      </c>
      <c r="J3" s="112">
        <v>0.2</v>
      </c>
      <c r="K3" s="117">
        <f>Table127148[[#This Row],[Base PE]]*(1+Table127148[[#This Row],[Alpha]]*Table127148[[#This Row],[Earnings CAGR]]/0.15)+Table127148[[#This Row],[Beta]]*((Table127148[[#This Row],[ROCE]]-Table127148[[#This Row],[Ke]])/Table127148[[#This Row],[Ke]])-Table127148[[#This Row],[Gamma]]*Table127148[[#This Row],[Risk Adjustment]]</f>
        <v>24.875369263209397</v>
      </c>
      <c r="M3" s="1" t="str">
        <f>Table126[[#This Row],[Sector]]</f>
        <v>BFSI</v>
      </c>
      <c r="N3" s="119">
        <f>Table127148[[#This Row],[ROCE]]</f>
        <v>0.10906980664764367</v>
      </c>
      <c r="O3" s="119">
        <f>Table127148[[#This Row],[Forecasted PE]]</f>
        <v>24.875369263209397</v>
      </c>
      <c r="P3" s="99" t="str">
        <f t="shared" si="0"/>
        <v>Low ROCE &amp; Low PE</v>
      </c>
      <c r="Q3"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Value Anchor</v>
      </c>
      <c r="R3" s="2" t="e">
        <f t="shared" si="1"/>
        <v>#N/A</v>
      </c>
      <c r="S3" s="119" t="e">
        <f t="shared" si="2"/>
        <v>#N/A</v>
      </c>
      <c r="T3" s="8" t="e">
        <f t="shared" si="3"/>
        <v>#N/A</v>
      </c>
      <c r="U3" s="8">
        <f t="shared" si="4"/>
        <v>24.875369263209397</v>
      </c>
      <c r="V3" s="2" t="e">
        <f t="shared" si="5"/>
        <v>#N/A</v>
      </c>
      <c r="X3" s="3" t="s">
        <v>203</v>
      </c>
      <c r="Y3" s="3"/>
      <c r="Z3" s="3"/>
      <c r="AA3" s="3"/>
      <c r="AD3" s="11" t="str">
        <f>Table150[[#This Row],[Sector]]</f>
        <v>BFSI</v>
      </c>
      <c r="AE3" s="93">
        <f>Table139[[#This Row],[Forecasted ROCE]]</f>
        <v>0.14954551308444244</v>
      </c>
      <c r="AF3" s="93">
        <f>Table139[[#This Row],[Forecasted PE]]</f>
        <v>38.833023763515733</v>
      </c>
      <c r="AG3" s="93">
        <f>Table150[[#This Row],[Forecasted ROCE]]</f>
        <v>0.10906980664764367</v>
      </c>
      <c r="AH3" s="93">
        <f>Table150[[#This Row],[Forecasted PE]]</f>
        <v>24.875369263209397</v>
      </c>
      <c r="AK3" s="11" t="str">
        <f>Table160[[#This Row],[Sector]]</f>
        <v>BFSI</v>
      </c>
      <c r="AL3" s="63">
        <f>[21]Calc!$D$89</f>
        <v>0.13004115059435936</v>
      </c>
      <c r="AM3" s="63">
        <f>[21]Calc!$D$9</f>
        <v>3.954479741003742E-2</v>
      </c>
      <c r="AW3" s="242" t="s">
        <v>0</v>
      </c>
      <c r="AX3" s="87">
        <f>Table5[[#This Row],[Incremental ROCE (Historical)]]</f>
        <v>0.31179801833350745</v>
      </c>
      <c r="AY3" s="45">
        <f>Table144[[#This Row],[Avg Valuation Multiple]]</f>
        <v>25.153557142857146</v>
      </c>
      <c r="AZ3" s="87">
        <f>Table5157[[#This Row],[Incremental ROCE (Historical)]]</f>
        <v>0.10906980664764367</v>
      </c>
      <c r="BA3" s="64">
        <f>Table127148[[#This Row],[Base PE]]</f>
        <v>18.562685714285717</v>
      </c>
      <c r="BB3" s="102">
        <f>Table160[[#This Row],[Forecasted ROCE-India]]</f>
        <v>0.14954551308444244</v>
      </c>
      <c r="BC3" s="102">
        <f>Table160[[#This Row],[Forecasted PE-India]]</f>
        <v>38.833023763515733</v>
      </c>
      <c r="BD3" s="102">
        <f>Table160[[#This Row],[Forecasted ROCE-US]]</f>
        <v>0.10906980664764367</v>
      </c>
      <c r="BE3" s="243">
        <f>Table160[[#This Row],[Forecasted PE-US]]</f>
        <v>24.875369263209397</v>
      </c>
      <c r="BI3" s="255" t="s">
        <v>0</v>
      </c>
      <c r="BJ3" s="256">
        <f>Table5[[#This Row],[Incremental ROCE (Historical)]]</f>
        <v>0.31179801833350745</v>
      </c>
      <c r="BK3" s="257">
        <f>Table144[[#This Row],[Avg Valuation Multiple]]</f>
        <v>25.153557142857146</v>
      </c>
      <c r="BL3" s="256">
        <f>Table5157[[#This Row],[Incremental ROCE (Historical)]]</f>
        <v>0.10906980664764367</v>
      </c>
      <c r="BM3" s="258">
        <f>Table127148[[#This Row],[Base PE]]</f>
        <v>18.562685714285717</v>
      </c>
      <c r="BU3" s="1" t="s">
        <v>621</v>
      </c>
    </row>
    <row r="4" spans="1:74" ht="28.8" x14ac:dyDescent="0.3">
      <c r="A4" s="108" t="str">
        <f>Table126[[#This Row],[Sector]]</f>
        <v>Defence</v>
      </c>
      <c r="B4" s="112">
        <f>AVERAGE('[22]Company Profile'!$B$10:$F$10)</f>
        <v>28.07076</v>
      </c>
      <c r="C4" s="109">
        <f>Table161[[#This Row],[Earnings CAGR (Historical)]]</f>
        <v>4.8699146060824414E-2</v>
      </c>
      <c r="D4" s="110">
        <f>[22]Calc!$I$7</f>
        <v>1.6252268973253223</v>
      </c>
      <c r="E4" s="109">
        <f>AVERAGE('[22]Assumptions &amp; WACC'!$B$11:$F$11)</f>
        <v>5.8769359999999993E-2</v>
      </c>
      <c r="F4" s="112">
        <f>[22]Calc!$H$16</f>
        <v>51.248020255620652</v>
      </c>
      <c r="G4" s="112">
        <f>MIN(0.5,Table127148[[#This Row],[Earnings Sensitivity]]/100)</f>
        <v>0.5</v>
      </c>
      <c r="H4" s="112">
        <v>0.4</v>
      </c>
      <c r="I4" s="112">
        <v>0.4</v>
      </c>
      <c r="J4" s="112">
        <v>0.2</v>
      </c>
      <c r="K4" s="117">
        <f>Table127148[[#This Row],[Base PE]]*(1+Table127148[[#This Row],[Alpha]]*Table127148[[#This Row],[Earnings CAGR]]/0.15)+Table127148[[#This Row],[Beta]]*((Table127148[[#This Row],[ROCE]]-Table127148[[#This Row],[Ke]])/Table127148[[#This Row],[Ke]])-Table127148[[#This Row],[Gamma]]*Table127148[[#This Row],[Risk Adjustment]]</f>
        <v>42.277881537282717</v>
      </c>
      <c r="M4" s="1" t="str">
        <f>Table126[[#This Row],[Sector]]</f>
        <v>Defence</v>
      </c>
      <c r="N4" s="119">
        <f>Table127148[[#This Row],[ROCE]]</f>
        <v>1.6252268973253223</v>
      </c>
      <c r="O4" s="119">
        <f>Table127148[[#This Row],[Forecasted PE]]</f>
        <v>42.277881537282717</v>
      </c>
      <c r="P4" s="99" t="str">
        <f t="shared" si="0"/>
        <v>High ROCE &amp; Moderate PE</v>
      </c>
      <c r="Q4"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Undervalued Efficient</v>
      </c>
      <c r="R4" s="2" t="e">
        <f t="shared" si="1"/>
        <v>#N/A</v>
      </c>
      <c r="S4" s="119" t="e">
        <f t="shared" si="2"/>
        <v>#N/A</v>
      </c>
      <c r="T4" s="8">
        <f t="shared" si="3"/>
        <v>42.277881537282717</v>
      </c>
      <c r="U4" s="8" t="e">
        <f t="shared" si="4"/>
        <v>#N/A</v>
      </c>
      <c r="V4" s="2" t="e">
        <f t="shared" si="5"/>
        <v>#N/A</v>
      </c>
      <c r="X4" s="3" t="s">
        <v>204</v>
      </c>
      <c r="Y4" s="3"/>
      <c r="Z4" s="3"/>
      <c r="AA4" s="3"/>
      <c r="AD4" s="11" t="str">
        <f>Table150[[#This Row],[Sector]]</f>
        <v>Defence</v>
      </c>
      <c r="AE4" s="93">
        <f>Table139[[#This Row],[Forecasted ROCE]]</f>
        <v>0.35</v>
      </c>
      <c r="AF4" s="93">
        <f>Table139[[#This Row],[Forecasted PE]]</f>
        <v>136.55373189613508</v>
      </c>
      <c r="AG4" s="93">
        <f>Table150[[#This Row],[Forecasted ROCE]]</f>
        <v>1.6252268973253223</v>
      </c>
      <c r="AH4" s="93">
        <f>Table150[[#This Row],[Forecasted PE]]</f>
        <v>42.277881537282717</v>
      </c>
      <c r="AK4" s="11" t="str">
        <f>Table160[[#This Row],[Sector]]</f>
        <v>Defence</v>
      </c>
      <c r="AL4" s="63">
        <f>[22]Calc!$D$73</f>
        <v>4.8699146060824414E-2</v>
      </c>
      <c r="AM4" s="63">
        <f>[22]Calc!$D$25</f>
        <v>3.1815083712192702E-2</v>
      </c>
      <c r="AW4" s="242" t="s">
        <v>40</v>
      </c>
      <c r="AX4" s="87">
        <f>Table5[[#This Row],[Incremental ROCE (Historical)]]</f>
        <v>0.34098067644437197</v>
      </c>
      <c r="AY4" s="45">
        <f>Table144[[#This Row],[Avg Valuation Multiple]]</f>
        <v>75.725357888656362</v>
      </c>
      <c r="AZ4" s="87">
        <f>Table5157[[#This Row],[Incremental ROCE (Historical)]]</f>
        <v>1.6252268973253223</v>
      </c>
      <c r="BA4" s="64">
        <f>Table127148[[#This Row],[Base PE]]</f>
        <v>28.07076</v>
      </c>
      <c r="BB4" s="102">
        <f>Table160[[#This Row],[Forecasted ROCE-India]]</f>
        <v>0.35</v>
      </c>
      <c r="BC4" s="102">
        <f>Table160[[#This Row],[Forecasted PE-India]]</f>
        <v>136.55373189613508</v>
      </c>
      <c r="BD4" s="102">
        <f>Table160[[#This Row],[Forecasted ROCE-US]]</f>
        <v>1.6252268973253223</v>
      </c>
      <c r="BE4" s="243">
        <f>Table160[[#This Row],[Forecasted PE-US]]</f>
        <v>42.277881537282717</v>
      </c>
      <c r="BI4" s="251" t="s">
        <v>40</v>
      </c>
      <c r="BJ4" s="252">
        <f>Table5[[#This Row],[Incremental ROCE (Historical)]]</f>
        <v>0.34098067644437197</v>
      </c>
      <c r="BK4" s="253">
        <f>Table144[[#This Row],[Avg Valuation Multiple]]</f>
        <v>75.725357888656362</v>
      </c>
      <c r="BL4" s="252">
        <f>Table5157[[#This Row],[Incremental ROCE (Historical)]]</f>
        <v>1.6252268973253223</v>
      </c>
      <c r="BM4" s="254">
        <f>Table127148[[#This Row],[Base PE]]</f>
        <v>28.07076</v>
      </c>
      <c r="BU4" s="1" t="s">
        <v>622</v>
      </c>
      <c r="BV4" s="1" t="s">
        <v>623</v>
      </c>
    </row>
    <row r="5" spans="1:74" ht="28.8" x14ac:dyDescent="0.3">
      <c r="A5" s="108" t="str">
        <f>Table126[[#This Row],[Sector]]</f>
        <v>Energy</v>
      </c>
      <c r="B5" s="112">
        <f>AVERAGE('[23]Company Profile'!$B$10:$F$10)</f>
        <v>11.260459999999998</v>
      </c>
      <c r="C5" s="109">
        <f>Table161[[#This Row],[Earnings CAGR (Historical)]]</f>
        <v>8.1082082583140161E-2</v>
      </c>
      <c r="D5" s="110">
        <f>[23]Calc!$I$7</f>
        <v>0.14773808330800647</v>
      </c>
      <c r="E5" s="109">
        <f>AVERAGE([23]Assumptions!$B$13:$F$13)</f>
        <v>6.8115999999999996E-2</v>
      </c>
      <c r="F5" s="112">
        <f>[23]Calc!$H$15</f>
        <v>29.435966980682341</v>
      </c>
      <c r="G5" s="112">
        <f>MIN(0.5,Table127148[[#This Row],[Earnings Sensitivity]]/100)</f>
        <v>0.29435966980682343</v>
      </c>
      <c r="H5" s="112">
        <v>0.4</v>
      </c>
      <c r="I5" s="112">
        <v>0.4</v>
      </c>
      <c r="J5" s="112">
        <v>0.2</v>
      </c>
      <c r="K5" s="117">
        <f>Table127148[[#This Row],[Base PE]]*(1+Table127148[[#This Row],[Alpha]]*Table127148[[#This Row],[Earnings CAGR]]/0.15)+Table127148[[#This Row],[Beta]]*((Table127148[[#This Row],[ROCE]]-Table127148[[#This Row],[Ke]])/Table127148[[#This Row],[Ke]])-Table127148[[#This Row],[Gamma]]*Table127148[[#This Row],[Risk Adjustment]]</f>
        <v>14.103879773734512</v>
      </c>
      <c r="M5" s="1" t="str">
        <f>Table126[[#This Row],[Sector]]</f>
        <v>Energy</v>
      </c>
      <c r="N5" s="119">
        <f>Table127148[[#This Row],[ROCE]]</f>
        <v>0.14773808330800647</v>
      </c>
      <c r="O5" s="119">
        <f>Table127148[[#This Row],[Forecasted PE]]</f>
        <v>14.103879773734512</v>
      </c>
      <c r="P5" s="99" t="str">
        <f t="shared" si="0"/>
        <v>Low ROCE &amp; Low PE</v>
      </c>
      <c r="Q5"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Value Anchor</v>
      </c>
      <c r="R5" s="2" t="e">
        <f t="shared" si="1"/>
        <v>#N/A</v>
      </c>
      <c r="S5" s="119" t="e">
        <f t="shared" si="2"/>
        <v>#N/A</v>
      </c>
      <c r="T5" s="8" t="e">
        <f t="shared" si="3"/>
        <v>#N/A</v>
      </c>
      <c r="U5" s="8">
        <f t="shared" si="4"/>
        <v>14.103879773734512</v>
      </c>
      <c r="V5" s="2" t="e">
        <f t="shared" si="5"/>
        <v>#N/A</v>
      </c>
      <c r="AD5" s="11" t="str">
        <f>Table150[[#This Row],[Sector]]</f>
        <v>Energy</v>
      </c>
      <c r="AE5" s="93">
        <f>Table139[[#This Row],[Forecasted ROCE]]</f>
        <v>0.18836444254685528</v>
      </c>
      <c r="AF5" s="93">
        <f>Table139[[#This Row],[Forecasted PE]]</f>
        <v>16.882125799099693</v>
      </c>
      <c r="AG5" s="93">
        <f>Table150[[#This Row],[Forecasted ROCE]]</f>
        <v>0.14773808330800647</v>
      </c>
      <c r="AH5" s="93">
        <f>Table150[[#This Row],[Forecasted PE]]</f>
        <v>14.103879773734512</v>
      </c>
      <c r="AK5" s="11" t="str">
        <f>Table160[[#This Row],[Sector]]</f>
        <v>Energy</v>
      </c>
      <c r="AL5" s="63">
        <f>[23]Calc!$D$73</f>
        <v>8.1082082583140161E-2</v>
      </c>
      <c r="AM5" s="63">
        <f>[23]Calc!$D$25</f>
        <v>3.4196491755730071E-2</v>
      </c>
      <c r="AW5" s="242" t="s">
        <v>43</v>
      </c>
      <c r="AX5" s="87">
        <f>Table5[[#This Row],[Incremental ROCE (Historical)]]</f>
        <v>0.31583668986129132</v>
      </c>
      <c r="AY5" s="45">
        <f>Table144[[#This Row],[Avg Valuation Multiple]]</f>
        <v>13.417327376400326</v>
      </c>
      <c r="AZ5" s="87">
        <f>Table5157[[#This Row],[Incremental ROCE (Historical)]]</f>
        <v>0.14773808330800647</v>
      </c>
      <c r="BA5" s="64">
        <f>Table127148[[#This Row],[Base PE]]</f>
        <v>11.260459999999998</v>
      </c>
      <c r="BB5" s="102">
        <f>Table160[[#This Row],[Forecasted ROCE-India]]</f>
        <v>0.18836444254685528</v>
      </c>
      <c r="BC5" s="102">
        <f>Table160[[#This Row],[Forecasted PE-India]]</f>
        <v>16.882125799099693</v>
      </c>
      <c r="BD5" s="102">
        <f>Table160[[#This Row],[Forecasted ROCE-US]]</f>
        <v>0.14773808330800647</v>
      </c>
      <c r="BE5" s="243">
        <f>Table160[[#This Row],[Forecasted PE-US]]</f>
        <v>14.103879773734512</v>
      </c>
      <c r="BI5" s="255" t="s">
        <v>43</v>
      </c>
      <c r="BJ5" s="256">
        <f>Table5[[#This Row],[Incremental ROCE (Historical)]]</f>
        <v>0.31583668986129132</v>
      </c>
      <c r="BK5" s="257">
        <f>Table144[[#This Row],[Avg Valuation Multiple]]</f>
        <v>13.417327376400326</v>
      </c>
      <c r="BL5" s="256">
        <f>Table5157[[#This Row],[Incremental ROCE (Historical)]]</f>
        <v>0.14773808330800647</v>
      </c>
      <c r="BM5" s="258">
        <f>Table127148[[#This Row],[Base PE]]</f>
        <v>11.260459999999998</v>
      </c>
      <c r="BU5" s="41">
        <f>AVERAGE($BJ$2:$BJ$12,$BL$2:$BL$12)</f>
        <v>0.50547538798501124</v>
      </c>
      <c r="BV5" s="1">
        <v>0</v>
      </c>
    </row>
    <row r="6" spans="1:74" ht="28.8" x14ac:dyDescent="0.3">
      <c r="A6" s="108" t="str">
        <f>Table126[[#This Row],[Sector]]</f>
        <v>FMCG &amp; Retail</v>
      </c>
      <c r="B6" s="112">
        <f>AVERAGE('[24]Company profile'!$B$10:$F$10)</f>
        <v>26.8964</v>
      </c>
      <c r="C6" s="109">
        <f>Table161[[#This Row],[Earnings CAGR (Historical)]]</f>
        <v>8.4515938674889962E-2</v>
      </c>
      <c r="D6" s="110">
        <f>[24]Calc!$I$7</f>
        <v>0.69747693249774723</v>
      </c>
      <c r="E6" s="109">
        <f>AVERAGE('[24]Assumptions &amp; WACC'!$B$12:$F$12)</f>
        <v>6.2287919999999997E-2</v>
      </c>
      <c r="F6" s="112">
        <f>[24]Calc!$K$20</f>
        <v>35.570611705833308</v>
      </c>
      <c r="G6" s="112">
        <f>MIN(0.5,Table127148[[#This Row],[Earnings Sensitivity]]/100)</f>
        <v>0.3557061170583331</v>
      </c>
      <c r="H6" s="112">
        <v>0.4</v>
      </c>
      <c r="I6" s="112">
        <v>0.4</v>
      </c>
      <c r="J6" s="112">
        <v>0.2</v>
      </c>
      <c r="K6" s="117">
        <f>Table127148[[#This Row],[Base PE]]*(1+Table127148[[#This Row],[Alpha]]*Table127148[[#This Row],[Earnings CAGR]]/0.15)+Table127148[[#This Row],[Beta]]*((Table127148[[#This Row],[ROCE]]-Table127148[[#This Row],[Ke]])/Table127148[[#This Row],[Ke]])-Table127148[[#This Row],[Gamma]]*Table127148[[#This Row],[Risk Adjustment]]</f>
        <v>36.966108466828913</v>
      </c>
      <c r="M6" s="1" t="str">
        <f>Table126[[#This Row],[Sector]]</f>
        <v>FMCG &amp; Retail</v>
      </c>
      <c r="N6" s="119">
        <f>Table127148[[#This Row],[ROCE]]</f>
        <v>0.69747693249774723</v>
      </c>
      <c r="O6" s="119">
        <f>Table127148[[#This Row],[Forecasted PE]]</f>
        <v>36.966108466828913</v>
      </c>
      <c r="P6" s="99" t="str">
        <f t="shared" si="0"/>
        <v>High ROCE &amp; Moderate PE</v>
      </c>
      <c r="Q6"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Undervalued Efficient</v>
      </c>
      <c r="R6" s="2" t="e">
        <f t="shared" si="1"/>
        <v>#N/A</v>
      </c>
      <c r="S6" s="119" t="e">
        <f t="shared" si="2"/>
        <v>#N/A</v>
      </c>
      <c r="T6" s="8">
        <f t="shared" si="3"/>
        <v>36.966108466828913</v>
      </c>
      <c r="U6" s="8" t="e">
        <f t="shared" si="4"/>
        <v>#N/A</v>
      </c>
      <c r="V6" s="2" t="e">
        <f t="shared" si="5"/>
        <v>#N/A</v>
      </c>
      <c r="AD6" s="11" t="str">
        <f>Table150[[#This Row],[Sector]]</f>
        <v>FMCG &amp; Retail</v>
      </c>
      <c r="AE6" s="93">
        <f>Table139[[#This Row],[Forecasted ROCE]]</f>
        <v>0.29165116823801068</v>
      </c>
      <c r="AF6" s="93">
        <f>Table139[[#This Row],[Forecasted PE]]</f>
        <v>169.27103666935344</v>
      </c>
      <c r="AG6" s="93">
        <f>Table150[[#This Row],[Forecasted ROCE]]</f>
        <v>0.69747693249774723</v>
      </c>
      <c r="AH6" s="93">
        <f>Table150[[#This Row],[Forecasted PE]]</f>
        <v>36.966108466828913</v>
      </c>
      <c r="AK6" s="11" t="str">
        <f>Table160[[#This Row],[Sector]]</f>
        <v>FMCG &amp; Retail</v>
      </c>
      <c r="AL6" s="63">
        <f>[24]Calc!$D$73</f>
        <v>8.4515938674889962E-2</v>
      </c>
      <c r="AM6" s="63">
        <f>[24]Calc!$D$25</f>
        <v>4.0407518259497087E-2</v>
      </c>
      <c r="AQ6" s="238" t="s">
        <v>273</v>
      </c>
      <c r="AR6" s="239" t="s">
        <v>192</v>
      </c>
      <c r="AS6" s="239" t="s">
        <v>606</v>
      </c>
      <c r="AT6" s="238" t="s">
        <v>215</v>
      </c>
      <c r="AW6" s="242" t="s">
        <v>150</v>
      </c>
      <c r="AX6" s="87">
        <f>Table5[[#This Row],[Incremental ROCE (Historical)]]</f>
        <v>0.46912962008385062</v>
      </c>
      <c r="AY6" s="45">
        <f>Table144[[#This Row],[Avg Valuation Multiple]]</f>
        <v>107.04129328101216</v>
      </c>
      <c r="AZ6" s="87">
        <f>Table5157[[#This Row],[Incremental ROCE (Historical)]]</f>
        <v>0.69747693249774723</v>
      </c>
      <c r="BA6" s="64">
        <f>Table127148[[#This Row],[Base PE]]</f>
        <v>26.8964</v>
      </c>
      <c r="BB6" s="102">
        <f>Table160[[#This Row],[Forecasted ROCE-India]]</f>
        <v>0.29165116823801068</v>
      </c>
      <c r="BC6" s="102">
        <f>Table160[[#This Row],[Forecasted PE-India]]</f>
        <v>169.27103666935344</v>
      </c>
      <c r="BD6" s="102">
        <f>Table160[[#This Row],[Forecasted ROCE-US]]</f>
        <v>0.69747693249774723</v>
      </c>
      <c r="BE6" s="243">
        <f>Table160[[#This Row],[Forecasted PE-US]]</f>
        <v>36.966108466828913</v>
      </c>
      <c r="BI6" s="251" t="s">
        <v>150</v>
      </c>
      <c r="BJ6" s="252">
        <f>Table5[[#This Row],[Incremental ROCE (Historical)]]</f>
        <v>0.46912962008385062</v>
      </c>
      <c r="BK6" s="253">
        <f>Table144[[#This Row],[Avg Valuation Multiple]]</f>
        <v>107.04129328101216</v>
      </c>
      <c r="BL6" s="252">
        <f>Table5157[[#This Row],[Incremental ROCE (Historical)]]</f>
        <v>0.69747693249774723</v>
      </c>
      <c r="BM6" s="254">
        <f>Table127148[[#This Row],[Base PE]]</f>
        <v>26.8964</v>
      </c>
      <c r="BU6" s="41">
        <f>AVERAGE($BJ$2:$BJ$12,$BL$2:$BL$12)</f>
        <v>0.50547538798501124</v>
      </c>
      <c r="BV6" s="41">
        <v>140</v>
      </c>
    </row>
    <row r="7" spans="1:74" ht="43.2" x14ac:dyDescent="0.3">
      <c r="A7" s="108" t="str">
        <f>Table126[[#This Row],[Sector]]</f>
        <v>Infrastructure</v>
      </c>
      <c r="B7" s="112">
        <f>AVERAGE([25]Profile!$B$10:$F$10)</f>
        <v>31.709339999999997</v>
      </c>
      <c r="C7" s="109">
        <f>Table161[[#This Row],[Earnings CAGR (Historical)]]</f>
        <v>4.7356803770383163E-2</v>
      </c>
      <c r="D7" s="110">
        <f>[25]Calc!$I$7</f>
        <v>0.62048033787314694</v>
      </c>
      <c r="E7" s="109">
        <f>AVERAGE('[25]Assumptions &amp; WACC'!$B$12:$F$12)</f>
        <v>8.9372411999999984E-2</v>
      </c>
      <c r="F7" s="112">
        <f>[25]Calc!$H$13</f>
        <v>251.03649467757336</v>
      </c>
      <c r="G7" s="112">
        <f>MIN(0.5,Table127148[[#This Row],[Earnings Sensitivity]]/100)</f>
        <v>0.5</v>
      </c>
      <c r="H7" s="112">
        <v>0.4</v>
      </c>
      <c r="I7" s="112">
        <v>0.4</v>
      </c>
      <c r="J7" s="112">
        <v>0.2</v>
      </c>
      <c r="K7" s="117">
        <f>Table127148[[#This Row],[Base PE]]*(1+Table127148[[#This Row],[Alpha]]*Table127148[[#This Row],[Earnings CAGR]]/0.15)+Table127148[[#This Row],[Beta]]*((Table127148[[#This Row],[ROCE]]-Table127148[[#This Row],[Ke]])/Table127148[[#This Row],[Ke]])-Table127148[[#This Row],[Gamma]]*Table127148[[#This Row],[Risk Adjustment]]</f>
        <v>37.990803331783368</v>
      </c>
      <c r="M7" s="1" t="str">
        <f>Table126[[#This Row],[Sector]]</f>
        <v>Infrastructure</v>
      </c>
      <c r="N7" s="119">
        <f>Table127148[[#This Row],[ROCE]]</f>
        <v>0.62048033787314694</v>
      </c>
      <c r="O7" s="119">
        <f>Table127148[[#This Row],[Forecasted PE]]</f>
        <v>37.990803331783368</v>
      </c>
      <c r="P7" s="99" t="str">
        <f t="shared" si="0"/>
        <v>High ROCE &amp; Moderate PE</v>
      </c>
      <c r="Q7"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Undervalued Efficient</v>
      </c>
      <c r="R7" s="2" t="e">
        <f t="shared" si="1"/>
        <v>#N/A</v>
      </c>
      <c r="S7" s="119" t="e">
        <f t="shared" si="2"/>
        <v>#N/A</v>
      </c>
      <c r="T7" s="8">
        <f t="shared" si="3"/>
        <v>37.990803331783368</v>
      </c>
      <c r="U7" s="8" t="e">
        <f t="shared" si="4"/>
        <v>#N/A</v>
      </c>
      <c r="V7" s="2" t="e">
        <f t="shared" si="5"/>
        <v>#N/A</v>
      </c>
      <c r="AD7" s="11" t="str">
        <f>Table150[[#This Row],[Sector]]</f>
        <v>Infrastructure</v>
      </c>
      <c r="AE7" s="93">
        <f>Table139[[#This Row],[Forecasted ROCE]]</f>
        <v>0.15</v>
      </c>
      <c r="AF7" s="93">
        <f>Table139[[#This Row],[Forecasted PE]]</f>
        <v>31.175822697523945</v>
      </c>
      <c r="AG7" s="93">
        <f>Table150[[#This Row],[Forecasted ROCE]]</f>
        <v>0.62048033787314694</v>
      </c>
      <c r="AH7" s="93">
        <f>Table150[[#This Row],[Forecasted PE]]</f>
        <v>37.990803331783368</v>
      </c>
      <c r="AK7" s="11" t="str">
        <f>Table160[[#This Row],[Sector]]</f>
        <v>Infrastructure</v>
      </c>
      <c r="AL7" s="63">
        <f>[25]Calc!$D$73</f>
        <v>4.7356803770383163E-2</v>
      </c>
      <c r="AM7" s="63">
        <f>[25]Calc!$D$25</f>
        <v>3.2395580995385864E-2</v>
      </c>
      <c r="AQ7" s="1" t="s">
        <v>617</v>
      </c>
      <c r="AR7" s="119">
        <f>CORREL(Table160[Forecasted ROCE-India],Table160[Forecasted PE-India])</f>
        <v>0.40831413557849872</v>
      </c>
      <c r="AS7" s="119">
        <f>RSQ(Table160[Forecasted ROCE-India],Table160[Forecasted PE-India])</f>
        <v>0.16672043331321662</v>
      </c>
      <c r="AT7" s="3" t="s">
        <v>604</v>
      </c>
      <c r="AW7" s="242" t="s">
        <v>146</v>
      </c>
      <c r="AX7" s="87">
        <f>Table5[[#This Row],[Incremental ROCE (Historical)]]</f>
        <v>0.18100810344963053</v>
      </c>
      <c r="AY7" s="45">
        <f>Table144[[#This Row],[Avg Valuation Multiple]]</f>
        <v>24.806680215765947</v>
      </c>
      <c r="AZ7" s="87">
        <f>Table5157[[#This Row],[Incremental ROCE (Historical)]]</f>
        <v>0.62048033787314694</v>
      </c>
      <c r="BA7" s="64">
        <f>Table127148[[#This Row],[Base PE]]</f>
        <v>31.709339999999997</v>
      </c>
      <c r="BB7" s="102">
        <f>Table160[[#This Row],[Forecasted ROCE-India]]</f>
        <v>0.15</v>
      </c>
      <c r="BC7" s="102">
        <f>Table160[[#This Row],[Forecasted PE-India]]</f>
        <v>31.175822697523945</v>
      </c>
      <c r="BD7" s="102">
        <f>Table160[[#This Row],[Forecasted ROCE-US]]</f>
        <v>0.62048033787314694</v>
      </c>
      <c r="BE7" s="243">
        <f>Table160[[#This Row],[Forecasted PE-US]]</f>
        <v>37.990803331783368</v>
      </c>
      <c r="BI7" s="255" t="s">
        <v>146</v>
      </c>
      <c r="BJ7" s="256">
        <f>Table5[[#This Row],[Incremental ROCE (Historical)]]</f>
        <v>0.18100810344963053</v>
      </c>
      <c r="BK7" s="257">
        <f>Table144[[#This Row],[Avg Valuation Multiple]]</f>
        <v>24.806680215765947</v>
      </c>
      <c r="BL7" s="256">
        <f>Table5157[[#This Row],[Incremental ROCE (Historical)]]</f>
        <v>0.62048033787314694</v>
      </c>
      <c r="BM7" s="258">
        <f>Table127148[[#This Row],[Base PE]]</f>
        <v>31.709339999999997</v>
      </c>
      <c r="BU7" s="1" t="s">
        <v>624</v>
      </c>
    </row>
    <row r="8" spans="1:74" ht="43.2" x14ac:dyDescent="0.3">
      <c r="A8" s="108" t="str">
        <f>Table126[[#This Row],[Sector]]</f>
        <v>IT</v>
      </c>
      <c r="B8" s="112">
        <f>AVERAGE('[26]Company Profile'!$B$10:$F$10)</f>
        <v>38.314239999999998</v>
      </c>
      <c r="C8" s="109">
        <f>Table161[[#This Row],[Earnings CAGR (Historical)]]</f>
        <v>5.1141923769600542E-2</v>
      </c>
      <c r="D8" s="110">
        <f>[26]Calc!$I$7</f>
        <v>0.4961022135998302</v>
      </c>
      <c r="E8" s="109">
        <f>AVERAGE('[26]Assumptions &amp; WACC'!$B$12:$F$12)</f>
        <v>9.4033200000000011E-2</v>
      </c>
      <c r="F8" s="112">
        <f>[26]Calc!$H$13</f>
        <v>57.142902643449958</v>
      </c>
      <c r="G8" s="112">
        <f>MIN(0.5,Table127148[[#This Row],[Earnings Sensitivity]]/100)</f>
        <v>0.5</v>
      </c>
      <c r="H8" s="112">
        <v>0.4</v>
      </c>
      <c r="I8" s="112">
        <v>0.4</v>
      </c>
      <c r="J8" s="112">
        <v>0.2</v>
      </c>
      <c r="K8" s="117">
        <f>Table127148[[#This Row],[Base PE]]*(1+Table127148[[#This Row],[Alpha]]*Table127148[[#This Row],[Earnings CAGR]]/0.15)+Table127148[[#This Row],[Beta]]*((Table127148[[#This Row],[ROCE]]-Table127148[[#This Row],[Ke]])/Table127148[[#This Row],[Ke]])-Table127148[[#This Row],[Gamma]]*Table127148[[#This Row],[Risk Adjustment]]</f>
        <v>45.14980507649426</v>
      </c>
      <c r="M8" s="1" t="str">
        <f>Table126[[#This Row],[Sector]]</f>
        <v>IT</v>
      </c>
      <c r="N8" s="119">
        <f>Table127148[[#This Row],[ROCE]]</f>
        <v>0.4961022135998302</v>
      </c>
      <c r="O8" s="119">
        <f>Table127148[[#This Row],[Forecasted PE]]</f>
        <v>45.14980507649426</v>
      </c>
      <c r="P8" s="99" t="str">
        <f t="shared" si="0"/>
        <v>High ROCE &amp; Moderate PE</v>
      </c>
      <c r="Q8"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Undervalued Efficient</v>
      </c>
      <c r="R8" s="2" t="e">
        <f t="shared" si="1"/>
        <v>#N/A</v>
      </c>
      <c r="S8" s="119" t="e">
        <f t="shared" si="2"/>
        <v>#N/A</v>
      </c>
      <c r="T8" s="8">
        <f t="shared" si="3"/>
        <v>45.14980507649426</v>
      </c>
      <c r="U8" s="8" t="e">
        <f t="shared" si="4"/>
        <v>#N/A</v>
      </c>
      <c r="V8" s="2" t="e">
        <f t="shared" si="5"/>
        <v>#N/A</v>
      </c>
      <c r="AD8" s="11" t="str">
        <f>Table150[[#This Row],[Sector]]</f>
        <v>IT</v>
      </c>
      <c r="AE8" s="93">
        <f>Table139[[#This Row],[Forecasted ROCE]]</f>
        <v>0.7</v>
      </c>
      <c r="AF8" s="93">
        <f>Table139[[#This Row],[Forecasted PE]]</f>
        <v>100.11909552391585</v>
      </c>
      <c r="AG8" s="93">
        <f>Table150[[#This Row],[Forecasted ROCE]]</f>
        <v>0.4961022135998302</v>
      </c>
      <c r="AH8" s="93">
        <f>Table150[[#This Row],[Forecasted PE]]</f>
        <v>45.14980507649426</v>
      </c>
      <c r="AK8" s="11" t="str">
        <f>Table160[[#This Row],[Sector]]</f>
        <v>IT</v>
      </c>
      <c r="AL8" s="63">
        <f>[26]Calc!$D$73</f>
        <v>5.1141923769600542E-2</v>
      </c>
      <c r="AM8" s="63">
        <f>[26]Calc!$D$25</f>
        <v>7.0341074345790622E-2</v>
      </c>
      <c r="AQ8" s="1" t="s">
        <v>618</v>
      </c>
      <c r="AR8" s="119">
        <f>CORREL(Table160[Forecasted ROCE-US],Table160[Forecasted PE-US])</f>
        <v>0.55918472361184013</v>
      </c>
      <c r="AS8" s="119">
        <f>RSQ(Table160[Forecasted ROCE-US],Table160[Forecasted PE-US])</f>
        <v>0.31268755512084989</v>
      </c>
      <c r="AT8" s="3" t="s">
        <v>605</v>
      </c>
      <c r="AW8" s="242" t="s">
        <v>27</v>
      </c>
      <c r="AX8" s="87">
        <f>Table5[[#This Row],[Incremental ROCE (Historical)]]</f>
        <v>1.0630660442512296</v>
      </c>
      <c r="AY8" s="45">
        <f>Table144[[#This Row],[Avg Valuation Multiple]]</f>
        <v>33.858522556853316</v>
      </c>
      <c r="AZ8" s="87">
        <f>Table5157[[#This Row],[Incremental ROCE (Historical)]]</f>
        <v>0.4961022135998302</v>
      </c>
      <c r="BA8" s="64">
        <f>Table127148[[#This Row],[Base PE]]</f>
        <v>38.314239999999998</v>
      </c>
      <c r="BB8" s="102">
        <f>Table160[[#This Row],[Forecasted ROCE-India]]</f>
        <v>0.7</v>
      </c>
      <c r="BC8" s="102">
        <f>Table160[[#This Row],[Forecasted PE-India]]</f>
        <v>100.11909552391585</v>
      </c>
      <c r="BD8" s="102">
        <f>Table160[[#This Row],[Forecasted ROCE-US]]</f>
        <v>0.4961022135998302</v>
      </c>
      <c r="BE8" s="243">
        <f>Table160[[#This Row],[Forecasted PE-US]]</f>
        <v>45.14980507649426</v>
      </c>
      <c r="BI8" s="251" t="s">
        <v>27</v>
      </c>
      <c r="BJ8" s="252">
        <f>Table5[[#This Row],[Incremental ROCE (Historical)]]</f>
        <v>1.0630660442512296</v>
      </c>
      <c r="BK8" s="253">
        <f>Table144[[#This Row],[Avg Valuation Multiple]]</f>
        <v>33.858522556853316</v>
      </c>
      <c r="BL8" s="252">
        <f>Table5157[[#This Row],[Incremental ROCE (Historical)]]</f>
        <v>0.4961022135998302</v>
      </c>
      <c r="BM8" s="254">
        <f>Table127148[[#This Row],[Base PE]]</f>
        <v>38.314239999999998</v>
      </c>
      <c r="BU8" s="1" t="s">
        <v>622</v>
      </c>
      <c r="BV8" s="1" t="s">
        <v>623</v>
      </c>
    </row>
    <row r="9" spans="1:74" ht="43.2" x14ac:dyDescent="0.3">
      <c r="A9" s="108" t="str">
        <f>Table126[[#This Row],[Sector]]</f>
        <v>Minerals</v>
      </c>
      <c r="B9" s="112">
        <f>AVERAGE('[27]Company Profile'!$B$10:$G$10)</f>
        <v>14.26952</v>
      </c>
      <c r="C9" s="109">
        <f>Table161[[#This Row],[Earnings CAGR (Historical)]]</f>
        <v>-4.5829060977813141E-2</v>
      </c>
      <c r="D9" s="110">
        <f>[27]Calc!$I$8</f>
        <v>9.5009697766282805E-2</v>
      </c>
      <c r="E9" s="109">
        <f>AVERAGE('[27]Assumptions &amp; WACC'!$B$12:$G$12)</f>
        <v>0.10352600000000001</v>
      </c>
      <c r="F9" s="112">
        <f>[27]Calc!$H$15</f>
        <v>-21.22160339002275</v>
      </c>
      <c r="G9" s="112">
        <f>MIN(0.5,Table127148[[#This Row],[Earnings Sensitivity]]/100)</f>
        <v>-0.2122160339002275</v>
      </c>
      <c r="H9" s="112">
        <v>0.4</v>
      </c>
      <c r="I9" s="112">
        <v>0.4</v>
      </c>
      <c r="J9" s="112">
        <v>0.2</v>
      </c>
      <c r="K9" s="117">
        <f>Table127148[[#This Row],[Base PE]]*(1+Table127148[[#This Row],[Alpha]]*Table127148[[#This Row],[Earnings CAGR]]/0.15)+Table127148[[#This Row],[Beta]]*((Table127148[[#This Row],[ROCE]]-Table127148[[#This Row],[Ke]])/Table127148[[#This Row],[Ke]])-Table127148[[#This Row],[Gamma]]*Table127148[[#This Row],[Risk Adjustment]]</f>
        <v>12.53516835487317</v>
      </c>
      <c r="M9" s="1" t="str">
        <f>Table126[[#This Row],[Sector]]</f>
        <v>Minerals</v>
      </c>
      <c r="N9" s="119">
        <f>Table127148[[#This Row],[ROCE]]</f>
        <v>9.5009697766282805E-2</v>
      </c>
      <c r="O9" s="119">
        <f>Table127148[[#This Row],[Forecasted PE]]</f>
        <v>12.53516835487317</v>
      </c>
      <c r="P9" s="99" t="str">
        <f t="shared" si="0"/>
        <v>Low ROCE &amp; Low PE</v>
      </c>
      <c r="Q9"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Value Anchor</v>
      </c>
      <c r="R9" s="2" t="e">
        <f t="shared" si="1"/>
        <v>#N/A</v>
      </c>
      <c r="S9" s="119" t="e">
        <f t="shared" si="2"/>
        <v>#N/A</v>
      </c>
      <c r="T9" s="8" t="e">
        <f t="shared" si="3"/>
        <v>#N/A</v>
      </c>
      <c r="U9" s="8">
        <f t="shared" si="4"/>
        <v>12.53516835487317</v>
      </c>
      <c r="V9" s="2" t="e">
        <f t="shared" si="5"/>
        <v>#N/A</v>
      </c>
      <c r="AD9" s="11" t="str">
        <f>Table150[[#This Row],[Sector]]</f>
        <v>Minerals</v>
      </c>
      <c r="AE9" s="93">
        <f>Table139[[#This Row],[Forecasted ROCE]]</f>
        <v>0.39999999999999997</v>
      </c>
      <c r="AF9" s="93">
        <f>Table139[[#This Row],[Forecasted PE]]</f>
        <v>26.976158072522512</v>
      </c>
      <c r="AG9" s="93">
        <f>Table150[[#This Row],[Forecasted ROCE]]</f>
        <v>9.5009697766282805E-2</v>
      </c>
      <c r="AH9" s="93">
        <f>Table150[[#This Row],[Forecasted PE]]</f>
        <v>12.53516835487317</v>
      </c>
      <c r="AK9" s="11" t="str">
        <f>Table160[[#This Row],[Sector]]</f>
        <v>Minerals</v>
      </c>
      <c r="AL9" s="63">
        <f>[27]Calc!$D$85</f>
        <v>-4.5829060977813141E-2</v>
      </c>
      <c r="AM9" s="63">
        <f>[27]Calc!$D$29</f>
        <v>6.3739524514394907E-2</v>
      </c>
      <c r="AQ9" s="1" t="s">
        <v>619</v>
      </c>
      <c r="AR9" s="119">
        <f>CORREL(AX2:AX12,AY2:AY12)</f>
        <v>0.18979038343139165</v>
      </c>
      <c r="AS9" s="119">
        <f>RSQ(AX2:AX12,AY2:AY12)</f>
        <v>3.602038964303466E-2</v>
      </c>
      <c r="AT9" s="3" t="s">
        <v>615</v>
      </c>
      <c r="AW9" s="242" t="s">
        <v>148</v>
      </c>
      <c r="AX9" s="87">
        <f>Table5[[#This Row],[Incremental ROCE (Historical)]]</f>
        <v>0.4338456935774932</v>
      </c>
      <c r="AY9" s="45">
        <f>Table144[[#This Row],[Avg Valuation Multiple]]</f>
        <v>14.637596146490015</v>
      </c>
      <c r="AZ9" s="87">
        <f>Table5157[[#This Row],[Incremental ROCE (Historical)]]</f>
        <v>9.5009697766282805E-2</v>
      </c>
      <c r="BA9" s="64">
        <f>Table127148[[#This Row],[Base PE]]</f>
        <v>14.26952</v>
      </c>
      <c r="BB9" s="102">
        <f>Table160[[#This Row],[Forecasted ROCE-India]]</f>
        <v>0.39999999999999997</v>
      </c>
      <c r="BC9" s="102">
        <f>Table160[[#This Row],[Forecasted PE-India]]</f>
        <v>26.976158072522512</v>
      </c>
      <c r="BD9" s="102">
        <f>Table160[[#This Row],[Forecasted ROCE-US]]</f>
        <v>9.5009697766282805E-2</v>
      </c>
      <c r="BE9" s="243">
        <f>Table160[[#This Row],[Forecasted PE-US]]</f>
        <v>12.53516835487317</v>
      </c>
      <c r="BI9" s="255" t="s">
        <v>148</v>
      </c>
      <c r="BJ9" s="256">
        <f>Table5[[#This Row],[Incremental ROCE (Historical)]]</f>
        <v>0.4338456935774932</v>
      </c>
      <c r="BK9" s="257">
        <f>Table144[[#This Row],[Avg Valuation Multiple]]</f>
        <v>14.637596146490015</v>
      </c>
      <c r="BL9" s="256">
        <f>Table5157[[#This Row],[Incremental ROCE (Historical)]]</f>
        <v>9.5009697766282805E-2</v>
      </c>
      <c r="BM9" s="258">
        <f>Table127148[[#This Row],[Base PE]]</f>
        <v>14.26952</v>
      </c>
      <c r="BU9" s="1">
        <v>0</v>
      </c>
      <c r="BV9" s="41">
        <f>MEDIAN($BK$2:$BK$12,BM2:BM12)</f>
        <v>24.980118679311545</v>
      </c>
    </row>
    <row r="10" spans="1:74" ht="57.6" x14ac:dyDescent="0.3">
      <c r="A10" s="108" t="str">
        <f>Table126[[#This Row],[Sector]]</f>
        <v>Oil &amp; Gas</v>
      </c>
      <c r="B10" s="112">
        <f>AVERAGE('[28]Company Profile'!$B$10:$F$10)</f>
        <v>21.939299999999996</v>
      </c>
      <c r="C10" s="109">
        <f>Table161[[#This Row],[Earnings CAGR (Historical)]]</f>
        <v>8.7477259771006427E-2</v>
      </c>
      <c r="D10" s="110">
        <f>[28]Calc!$I$7</f>
        <v>1.8279365413665041</v>
      </c>
      <c r="E10" s="109">
        <f>AVERAGE('[28]Assumptions &amp; WACC'!$B$12:$F$12)</f>
        <v>9.0367199999999995E-2</v>
      </c>
      <c r="F10" s="112">
        <f>[28]Calc!$H$13</f>
        <v>172.37070877847438</v>
      </c>
      <c r="G10" s="112">
        <f>MIN(0.5,Table127148[[#This Row],[Earnings Sensitivity]]/100)</f>
        <v>0.5</v>
      </c>
      <c r="H10" s="112">
        <v>0.4</v>
      </c>
      <c r="I10" s="112">
        <v>0.4</v>
      </c>
      <c r="J10" s="112">
        <v>0.2</v>
      </c>
      <c r="K10" s="117">
        <f>Table127148[[#This Row],[Base PE]]*(1+Table127148[[#This Row],[Alpha]]*Table127148[[#This Row],[Earnings CAGR]]/0.15)+Table127148[[#This Row],[Beta]]*((Table127148[[#This Row],[ROCE]]-Table127148[[#This Row],[Ke]])/Table127148[[#This Row],[Ke]])-Table127148[[#This Row],[Gamma]]*Table127148[[#This Row],[Risk Adjustment]]</f>
        <v>34.648290099435222</v>
      </c>
      <c r="M10" s="1" t="str">
        <f>Table126[[#This Row],[Sector]]</f>
        <v>Oil &amp; Gas</v>
      </c>
      <c r="N10" s="119">
        <f>Table127148[[#This Row],[ROCE]]</f>
        <v>1.8279365413665041</v>
      </c>
      <c r="O10" s="119">
        <f>Table127148[[#This Row],[Forecasted PE]]</f>
        <v>34.648290099435222</v>
      </c>
      <c r="P10" s="99" t="str">
        <f t="shared" si="0"/>
        <v>High ROCE &amp; Moderate PE</v>
      </c>
      <c r="Q10"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Undervalued Efficient</v>
      </c>
      <c r="R10" s="2" t="e">
        <f t="shared" si="1"/>
        <v>#N/A</v>
      </c>
      <c r="S10" s="119" t="e">
        <f t="shared" si="2"/>
        <v>#N/A</v>
      </c>
      <c r="T10" s="8">
        <f t="shared" si="3"/>
        <v>34.648290099435222</v>
      </c>
      <c r="U10" s="8" t="e">
        <f t="shared" si="4"/>
        <v>#N/A</v>
      </c>
      <c r="V10" s="2" t="e">
        <f t="shared" si="5"/>
        <v>#N/A</v>
      </c>
      <c r="AD10" s="11" t="str">
        <f>Table150[[#This Row],[Sector]]</f>
        <v>Oil &amp; Gas</v>
      </c>
      <c r="AE10" s="93">
        <f>Table139[[#This Row],[Forecasted ROCE]]</f>
        <v>0.3</v>
      </c>
      <c r="AF10" s="93">
        <f>Table139[[#This Row],[Forecasted PE]]</f>
        <v>19.324808989919344</v>
      </c>
      <c r="AG10" s="93">
        <f>Table150[[#This Row],[Forecasted ROCE]]</f>
        <v>1.8279365413665041</v>
      </c>
      <c r="AH10" s="93">
        <f>Table150[[#This Row],[Forecasted PE]]</f>
        <v>34.648290099435222</v>
      </c>
      <c r="AK10" s="11" t="str">
        <f>Table160[[#This Row],[Sector]]</f>
        <v>Oil &amp; Gas</v>
      </c>
      <c r="AL10" s="63">
        <f>[28]Calc!$D$73</f>
        <v>8.7477259771006427E-2</v>
      </c>
      <c r="AM10" s="63">
        <f>[28]Calc!$D$25</f>
        <v>4.837892064557394E-2</v>
      </c>
      <c r="AQ10" s="1" t="s">
        <v>620</v>
      </c>
      <c r="AR10" s="119">
        <f>CORREL(AZ2:AZ12,BA2:BA12)</f>
        <v>0.32227016114611223</v>
      </c>
      <c r="AS10" s="119">
        <f>RSQ(AZ2:AZ12,BA2:BA12)</f>
        <v>0.10385805676514111</v>
      </c>
      <c r="AT10" s="3" t="s">
        <v>616</v>
      </c>
      <c r="AW10" s="242" t="s">
        <v>147</v>
      </c>
      <c r="AX10" s="87">
        <f>Table5[[#This Row],[Incremental ROCE (Historical)]]</f>
        <v>0.12318343727178789</v>
      </c>
      <c r="AY10" s="45">
        <f>Table144[[#This Row],[Avg Valuation Multiple]]</f>
        <v>13.135594105904921</v>
      </c>
      <c r="AZ10" s="87">
        <f>Table5157[[#This Row],[Incremental ROCE (Historical)]]</f>
        <v>1.8279365413665041</v>
      </c>
      <c r="BA10" s="64">
        <f>Table127148[[#This Row],[Base PE]]</f>
        <v>21.939299999999996</v>
      </c>
      <c r="BB10" s="102">
        <f>Table160[[#This Row],[Forecasted ROCE-India]]</f>
        <v>0.3</v>
      </c>
      <c r="BC10" s="102">
        <f>Table160[[#This Row],[Forecasted PE-India]]</f>
        <v>19.324808989919344</v>
      </c>
      <c r="BD10" s="102">
        <f>Table160[[#This Row],[Forecasted ROCE-US]]</f>
        <v>1.8279365413665041</v>
      </c>
      <c r="BE10" s="243">
        <f>Table160[[#This Row],[Forecasted PE-US]]</f>
        <v>34.648290099435222</v>
      </c>
      <c r="BI10" s="251" t="s">
        <v>147</v>
      </c>
      <c r="BJ10" s="252">
        <f>Table5[[#This Row],[Incremental ROCE (Historical)]]</f>
        <v>0.12318343727178789</v>
      </c>
      <c r="BK10" s="253">
        <f>Table144[[#This Row],[Avg Valuation Multiple]]</f>
        <v>13.135594105904921</v>
      </c>
      <c r="BL10" s="252">
        <f>Table5157[[#This Row],[Incremental ROCE (Historical)]]</f>
        <v>1.8279365413665041</v>
      </c>
      <c r="BM10" s="254">
        <f>Table127148[[#This Row],[Base PE]]</f>
        <v>21.939299999999996</v>
      </c>
      <c r="BU10" s="41">
        <v>2.5</v>
      </c>
      <c r="BV10" s="41">
        <f>MEDIAN($BK$2:$BK$12,BM2:BM12)</f>
        <v>24.980118679311545</v>
      </c>
    </row>
    <row r="11" spans="1:74" ht="28.8" x14ac:dyDescent="0.3">
      <c r="A11" s="108" t="str">
        <f>Table126[[#This Row],[Sector]]</f>
        <v>Pharma</v>
      </c>
      <c r="B11" s="112">
        <f>AVERAGE('[29]Company Profile'!$B$10:$F$10)</f>
        <v>25.344200000000001</v>
      </c>
      <c r="C11" s="109">
        <f>Table161[[#This Row],[Earnings CAGR (Historical)]]</f>
        <v>6.0219412333401487E-2</v>
      </c>
      <c r="D11" s="110">
        <f>[29]Calc!$I$7</f>
        <v>0.32835714542638827</v>
      </c>
      <c r="E11" s="109">
        <f>AVERAGE('[29]Assumptions &amp; WACC'!$B$12:$F$12)</f>
        <v>6.1478000000000012E-2</v>
      </c>
      <c r="F11" s="112">
        <f>[29]Calc!$G$14</f>
        <v>40.863202671431331</v>
      </c>
      <c r="G11" s="112">
        <f>MIN(0.5,Table127148[[#This Row],[Earnings Sensitivity]]/100)</f>
        <v>0.40863202671431331</v>
      </c>
      <c r="H11" s="112">
        <v>0.4</v>
      </c>
      <c r="I11" s="112">
        <v>0.4</v>
      </c>
      <c r="J11" s="112">
        <v>0.2</v>
      </c>
      <c r="K11" s="117">
        <f>Table127148[[#This Row],[Base PE]]*(1+Table127148[[#This Row],[Alpha]]*Table127148[[#This Row],[Earnings CAGR]]/0.15)+Table127148[[#This Row],[Beta]]*((Table127148[[#This Row],[ROCE]]-Table127148[[#This Row],[Ke]])/Table127148[[#This Row],[Ke]])-Table127148[[#This Row],[Gamma]]*Table127148[[#This Row],[Risk Adjustment]]</f>
        <v>31.068794953209196</v>
      </c>
      <c r="M11" s="1" t="str">
        <f>Table126[[#This Row],[Sector]]</f>
        <v>Pharma</v>
      </c>
      <c r="N11" s="119">
        <f>Table127148[[#This Row],[ROCE]]</f>
        <v>0.32835714542638827</v>
      </c>
      <c r="O11" s="119">
        <f>Table127148[[#This Row],[Forecasted PE]]</f>
        <v>31.068794953209196</v>
      </c>
      <c r="P11" s="99" t="str">
        <f t="shared" si="0"/>
        <v>High ROCE &amp; Moderate PE</v>
      </c>
      <c r="Q11"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Undervalued Efficient</v>
      </c>
      <c r="R11" s="2" t="e">
        <f t="shared" si="1"/>
        <v>#N/A</v>
      </c>
      <c r="S11" s="119" t="e">
        <f t="shared" si="2"/>
        <v>#N/A</v>
      </c>
      <c r="T11" s="8">
        <f t="shared" si="3"/>
        <v>31.068794953209196</v>
      </c>
      <c r="U11" s="8" t="e">
        <f t="shared" si="4"/>
        <v>#N/A</v>
      </c>
      <c r="V11" s="2" t="e">
        <f t="shared" si="5"/>
        <v>#N/A</v>
      </c>
      <c r="AD11" s="11" t="str">
        <f>Table150[[#This Row],[Sector]]</f>
        <v>Pharma</v>
      </c>
      <c r="AE11" s="93">
        <f>Table139[[#This Row],[Forecasted ROCE]]</f>
        <v>0.15031580928325544</v>
      </c>
      <c r="AF11" s="93">
        <f>Table139[[#This Row],[Forecasted PE]]</f>
        <v>56.004030496975147</v>
      </c>
      <c r="AG11" s="93">
        <f>Table150[[#This Row],[Forecasted ROCE]]</f>
        <v>0.32835714542638827</v>
      </c>
      <c r="AH11" s="93">
        <f>Table150[[#This Row],[Forecasted PE]]</f>
        <v>31.068794953209196</v>
      </c>
      <c r="AK11" s="11" t="str">
        <f>Table160[[#This Row],[Sector]]</f>
        <v>Pharma</v>
      </c>
      <c r="AL11" s="63">
        <f>[29]Calc!$D$73</f>
        <v>6.0219412333401487E-2</v>
      </c>
      <c r="AM11" s="63">
        <f>[29]Calc!$D$25</f>
        <v>5.7409506245921761E-2</v>
      </c>
      <c r="AW11" s="242" t="s">
        <v>145</v>
      </c>
      <c r="AX11" s="87">
        <f>Table5[[#This Row],[Incremental ROCE (Historical)]]</f>
        <v>0.34535474693319451</v>
      </c>
      <c r="AY11" s="45">
        <f>Table144[[#This Row],[Avg Valuation Multiple]]</f>
        <v>45.303416666666664</v>
      </c>
      <c r="AZ11" s="87">
        <f>Table5157[[#This Row],[Incremental ROCE (Historical)]]</f>
        <v>0.32835714542638827</v>
      </c>
      <c r="BA11" s="64">
        <f>Table127148[[#This Row],[Base PE]]</f>
        <v>25.344200000000001</v>
      </c>
      <c r="BB11" s="102">
        <f>Table160[[#This Row],[Forecasted ROCE-India]]</f>
        <v>0.15031580928325544</v>
      </c>
      <c r="BC11" s="102">
        <f>Table160[[#This Row],[Forecasted PE-India]]</f>
        <v>56.004030496975147</v>
      </c>
      <c r="BD11" s="102">
        <f>Table160[[#This Row],[Forecasted ROCE-US]]</f>
        <v>0.32835714542638827</v>
      </c>
      <c r="BE11" s="243">
        <f>Table160[[#This Row],[Forecasted PE-US]]</f>
        <v>31.068794953209196</v>
      </c>
      <c r="BI11" s="255" t="s">
        <v>145</v>
      </c>
      <c r="BJ11" s="256">
        <f>Table5[[#This Row],[Incremental ROCE (Historical)]]</f>
        <v>0.34535474693319451</v>
      </c>
      <c r="BK11" s="257">
        <f>Table144[[#This Row],[Avg Valuation Multiple]]</f>
        <v>45.303416666666664</v>
      </c>
      <c r="BL11" s="256">
        <f>Table5157[[#This Row],[Incremental ROCE (Historical)]]</f>
        <v>0.32835714542638827</v>
      </c>
      <c r="BM11" s="258">
        <f>Table127148[[#This Row],[Base PE]]</f>
        <v>25.344200000000001</v>
      </c>
    </row>
    <row r="12" spans="1:74" ht="29.4" thickBot="1" x14ac:dyDescent="0.35">
      <c r="A12" s="108" t="str">
        <f>Table126[[#This Row],[Sector]]</f>
        <v>Telecom</v>
      </c>
      <c r="B12" s="112">
        <f>AVERAGE([30]Profile!$B$10:$F$10)</f>
        <v>10.035160000000001</v>
      </c>
      <c r="C12" s="109">
        <f>Table161[[#This Row],[Earnings CAGR (Historical)]]</f>
        <v>7.7495415166203424E-2</v>
      </c>
      <c r="D12" s="110">
        <f>[30]Calc!$I$7</f>
        <v>0.48162409583426535</v>
      </c>
      <c r="E12" s="109">
        <f>AVERAGE('[30]Assumptions &amp; WACC'!$B$12:$F$12)</f>
        <v>7.178712000000001E-2</v>
      </c>
      <c r="F12" s="112">
        <f>[30]Calc!$H$14</f>
        <v>100.16319394923526</v>
      </c>
      <c r="G12" s="112">
        <f>MIN(0.5,Table127148[[#This Row],[Earnings Sensitivity]]/100)</f>
        <v>0.5</v>
      </c>
      <c r="H12" s="112">
        <v>0.4</v>
      </c>
      <c r="I12" s="112">
        <v>0.4</v>
      </c>
      <c r="J12" s="112">
        <v>0.2</v>
      </c>
      <c r="K12" s="117">
        <f>Table127148[[#This Row],[Base PE]]*(1+Table127148[[#This Row],[Alpha]]*Table127148[[#This Row],[Earnings CAGR]]/0.15)+Table127148[[#This Row],[Beta]]*((Table127148[[#This Row],[ROCE]]-Table127148[[#This Row],[Ke]])/Table127148[[#This Row],[Ke]])-Table127148[[#This Row],[Gamma]]*Table127148[[#This Row],[Risk Adjustment]]</f>
        <v>14.2925943774949</v>
      </c>
      <c r="M12" s="1" t="str">
        <f>Table126[[#This Row],[Sector]]</f>
        <v>Telecom</v>
      </c>
      <c r="N12" s="119">
        <f>Table127148[[#This Row],[ROCE]]</f>
        <v>0.48162409583426535</v>
      </c>
      <c r="O12" s="119">
        <f>Table127148[[#This Row],[Forecasted PE]]</f>
        <v>14.2925943774949</v>
      </c>
      <c r="P12" s="99" t="str">
        <f t="shared" si="0"/>
        <v>High ROCE &amp; Low PE</v>
      </c>
      <c r="Q12" s="99" t="str">
        <f>IF(AND(Table150[[#This Row],[Forecasted ROCE]]&gt;=$AA$16,Table150[[#This Row],[Forecasted PE]]&gt;=$AA$18),"Premium Efficiency",IF(AND(Table150[[#This Row],[Forecasted ROCE]]&gt;=$AA$16,Table150[[#This Row],[Forecasted PE]]&gt;=$AA$19),"Undervalued Efficient",IF(AND(Table150[[#This Row],[Forecasted ROCE]]&gt;=$AA$17,Table150[[#This Row],[Forecasted PE]]&gt;=$AA$19),"Balanced Compounder",IF(AND(Table150[[#This Row],[Forecasted ROCE]]&lt;$AA$17,Table150[[#This Row],[Forecasted PE]]&lt;$AA$19),"Value Anchor","Mid-tier Performer"))))</f>
        <v>Mid-tier Performer</v>
      </c>
      <c r="R12" s="2" t="e">
        <f t="shared" si="1"/>
        <v>#N/A</v>
      </c>
      <c r="S12" s="119" t="e">
        <f t="shared" si="2"/>
        <v>#N/A</v>
      </c>
      <c r="T12" s="8" t="e">
        <f t="shared" si="3"/>
        <v>#N/A</v>
      </c>
      <c r="U12" s="8" t="e">
        <f t="shared" si="4"/>
        <v>#N/A</v>
      </c>
      <c r="V12" s="2" t="e">
        <f t="shared" si="5"/>
        <v>#N/A</v>
      </c>
      <c r="AD12" s="11" t="str">
        <f>Table150[[#This Row],[Sector]]</f>
        <v>Telecom</v>
      </c>
      <c r="AE12" s="93">
        <f>Table139[[#This Row],[Forecasted ROCE]]</f>
        <v>0.13389398859242055</v>
      </c>
      <c r="AF12" s="93">
        <f>Table139[[#This Row],[Forecasted PE]]</f>
        <v>27.870643997257158</v>
      </c>
      <c r="AG12" s="93">
        <f>Table150[[#This Row],[Forecasted ROCE]]</f>
        <v>0.48162409583426535</v>
      </c>
      <c r="AH12" s="93">
        <f>Table150[[#This Row],[Forecasted PE]]</f>
        <v>14.2925943774949</v>
      </c>
      <c r="AK12" s="11" t="str">
        <f>Table160[[#This Row],[Sector]]</f>
        <v>Telecom</v>
      </c>
      <c r="AL12" s="63">
        <f>[30]Calc!$D$73</f>
        <v>7.7495415166203424E-2</v>
      </c>
      <c r="AM12" s="63">
        <f>[30]Calc!$D$25</f>
        <v>7.135686617619319E-3</v>
      </c>
      <c r="AW12" s="244" t="s">
        <v>149</v>
      </c>
      <c r="AX12" s="89">
        <f>Table5[[#This Row],[Incremental ROCE (Historical)]]</f>
        <v>0.25264961210996845</v>
      </c>
      <c r="AY12" s="245">
        <f>Table144[[#This Row],[Avg Valuation Multiple]]</f>
        <v>22.99099856876796</v>
      </c>
      <c r="AZ12" s="89">
        <f>Table5157[[#This Row],[Incremental ROCE (Historical)]]</f>
        <v>0.48162409583426535</v>
      </c>
      <c r="BA12" s="246">
        <f>Table127148[[#This Row],[Base PE]]</f>
        <v>10.035160000000001</v>
      </c>
      <c r="BB12" s="247">
        <f>Table160[[#This Row],[Forecasted ROCE-India]]</f>
        <v>0.13389398859242055</v>
      </c>
      <c r="BC12" s="247">
        <f>Table160[[#This Row],[Forecasted PE-India]]</f>
        <v>27.870643997257158</v>
      </c>
      <c r="BD12" s="247">
        <f>Table160[[#This Row],[Forecasted ROCE-US]]</f>
        <v>0.48162409583426535</v>
      </c>
      <c r="BE12" s="248">
        <f>Table160[[#This Row],[Forecasted PE-US]]</f>
        <v>14.2925943774949</v>
      </c>
      <c r="BI12" s="259" t="s">
        <v>149</v>
      </c>
      <c r="BJ12" s="260">
        <f>Table5[[#This Row],[Incremental ROCE (Historical)]]</f>
        <v>0.25264961210996845</v>
      </c>
      <c r="BK12" s="261">
        <f>Table144[[#This Row],[Avg Valuation Multiple]]</f>
        <v>22.99099856876796</v>
      </c>
      <c r="BL12" s="260">
        <f>Table5157[[#This Row],[Incremental ROCE (Historical)]]</f>
        <v>0.48162409583426535</v>
      </c>
      <c r="BM12" s="262">
        <f>Table127148[[#This Row],[Base PE]]</f>
        <v>10.035160000000001</v>
      </c>
    </row>
    <row r="13" spans="1:74" x14ac:dyDescent="0.3">
      <c r="A13" s="114" t="s">
        <v>155</v>
      </c>
      <c r="B13" s="116">
        <f t="shared" ref="B13:G13" si="6">AVERAGE(B2:B12)</f>
        <v>21.760530216450213</v>
      </c>
      <c r="C13" s="115">
        <f t="shared" si="6"/>
        <v>6.137232004773064E-2</v>
      </c>
      <c r="D13" s="115">
        <f t="shared" si="6"/>
        <v>0.628692506131869</v>
      </c>
      <c r="E13" s="115">
        <f t="shared" si="6"/>
        <v>8.397790282251083E-2</v>
      </c>
      <c r="F13" s="116">
        <f t="shared" si="6"/>
        <v>93.440217268813754</v>
      </c>
      <c r="G13" s="116">
        <f t="shared" si="6"/>
        <v>0.39513470724356753</v>
      </c>
      <c r="H13" s="116"/>
      <c r="I13" s="116"/>
      <c r="J13" s="116"/>
      <c r="K13" s="116">
        <f>AVERAGE(K2:K12)</f>
        <v>28.182329428512471</v>
      </c>
      <c r="AK13" s="179" t="s">
        <v>155</v>
      </c>
      <c r="AL13" s="140">
        <f>AVERAGE(AL2:AL12)</f>
        <v>6.137232004773064E-2</v>
      </c>
      <c r="AM13" s="140">
        <f>AVERAGE(AM2:AM12)</f>
        <v>4.5429437764883618E-2</v>
      </c>
    </row>
    <row r="15" spans="1:74" x14ac:dyDescent="0.3">
      <c r="Z15" s="99" t="s">
        <v>187</v>
      </c>
      <c r="AA15" s="99" t="s">
        <v>12</v>
      </c>
    </row>
    <row r="16" spans="1:74" x14ac:dyDescent="0.3">
      <c r="Z16" s="3" t="s">
        <v>188</v>
      </c>
      <c r="AA16" s="113">
        <v>0.3</v>
      </c>
    </row>
    <row r="17" spans="26:45" ht="28.8" x14ac:dyDescent="0.3">
      <c r="Z17" s="3" t="s">
        <v>189</v>
      </c>
      <c r="AA17" s="113">
        <v>0.15</v>
      </c>
      <c r="AR17" s="1" t="s">
        <v>220</v>
      </c>
      <c r="AS17" s="1"/>
    </row>
    <row r="18" spans="26:45" x14ac:dyDescent="0.3">
      <c r="Z18" s="3" t="s">
        <v>190</v>
      </c>
      <c r="AA18" s="113">
        <v>60</v>
      </c>
      <c r="AR18" s="1" t="s">
        <v>621</v>
      </c>
      <c r="AS18" s="1"/>
    </row>
    <row r="19" spans="26:45" x14ac:dyDescent="0.3">
      <c r="Z19" s="3" t="s">
        <v>191</v>
      </c>
      <c r="AA19" s="113">
        <v>30</v>
      </c>
      <c r="AR19" s="1" t="s">
        <v>622</v>
      </c>
      <c r="AS19" s="1" t="s">
        <v>623</v>
      </c>
    </row>
    <row r="20" spans="26:45" x14ac:dyDescent="0.3">
      <c r="AR20" s="41">
        <f>AVERAGE(Table160[Forecasted ROCE-India],Table160[Forecasted ROCE-US])</f>
        <v>0.45057826466040346</v>
      </c>
      <c r="AS20" s="1">
        <v>0</v>
      </c>
    </row>
    <row r="21" spans="26:45" x14ac:dyDescent="0.3">
      <c r="AR21" s="41">
        <v>0.45</v>
      </c>
      <c r="AS21" s="211">
        <v>200</v>
      </c>
    </row>
    <row r="22" spans="26:45" x14ac:dyDescent="0.3">
      <c r="AR22" s="1" t="s">
        <v>624</v>
      </c>
      <c r="AS22" s="1"/>
    </row>
    <row r="23" spans="26:45" x14ac:dyDescent="0.3">
      <c r="AR23" s="1" t="s">
        <v>622</v>
      </c>
      <c r="AS23" s="1" t="s">
        <v>623</v>
      </c>
    </row>
    <row r="24" spans="26:45" x14ac:dyDescent="0.3">
      <c r="AR24" s="1">
        <v>0</v>
      </c>
      <c r="AS24" s="41">
        <f>AVERAGE(Table160[Forecasted PE-India],Table160[Forecasted PE-US])</f>
        <v>44.670377176736139</v>
      </c>
    </row>
    <row r="25" spans="26:45" x14ac:dyDescent="0.3">
      <c r="AR25" s="41">
        <v>2.5</v>
      </c>
      <c r="AS25" s="41">
        <f>AS24</f>
        <v>44.670377176736139</v>
      </c>
    </row>
  </sheetData>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814F9-8477-4E38-9C91-0F6E7380C518}">
  <dimension ref="A1:Q28"/>
  <sheetViews>
    <sheetView workbookViewId="0">
      <selection activeCell="H15" sqref="H15"/>
    </sheetView>
  </sheetViews>
  <sheetFormatPr defaultRowHeight="14.4" x14ac:dyDescent="0.3"/>
  <cols>
    <col min="1" max="1" width="12.77734375" bestFit="1" customWidth="1"/>
    <col min="2" max="2" width="8.6640625" bestFit="1" customWidth="1"/>
    <col min="3" max="3" width="12" bestFit="1" customWidth="1"/>
    <col min="4" max="4" width="11.33203125" bestFit="1" customWidth="1"/>
    <col min="6" max="6" width="9.109375" bestFit="1" customWidth="1"/>
    <col min="9" max="9" width="12.77734375" bestFit="1" customWidth="1"/>
    <col min="10" max="10" width="13.44140625" customWidth="1"/>
    <col min="11" max="11" width="12.5546875" customWidth="1"/>
    <col min="12" max="12" width="12.109375" customWidth="1"/>
    <col min="13" max="13" width="11.77734375" customWidth="1"/>
    <col min="14" max="15" width="11.109375" bestFit="1" customWidth="1"/>
    <col min="16" max="16" width="9" customWidth="1"/>
    <col min="17" max="17" width="8.5546875" customWidth="1"/>
  </cols>
  <sheetData>
    <row r="1" spans="1:17" ht="43.2" x14ac:dyDescent="0.3">
      <c r="A1" s="124" t="s">
        <v>8</v>
      </c>
      <c r="B1" s="125" t="s">
        <v>141</v>
      </c>
      <c r="C1" s="125" t="s">
        <v>144</v>
      </c>
      <c r="D1" s="125" t="s">
        <v>206</v>
      </c>
      <c r="E1" s="125" t="s">
        <v>143</v>
      </c>
      <c r="F1" s="126" t="s">
        <v>151</v>
      </c>
      <c r="G1" s="1"/>
      <c r="H1" s="1"/>
      <c r="I1" s="98" t="s">
        <v>8</v>
      </c>
      <c r="J1" s="98" t="s">
        <v>156</v>
      </c>
      <c r="K1" s="98" t="s">
        <v>157</v>
      </c>
      <c r="L1" s="98" t="s">
        <v>272</v>
      </c>
      <c r="M1" s="98" t="s">
        <v>161</v>
      </c>
      <c r="N1" s="98" t="s">
        <v>159</v>
      </c>
      <c r="O1" s="98" t="s">
        <v>160</v>
      </c>
    </row>
    <row r="2" spans="1:17" x14ac:dyDescent="0.3">
      <c r="A2" s="123" t="s">
        <v>33</v>
      </c>
      <c r="B2" s="120">
        <f>AVERAGE('[20]Assumptions &amp; WACC'!$B$3:$G$3)</f>
        <v>9.0319429866291712E-2</v>
      </c>
      <c r="C2" s="120">
        <f>[20]Calc!$D$43</f>
        <v>0.1006275183444959</v>
      </c>
      <c r="D2" s="120">
        <f>Table127148[[#This Row],[ROCE]]</f>
        <v>0.48659581580542222</v>
      </c>
      <c r="E2" s="120">
        <f>[20]Calc!$D$50</f>
        <v>5.2073135305341876E-2</v>
      </c>
      <c r="F2" s="122">
        <f>Table127148[[#This Row],[Base PE]]</f>
        <v>12.963766666666666</v>
      </c>
      <c r="G2" s="1"/>
      <c r="H2" s="1"/>
      <c r="I2" s="11" t="s">
        <v>33</v>
      </c>
      <c r="J2" s="12">
        <f>[20]Calc!$D$8</f>
        <v>5694.8622333333333</v>
      </c>
      <c r="K2" s="12">
        <f>[20]Calc!$D$15</f>
        <v>8277.6111573522776</v>
      </c>
      <c r="L2" s="13">
        <f>[20]Calc!$D$22</f>
        <v>7.4359630911576116E-2</v>
      </c>
      <c r="M2" s="13">
        <f>C16</f>
        <v>0.12184049490573057</v>
      </c>
      <c r="N2" s="13">
        <f>Table127148[[#This Row],[ROCE]]</f>
        <v>0.48659581580542222</v>
      </c>
      <c r="O2" s="13">
        <f>[20]Calc!$N$8</f>
        <v>2.0495797521605965</v>
      </c>
    </row>
    <row r="3" spans="1:17" x14ac:dyDescent="0.3">
      <c r="A3" s="11" t="s">
        <v>0</v>
      </c>
      <c r="B3" s="91">
        <f>[21]Calc!$D$49</f>
        <v>5.7337119502362012E-2</v>
      </c>
      <c r="C3" s="91">
        <f>[21]Calc!$D$57</f>
        <v>0.33851485177840035</v>
      </c>
      <c r="D3" s="120">
        <f>Table127148[[#This Row],[ROCE]]</f>
        <v>0.10906980664764367</v>
      </c>
      <c r="E3" s="91">
        <f>[21]Calc!$D$65</f>
        <v>0.26010982354666845</v>
      </c>
      <c r="F3" s="122">
        <f>Table127148[[#This Row],[Base PE]]</f>
        <v>18.562685714285717</v>
      </c>
      <c r="G3" s="1"/>
      <c r="H3" s="1"/>
      <c r="I3" s="11" t="s">
        <v>0</v>
      </c>
      <c r="J3" s="12">
        <f>[21]Calc!$D$17</f>
        <v>2358.0571428571429</v>
      </c>
      <c r="K3" s="12">
        <f>[21]Calc!$D$25</f>
        <v>3210.7784302116379</v>
      </c>
      <c r="L3" s="13">
        <f>[21]Calc!$D$9</f>
        <v>3.954479741003742E-2</v>
      </c>
      <c r="M3" s="13">
        <f>C17</f>
        <v>5.0603282607969147E-2</v>
      </c>
      <c r="N3" s="13">
        <f>Table127148[[#This Row],[ROCE]]</f>
        <v>0.10906980664764367</v>
      </c>
      <c r="O3" s="13">
        <f>[21]Calc!$I$9</f>
        <v>0.10906980664764367</v>
      </c>
    </row>
    <row r="4" spans="1:17" x14ac:dyDescent="0.3">
      <c r="A4" s="11" t="s">
        <v>40</v>
      </c>
      <c r="B4" s="91">
        <f>AVERAGE('[22]Assumptions &amp; WACC'!$B$3:$F$3)</f>
        <v>3.8332003147741656E-2</v>
      </c>
      <c r="C4" s="91">
        <f>[22]Calc!$D$37</f>
        <v>0.14785529284400695</v>
      </c>
      <c r="D4" s="120">
        <f>Table127148[[#This Row],[ROCE]]</f>
        <v>1.6252268973253223</v>
      </c>
      <c r="E4" s="91">
        <f>[22]Calc!$D$43</f>
        <v>7.6912506524195984E-2</v>
      </c>
      <c r="F4" s="122">
        <f>Table127148[[#This Row],[Base PE]]</f>
        <v>28.07076</v>
      </c>
      <c r="G4" s="1"/>
      <c r="H4" s="1"/>
      <c r="I4" s="11" t="s">
        <v>40</v>
      </c>
      <c r="J4" s="76">
        <f>[22]Calc!$D$7</f>
        <v>1360.4</v>
      </c>
      <c r="K4" s="76">
        <f>[22]Calc!$D$13</f>
        <v>1787.54744067606</v>
      </c>
      <c r="L4" s="13">
        <f>[22]Calc!$D$19</f>
        <v>3.1815083712192702E-2</v>
      </c>
      <c r="M4" s="13">
        <f t="shared" ref="M4:M11" si="0">C18</f>
        <v>2.8392928970223295E-2</v>
      </c>
      <c r="N4" s="13">
        <f>Table127148[[#This Row],[ROCE]]</f>
        <v>1.6252268973253223</v>
      </c>
      <c r="O4" s="13">
        <f>[22]Calc!$N$7</f>
        <v>2.5423157398735712</v>
      </c>
    </row>
    <row r="5" spans="1:17" x14ac:dyDescent="0.3">
      <c r="A5" s="11" t="s">
        <v>43</v>
      </c>
      <c r="B5" s="91">
        <f>AVERAGE([23]Assumptions!$B$4:$F$4)</f>
        <v>4.1212951849809443E-2</v>
      </c>
      <c r="C5" s="91">
        <f>[23]Calc!$D$37</f>
        <v>0.61262236948286564</v>
      </c>
      <c r="D5" s="120">
        <f>Table127148[[#This Row],[ROCE]]</f>
        <v>0.14773808330800647</v>
      </c>
      <c r="E5" s="91">
        <f>[23]Calc!$D$43</f>
        <v>0.14764992303983096</v>
      </c>
      <c r="F5" s="122">
        <f>Table127148[[#This Row],[Base PE]]</f>
        <v>11.260459999999998</v>
      </c>
      <c r="G5" s="1"/>
      <c r="H5" s="1"/>
      <c r="I5" s="11" t="s">
        <v>43</v>
      </c>
      <c r="J5" s="12">
        <f>[23]Calc!$D$7</f>
        <v>8303.2000000000007</v>
      </c>
      <c r="K5" s="12">
        <f>[23]Calc!$D$13</f>
        <v>9813.9898038808642</v>
      </c>
      <c r="L5" s="13">
        <f>[23]Calc!$D$19</f>
        <v>3.4196491755730071E-2</v>
      </c>
      <c r="M5" s="13">
        <f t="shared" si="0"/>
        <v>0.38388524484724568</v>
      </c>
      <c r="N5" s="13">
        <f>Table127148[[#This Row],[ROCE]]</f>
        <v>0.14773808330800647</v>
      </c>
      <c r="O5" s="13">
        <f>[23]Calc!$N$7</f>
        <v>0.50232486181030911</v>
      </c>
    </row>
    <row r="6" spans="1:17" x14ac:dyDescent="0.3">
      <c r="A6" s="11" t="s">
        <v>150</v>
      </c>
      <c r="B6" s="91">
        <f>AVERAGE('[24]Assumptions &amp; WACC'!$B$3:$F$3)</f>
        <v>4.8698557264013023E-2</v>
      </c>
      <c r="C6" s="91">
        <f>[24]Calc!$D$37</f>
        <v>0.21285415461225146</v>
      </c>
      <c r="D6" s="120">
        <f>Table127148[[#This Row],[ROCE]]</f>
        <v>0.69747693249774723</v>
      </c>
      <c r="E6" s="91">
        <f>[24]Calc!$D$43</f>
        <v>0.10344700465461103</v>
      </c>
      <c r="F6" s="122">
        <f>Table127148[[#This Row],[Base PE]]</f>
        <v>26.8964</v>
      </c>
      <c r="G6" s="1"/>
      <c r="H6" s="1"/>
      <c r="I6" s="11" t="s">
        <v>150</v>
      </c>
      <c r="J6" s="12">
        <f>[24]Calc!$D$7</f>
        <v>5432.2800000000007</v>
      </c>
      <c r="K6" s="12">
        <f>[24]Calc!$D$13</f>
        <v>6991.8330327173844</v>
      </c>
      <c r="L6" s="13">
        <f>[24]Calc!$D$19</f>
        <v>4.0407518259497087E-2</v>
      </c>
      <c r="M6" s="13">
        <f t="shared" si="0"/>
        <v>3.9299974063744386E-2</v>
      </c>
      <c r="N6" s="13">
        <f>Table127148[[#This Row],[ROCE]]</f>
        <v>0.69747693249774723</v>
      </c>
      <c r="O6" s="13">
        <f>[24]Calc!$O$7</f>
        <v>0.35</v>
      </c>
    </row>
    <row r="7" spans="1:17" x14ac:dyDescent="0.3">
      <c r="A7" s="11" t="s">
        <v>146</v>
      </c>
      <c r="B7" s="91">
        <f>AVERAGE('[25]Assumptions &amp; WACC'!$B$3:$F$3)</f>
        <v>3.918185924980986E-2</v>
      </c>
      <c r="C7" s="91">
        <f>[25]Calc!$D$37</f>
        <v>0.10995861380374831</v>
      </c>
      <c r="D7" s="120">
        <f>Table127148[[#This Row],[ROCE]]</f>
        <v>0.62048033787314694</v>
      </c>
      <c r="E7" s="91">
        <f>[25]Calc!$D$43</f>
        <v>2.4139182988946524E-2</v>
      </c>
      <c r="F7" s="122">
        <f>Table127148[[#This Row],[Base PE]]</f>
        <v>31.709339999999997</v>
      </c>
      <c r="G7" s="1"/>
      <c r="H7" s="1"/>
      <c r="I7" s="11" t="s">
        <v>146</v>
      </c>
      <c r="J7" s="76">
        <f>[25]Calc!$D$7</f>
        <v>451.23785333333336</v>
      </c>
      <c r="K7" s="12">
        <f>[25]Calc!$D$13</f>
        <v>689.25267901452582</v>
      </c>
      <c r="L7" s="13">
        <f>[25]Calc!$D$19</f>
        <v>3.2395580995385864E-2</v>
      </c>
      <c r="M7" s="13">
        <f t="shared" si="0"/>
        <v>2.7527021945331898E-2</v>
      </c>
      <c r="N7" s="13">
        <f>Table127148[[#This Row],[ROCE]]</f>
        <v>0.62048033787314694</v>
      </c>
      <c r="O7" s="13">
        <f>[25]Calc!$N$7</f>
        <v>2.323317177054089</v>
      </c>
    </row>
    <row r="8" spans="1:17" x14ac:dyDescent="0.3">
      <c r="A8" s="11" t="s">
        <v>27</v>
      </c>
      <c r="B8" s="91">
        <f>AVERAGE('[26]Assumptions &amp; WACC'!$B$3:$F$3)</f>
        <v>8.5102453732507577E-2</v>
      </c>
      <c r="C8" s="91">
        <f>[26]Calc!$D$37</f>
        <v>0.32620049910275817</v>
      </c>
      <c r="D8" s="120">
        <f>Table127148[[#This Row],[ROCE]]</f>
        <v>0.4961022135998302</v>
      </c>
      <c r="E8" s="91">
        <f>[26]Calc!$D$43</f>
        <v>0.14707428596661398</v>
      </c>
      <c r="F8" s="122">
        <f>Table127148[[#This Row],[Base PE]]</f>
        <v>38.314239999999998</v>
      </c>
      <c r="G8" s="1"/>
      <c r="H8" s="1"/>
      <c r="I8" s="11" t="s">
        <v>27</v>
      </c>
      <c r="J8" s="12">
        <f>[26]Calc!$D$7</f>
        <v>15980.717719999997</v>
      </c>
      <c r="K8" s="12">
        <f>[26]Calc!$D$13</f>
        <v>29205.741494412407</v>
      </c>
      <c r="L8" s="13">
        <f>[26]Calc!$D$19</f>
        <v>7.0341074345790622E-2</v>
      </c>
      <c r="M8" s="13">
        <f t="shared" si="0"/>
        <v>8.8067347920807657E-2</v>
      </c>
      <c r="N8" s="13">
        <f>Table127148[[#This Row],[ROCE]]</f>
        <v>0.4961022135998302</v>
      </c>
      <c r="O8" s="13">
        <f>[26]Calc!$N$7</f>
        <v>2.6943665706282287</v>
      </c>
    </row>
    <row r="9" spans="1:17" x14ac:dyDescent="0.3">
      <c r="A9" s="11" t="s">
        <v>148</v>
      </c>
      <c r="B9" s="91">
        <f>AVERAGE('[27]Assumptions &amp; WACC'!$B$3:$G$3)</f>
        <v>7.7053170112523148E-2</v>
      </c>
      <c r="C9" s="91">
        <f>[27]Calc!$D$43</f>
        <v>0.30631185195703642</v>
      </c>
      <c r="D9" s="120">
        <f>Table127148[[#This Row],[ROCE]]</f>
        <v>9.5009697766282805E-2</v>
      </c>
      <c r="E9" s="91">
        <f>[27]Calc!$D$50</f>
        <v>7.3424220412320315E-2</v>
      </c>
      <c r="F9" s="122">
        <f>Table127148[[#This Row],[Base PE]]</f>
        <v>14.26952</v>
      </c>
      <c r="G9" s="1"/>
      <c r="H9" s="1"/>
      <c r="I9" s="11" t="s">
        <v>148</v>
      </c>
      <c r="J9" s="76">
        <f>[27]Calc!$D$8</f>
        <v>1777.6701666666668</v>
      </c>
      <c r="K9" s="12">
        <f>[27]Calc!$D$15</f>
        <v>2733.401052980194</v>
      </c>
      <c r="L9" s="13">
        <f>[27]Calc!$D$22</f>
        <v>6.3739524514394907E-2</v>
      </c>
      <c r="M9" s="13">
        <f t="shared" si="0"/>
        <v>9.0208227623966727E-2</v>
      </c>
      <c r="N9" s="13">
        <f>Table127148[[#This Row],[ROCE]]</f>
        <v>9.5009697766282805E-2</v>
      </c>
      <c r="O9" s="13">
        <f>[27]Calc!$N$8</f>
        <v>2.4293572904622245</v>
      </c>
    </row>
    <row r="10" spans="1:17" x14ac:dyDescent="0.3">
      <c r="A10" s="11" t="s">
        <v>147</v>
      </c>
      <c r="B10" s="91">
        <f>AVERAGE('[28]Assumptions &amp; WACC'!$B$3:$F$3)</f>
        <v>8.9070194808113581E-2</v>
      </c>
      <c r="C10" s="91">
        <f>[28]Calc!$D$37</f>
        <v>0.27019357533553434</v>
      </c>
      <c r="D10" s="120">
        <f>Table127148[[#This Row],[ROCE]]</f>
        <v>1.8279365413665041</v>
      </c>
      <c r="E10" s="91">
        <f>[28]Calc!$D$43</f>
        <v>8.1548228871893141E-2</v>
      </c>
      <c r="F10" s="122">
        <f>Table127148[[#This Row],[Base PE]]</f>
        <v>21.939299999999996</v>
      </c>
      <c r="G10" s="1"/>
      <c r="H10" s="1"/>
      <c r="I10" s="11" t="s">
        <v>147</v>
      </c>
      <c r="J10" s="76">
        <f>[28]Calc!$D$7</f>
        <v>8834.92</v>
      </c>
      <c r="K10" s="76">
        <f>[28]Calc!$D$13</f>
        <v>13265.387341893138</v>
      </c>
      <c r="L10" s="13">
        <f>[28]Calc!$D$19</f>
        <v>4.837892064557394E-2</v>
      </c>
      <c r="M10" s="13">
        <f t="shared" si="0"/>
        <v>6.501185327003664E-2</v>
      </c>
      <c r="N10" s="13">
        <f>Table127148[[#This Row],[ROCE]]</f>
        <v>1.8279365413665041</v>
      </c>
      <c r="O10" s="13">
        <f>[28]Calc!$N$7</f>
        <v>1.2060376709368792</v>
      </c>
    </row>
    <row r="11" spans="1:17" x14ac:dyDescent="0.3">
      <c r="A11" s="11" t="s">
        <v>145</v>
      </c>
      <c r="B11" s="91">
        <f>AVERAGE('[29]Assumptions &amp; WACC'!$B$3:$F$3)</f>
        <v>6.939211134178587E-2</v>
      </c>
      <c r="C11" s="91">
        <f>[29]Calc!$D$37</f>
        <v>0.33446566898393537</v>
      </c>
      <c r="D11" s="120">
        <f>Table127148[[#This Row],[ROCE]]</f>
        <v>0.32835714542638827</v>
      </c>
      <c r="E11" s="91">
        <f>[29]Calc!$D$43</f>
        <v>0.15013469913282151</v>
      </c>
      <c r="F11" s="122">
        <f>Table127148[[#This Row],[Base PE]]</f>
        <v>25.344200000000001</v>
      </c>
      <c r="G11" s="1"/>
      <c r="H11" s="1"/>
      <c r="I11" s="11" t="s">
        <v>145</v>
      </c>
      <c r="J11" s="76">
        <f>[29]Calc!$D$7</f>
        <v>2926.136</v>
      </c>
      <c r="K11" s="12">
        <f>[29]Calc!$D$13</f>
        <v>4154.5146032618959</v>
      </c>
      <c r="L11" s="13">
        <f>[29]Calc!$D$19</f>
        <v>5.7409506245921761E-2</v>
      </c>
      <c r="M11" s="13">
        <f t="shared" si="0"/>
        <v>5.5160086080215297E-2</v>
      </c>
      <c r="N11" s="13">
        <f>Table127148[[#This Row],[ROCE]]</f>
        <v>0.32835714542638827</v>
      </c>
      <c r="O11" s="13">
        <f>[29]Calc!$N$7</f>
        <v>3.7408165988906199</v>
      </c>
    </row>
    <row r="12" spans="1:17" x14ac:dyDescent="0.3">
      <c r="A12" s="11" t="s">
        <v>149</v>
      </c>
      <c r="B12" s="91">
        <f>AVERAGE('[30]Assumptions &amp; WACC'!$B$3:$F$3)</f>
        <v>8.6927836184529372E-3</v>
      </c>
      <c r="C12" s="91">
        <f>[30]Calc!$D$37</f>
        <v>0.49602236955745588</v>
      </c>
      <c r="D12" s="120">
        <f>Table127148[[#This Row],[ROCE]]</f>
        <v>0.48162409583426535</v>
      </c>
      <c r="E12" s="121">
        <f>[30]Calc!$D$43</f>
        <v>0.11283500100671877</v>
      </c>
      <c r="F12" s="122">
        <f>Table127148[[#This Row],[Base PE]]</f>
        <v>10.035160000000001</v>
      </c>
      <c r="G12" s="1"/>
      <c r="H12" s="1"/>
      <c r="I12" s="11" t="s">
        <v>149</v>
      </c>
      <c r="J12" s="12">
        <f>[30]Calc!$D$7</f>
        <v>13702.680000000002</v>
      </c>
      <c r="K12" s="12">
        <f>[30]Calc!$D$13</f>
        <v>14015.143190513947</v>
      </c>
      <c r="L12" s="13">
        <f>[30]Calc!$D$19</f>
        <v>7.135686617619319E-3</v>
      </c>
      <c r="M12" s="13">
        <f>[30]Calc!$D$55</f>
        <v>0.13827726064606383</v>
      </c>
      <c r="N12" s="13">
        <f>Table127148[[#This Row],[ROCE]]</f>
        <v>0.48162409583426535</v>
      </c>
      <c r="O12" s="13">
        <f>[30]Calc!$N$7</f>
        <v>0.8244819399711304</v>
      </c>
    </row>
    <row r="13" spans="1:17" x14ac:dyDescent="0.3">
      <c r="A13" s="94" t="s">
        <v>155</v>
      </c>
      <c r="B13" s="127">
        <f>AVERAGE(B2:B12)</f>
        <v>5.8581148590310078E-2</v>
      </c>
      <c r="C13" s="127">
        <f t="shared" ref="C13:F13" si="1">AVERAGE(C2:C12)</f>
        <v>0.29596606961840805</v>
      </c>
      <c r="D13" s="127">
        <f t="shared" si="1"/>
        <v>0.628692506131869</v>
      </c>
      <c r="E13" s="127">
        <f t="shared" si="1"/>
        <v>0.11175891013181478</v>
      </c>
      <c r="F13" s="128">
        <f t="shared" si="1"/>
        <v>21.760530216450213</v>
      </c>
      <c r="G13" s="1"/>
      <c r="H13" s="1"/>
      <c r="I13" s="94" t="s">
        <v>155</v>
      </c>
      <c r="J13" s="100">
        <f>AVERAGE(J2:J12)</f>
        <v>6074.7419196536794</v>
      </c>
      <c r="K13" s="100">
        <f t="shared" ref="K13:O13" si="2">AVERAGE(K2:K12)</f>
        <v>8558.6545660831216</v>
      </c>
      <c r="L13" s="101">
        <f t="shared" si="2"/>
        <v>4.5429437764883618E-2</v>
      </c>
      <c r="M13" s="101">
        <f t="shared" si="2"/>
        <v>9.893397480739409E-2</v>
      </c>
      <c r="N13" s="101">
        <f t="shared" si="2"/>
        <v>0.628692506131869</v>
      </c>
      <c r="O13" s="101">
        <f t="shared" si="2"/>
        <v>1.706515218948663</v>
      </c>
    </row>
    <row r="14" spans="1:17" x14ac:dyDescent="0.3">
      <c r="E14" s="99"/>
      <c r="F14" s="99"/>
      <c r="G14" s="3"/>
      <c r="H14" s="3"/>
      <c r="I14" s="3"/>
      <c r="J14" s="3"/>
      <c r="K14" s="3"/>
      <c r="L14" s="3"/>
      <c r="M14" s="3"/>
      <c r="N14" s="3"/>
      <c r="O14" s="3"/>
    </row>
    <row r="15" spans="1:17" s="142" customFormat="1" ht="43.2" x14ac:dyDescent="0.3">
      <c r="A15" s="97" t="s">
        <v>8</v>
      </c>
      <c r="B15" s="98" t="s">
        <v>152</v>
      </c>
      <c r="C15" s="98" t="s">
        <v>413</v>
      </c>
      <c r="D15" s="98" t="s">
        <v>414</v>
      </c>
      <c r="E15" s="99"/>
      <c r="F15" s="99"/>
      <c r="G15" s="3"/>
      <c r="H15" s="3"/>
      <c r="I15" s="103"/>
      <c r="J15" s="99"/>
      <c r="K15" s="99"/>
      <c r="L15" s="99"/>
      <c r="M15" s="99"/>
      <c r="N15" s="99"/>
      <c r="O15" s="99"/>
      <c r="P15" s="99"/>
      <c r="Q15" s="99"/>
    </row>
    <row r="16" spans="1:17" x14ac:dyDescent="0.3">
      <c r="A16" s="11" t="s">
        <v>33</v>
      </c>
      <c r="B16" s="90">
        <f>[20]Calc!$D$36</f>
        <v>7.4359630911576116E-2</v>
      </c>
      <c r="C16" s="90">
        <f>[20]Calc!$D$64</f>
        <v>0.12184049490573057</v>
      </c>
      <c r="D16" s="93">
        <f>'Cross-Sector US'!F2</f>
        <v>233.6281494527685</v>
      </c>
      <c r="E16" s="2"/>
      <c r="F16" s="2"/>
      <c r="G16" s="1"/>
      <c r="H16" s="1"/>
      <c r="I16" s="103"/>
      <c r="J16" s="40"/>
      <c r="K16" s="40"/>
      <c r="L16" s="40"/>
      <c r="M16" s="40"/>
      <c r="N16" s="40"/>
      <c r="O16" s="40"/>
      <c r="P16" s="40"/>
      <c r="Q16" s="40"/>
    </row>
    <row r="17" spans="1:17" x14ac:dyDescent="0.3">
      <c r="A17" s="11" t="s">
        <v>0</v>
      </c>
      <c r="B17" s="90">
        <f>[21]Calc!$D$49</f>
        <v>5.7337119502362012E-2</v>
      </c>
      <c r="C17" s="91">
        <f>[21]Calc!$D$81</f>
        <v>5.0603282607969147E-2</v>
      </c>
      <c r="D17" s="93">
        <f>'Cross-Sector US'!F3</f>
        <v>77.604742231905249</v>
      </c>
      <c r="E17" s="2"/>
      <c r="F17" s="2"/>
      <c r="G17" s="1"/>
      <c r="H17" s="1"/>
      <c r="I17" s="1"/>
      <c r="J17" s="143"/>
      <c r="K17" s="143"/>
      <c r="L17" s="143"/>
      <c r="M17" s="143"/>
      <c r="N17" s="143"/>
      <c r="O17" s="145"/>
      <c r="P17" s="143"/>
      <c r="Q17" s="145"/>
    </row>
    <row r="18" spans="1:17" x14ac:dyDescent="0.3">
      <c r="A18" s="11" t="s">
        <v>40</v>
      </c>
      <c r="B18" s="90">
        <f>[22]Calc!$D$31</f>
        <v>3.1815083712192702E-2</v>
      </c>
      <c r="C18" s="90">
        <f>[22]Calc!$D$55</f>
        <v>2.8392928970223295E-2</v>
      </c>
      <c r="D18" s="93">
        <f>'Cross-Sector US'!F4</f>
        <v>51.248020255620652</v>
      </c>
      <c r="E18" s="2"/>
      <c r="F18" s="2"/>
      <c r="G18" s="1"/>
      <c r="H18" s="1"/>
      <c r="I18" s="1"/>
      <c r="J18" s="143"/>
      <c r="K18" s="143"/>
      <c r="L18" s="143"/>
      <c r="M18" s="143"/>
      <c r="N18" s="145"/>
      <c r="O18" s="145"/>
      <c r="P18" s="145"/>
      <c r="Q18" s="145"/>
    </row>
    <row r="19" spans="1:17" x14ac:dyDescent="0.3">
      <c r="A19" s="11" t="s">
        <v>43</v>
      </c>
      <c r="B19" s="90">
        <f>[23]Calc!$D$31</f>
        <v>3.4196491755730071E-2</v>
      </c>
      <c r="C19" s="90">
        <f>[23]Calc!$D$55</f>
        <v>0.38388524484724568</v>
      </c>
      <c r="D19" s="93">
        <f>'Cross-Sector US'!F5</f>
        <v>29.435966980682341</v>
      </c>
      <c r="E19" s="2"/>
      <c r="F19" s="2"/>
      <c r="G19" s="1"/>
      <c r="H19" s="1"/>
      <c r="I19" s="1"/>
      <c r="J19" s="143"/>
      <c r="K19" s="143"/>
      <c r="L19" s="143"/>
      <c r="M19" s="143"/>
      <c r="N19" s="145"/>
      <c r="O19" s="145"/>
      <c r="P19" s="145"/>
      <c r="Q19" s="145"/>
    </row>
    <row r="20" spans="1:17" x14ac:dyDescent="0.3">
      <c r="A20" s="11" t="s">
        <v>150</v>
      </c>
      <c r="B20" s="91">
        <f>[24]Calc!$D$31</f>
        <v>4.0407518259497087E-2</v>
      </c>
      <c r="C20" s="91">
        <f>[24]Calc!$D$55</f>
        <v>3.9299974063744386E-2</v>
      </c>
      <c r="D20" s="93">
        <f>'Cross-Sector US'!F6</f>
        <v>35.570611705833308</v>
      </c>
      <c r="E20" s="2"/>
      <c r="F20" s="2"/>
      <c r="G20" s="1"/>
      <c r="H20" s="1"/>
      <c r="I20" s="1"/>
      <c r="J20" s="143"/>
      <c r="K20" s="143"/>
      <c r="L20" s="143"/>
      <c r="M20" s="143"/>
      <c r="N20" s="145"/>
      <c r="O20" s="145"/>
      <c r="P20" s="145"/>
      <c r="Q20" s="145"/>
    </row>
    <row r="21" spans="1:17" x14ac:dyDescent="0.3">
      <c r="A21" s="11" t="s">
        <v>146</v>
      </c>
      <c r="B21" s="91">
        <f>[25]Calc!$D$31</f>
        <v>3.2395580995385864E-2</v>
      </c>
      <c r="C21" s="91">
        <f>[25]Calc!$D$55</f>
        <v>2.7527021945331898E-2</v>
      </c>
      <c r="D21" s="93">
        <f>'Cross-Sector US'!F7</f>
        <v>251.03649467757336</v>
      </c>
      <c r="E21" s="2"/>
      <c r="F21" s="2"/>
      <c r="G21" s="1"/>
      <c r="H21" s="1"/>
      <c r="I21" s="1"/>
      <c r="J21" s="143"/>
      <c r="K21" s="143"/>
      <c r="L21" s="143"/>
      <c r="M21" s="143"/>
      <c r="N21" s="145"/>
      <c r="O21" s="145"/>
      <c r="P21" s="145"/>
      <c r="Q21" s="145"/>
    </row>
    <row r="22" spans="1:17" x14ac:dyDescent="0.3">
      <c r="A22" s="11" t="s">
        <v>27</v>
      </c>
      <c r="B22" s="91">
        <f>[26]Calc!$D$31</f>
        <v>7.0341074345790622E-2</v>
      </c>
      <c r="C22" s="91">
        <f>[26]Calc!$D$55</f>
        <v>8.8067347920807657E-2</v>
      </c>
      <c r="D22" s="93">
        <f>'Cross-Sector US'!F8</f>
        <v>57.142902643449958</v>
      </c>
      <c r="E22" s="2"/>
      <c r="F22" s="2"/>
      <c r="G22" s="1"/>
      <c r="H22" s="1"/>
      <c r="I22" s="1"/>
      <c r="J22" s="143"/>
      <c r="K22" s="143"/>
      <c r="L22" s="143"/>
      <c r="M22" s="143"/>
      <c r="N22" s="145"/>
      <c r="O22" s="145"/>
      <c r="P22" s="145"/>
      <c r="Q22" s="145"/>
    </row>
    <row r="23" spans="1:17" x14ac:dyDescent="0.3">
      <c r="A23" s="11" t="s">
        <v>148</v>
      </c>
      <c r="B23" s="91">
        <f>[27]Calc!$D$36</f>
        <v>6.3739524514394907E-2</v>
      </c>
      <c r="C23" s="91">
        <f>[27]Calc!$D$64</f>
        <v>9.0208227623966727E-2</v>
      </c>
      <c r="D23" s="93">
        <f>'Cross-Sector US'!F9</f>
        <v>-21.22160339002275</v>
      </c>
      <c r="E23" s="2"/>
      <c r="F23" s="2"/>
      <c r="G23" s="1"/>
      <c r="H23" s="1"/>
      <c r="I23" s="1"/>
      <c r="J23" s="143"/>
      <c r="K23" s="143"/>
      <c r="L23" s="143"/>
      <c r="M23" s="143"/>
      <c r="N23" s="145"/>
      <c r="O23" s="145"/>
      <c r="P23" s="145"/>
      <c r="Q23" s="145"/>
    </row>
    <row r="24" spans="1:17" x14ac:dyDescent="0.3">
      <c r="A24" s="11" t="s">
        <v>147</v>
      </c>
      <c r="B24" s="91">
        <f>[28]Calc!$D$31</f>
        <v>4.837892064557394E-2</v>
      </c>
      <c r="C24" s="91">
        <f>[28]Calc!$D$55</f>
        <v>6.501185327003664E-2</v>
      </c>
      <c r="D24" s="93">
        <f>'Cross-Sector US'!F10</f>
        <v>172.37070877847438</v>
      </c>
      <c r="E24" s="2"/>
      <c r="F24" s="2"/>
      <c r="G24" s="1"/>
      <c r="H24" s="1"/>
      <c r="I24" s="1"/>
      <c r="J24" s="143"/>
      <c r="K24" s="143"/>
      <c r="L24" s="143"/>
      <c r="M24" s="143"/>
      <c r="N24" s="145"/>
      <c r="O24" s="145"/>
      <c r="P24" s="145"/>
      <c r="Q24" s="145"/>
    </row>
    <row r="25" spans="1:17" x14ac:dyDescent="0.3">
      <c r="A25" s="11" t="s">
        <v>145</v>
      </c>
      <c r="B25" s="91">
        <f>[29]Calc!$D$31</f>
        <v>5.7409506245921761E-2</v>
      </c>
      <c r="C25" s="91">
        <f>[29]Calc!$D$55</f>
        <v>5.5160086080215297E-2</v>
      </c>
      <c r="D25" s="93">
        <f>'Cross-Sector US'!F11</f>
        <v>40.863202671431331</v>
      </c>
      <c r="E25" s="2"/>
      <c r="F25" s="2"/>
      <c r="G25" s="1"/>
      <c r="H25" s="1"/>
      <c r="I25" s="1"/>
      <c r="J25" s="143"/>
      <c r="K25" s="143"/>
      <c r="L25" s="143"/>
      <c r="M25" s="143"/>
      <c r="N25" s="145"/>
      <c r="O25" s="145"/>
      <c r="P25" s="145"/>
      <c r="Q25" s="145"/>
    </row>
    <row r="26" spans="1:17" x14ac:dyDescent="0.3">
      <c r="A26" s="11" t="s">
        <v>149</v>
      </c>
      <c r="B26" s="91">
        <f>[30]Calc!$D$31</f>
        <v>7.135686617619319E-3</v>
      </c>
      <c r="C26" s="91">
        <f>[30]Calc!$D$55</f>
        <v>0.13827726064606383</v>
      </c>
      <c r="D26" s="93">
        <f>'Cross-Sector US'!F12</f>
        <v>100.16319394923526</v>
      </c>
      <c r="E26" s="2"/>
      <c r="F26" s="2"/>
      <c r="G26" s="1"/>
      <c r="H26" s="1"/>
      <c r="I26" s="1"/>
      <c r="J26" s="143"/>
      <c r="K26" s="143"/>
      <c r="L26" s="143"/>
      <c r="M26" s="143"/>
      <c r="N26" s="145"/>
      <c r="O26" s="145"/>
      <c r="P26" s="145"/>
      <c r="Q26" s="145"/>
    </row>
    <row r="27" spans="1:17" x14ac:dyDescent="0.3">
      <c r="A27" s="94" t="s">
        <v>155</v>
      </c>
      <c r="B27" s="95">
        <f>AVERAGE(B16:B26)</f>
        <v>4.7046921591458582E-2</v>
      </c>
      <c r="C27" s="95">
        <f t="shared" ref="C27:D27" si="3">AVERAGE(C16:C26)</f>
        <v>9.893397480739409E-2</v>
      </c>
      <c r="D27" s="96">
        <f t="shared" si="3"/>
        <v>93.440217268813754</v>
      </c>
      <c r="I27" s="1"/>
      <c r="J27" s="143"/>
      <c r="K27" s="143"/>
      <c r="L27" s="143"/>
      <c r="M27" s="143"/>
      <c r="N27" s="145"/>
      <c r="O27" s="145"/>
      <c r="P27" s="145"/>
      <c r="Q27" s="145"/>
    </row>
    <row r="28" spans="1:17" x14ac:dyDescent="0.3">
      <c r="I28" s="141"/>
      <c r="J28" s="144"/>
      <c r="K28" s="144"/>
      <c r="L28" s="144"/>
      <c r="M28" s="144"/>
      <c r="N28" s="144"/>
      <c r="O28" s="144"/>
      <c r="P28" s="144"/>
      <c r="Q28" s="144"/>
    </row>
  </sheetData>
  <pageMargins left="0.7" right="0.7" top="0.75" bottom="0.75"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A9EB-4C1C-4085-9AC8-2358928443B6}">
  <dimension ref="A1:AQ19"/>
  <sheetViews>
    <sheetView topLeftCell="N1" zoomScale="75" workbookViewId="0">
      <selection activeCell="B4" sqref="B4"/>
    </sheetView>
  </sheetViews>
  <sheetFormatPr defaultRowHeight="14.4" x14ac:dyDescent="0.3"/>
  <cols>
    <col min="1" max="1" width="19" style="1" bestFit="1" customWidth="1"/>
    <col min="2" max="3" width="20" style="132" customWidth="1"/>
    <col min="4" max="4" width="45.44140625" style="132" customWidth="1"/>
    <col min="5" max="5" width="20" style="132" customWidth="1"/>
    <col min="6" max="6" width="55.6640625" style="1" customWidth="1"/>
    <col min="7" max="8" width="8.88671875" style="1"/>
    <col min="9" max="9" width="18" style="1" customWidth="1"/>
    <col min="10" max="13" width="14.6640625" style="1" customWidth="1"/>
    <col min="14" max="14" width="52.21875" style="1" customWidth="1"/>
    <col min="15" max="16" width="8.88671875" style="1"/>
    <col min="17" max="17" width="16.44140625" style="1" bestFit="1" customWidth="1"/>
    <col min="18" max="18" width="14.109375" style="1" bestFit="1" customWidth="1"/>
    <col min="19" max="19" width="11.88671875" style="1" customWidth="1"/>
    <col min="20" max="20" width="16.6640625" style="1" customWidth="1"/>
    <col min="21" max="21" width="43.6640625" style="1" bestFit="1" customWidth="1"/>
    <col min="22" max="22" width="8.88671875" style="1"/>
    <col min="23" max="23" width="12.88671875" style="1" customWidth="1"/>
    <col min="24" max="24" width="18.5546875" style="1" customWidth="1"/>
    <col min="25" max="25" width="35.21875" style="1" customWidth="1"/>
    <col min="26" max="26" width="8.88671875" style="1"/>
    <col min="27" max="27" width="18.88671875" style="1" customWidth="1"/>
    <col min="28" max="28" width="8.88671875" style="132"/>
    <col min="29" max="29" width="39.5546875" style="1" customWidth="1"/>
    <col min="30" max="30" width="8.88671875" style="1"/>
    <col min="31" max="31" width="17.6640625" style="1" bestFit="1" customWidth="1"/>
    <col min="32" max="35" width="14.33203125" style="132" customWidth="1"/>
    <col min="36" max="36" width="44.33203125" style="1" customWidth="1"/>
    <col min="37" max="37" width="8.88671875" style="1"/>
    <col min="38" max="38" width="22.88671875" style="1" bestFit="1" customWidth="1"/>
    <col min="39" max="42" width="16" style="1" customWidth="1"/>
    <col min="43" max="43" width="33.77734375" style="1" customWidth="1"/>
    <col min="44" max="16384" width="8.88671875" style="1"/>
  </cols>
  <sheetData>
    <row r="1" spans="1:43" ht="43.2" x14ac:dyDescent="0.3">
      <c r="A1" s="190" t="s">
        <v>210</v>
      </c>
      <c r="B1" s="190" t="s">
        <v>211</v>
      </c>
      <c r="C1" s="190" t="s">
        <v>212</v>
      </c>
      <c r="D1" s="190" t="s">
        <v>213</v>
      </c>
      <c r="E1" s="190" t="s">
        <v>214</v>
      </c>
      <c r="F1" s="190" t="s">
        <v>215</v>
      </c>
      <c r="I1" s="165" t="s">
        <v>10</v>
      </c>
      <c r="J1" s="166" t="s">
        <v>211</v>
      </c>
      <c r="K1" s="166" t="s">
        <v>254</v>
      </c>
      <c r="L1" s="166" t="s">
        <v>213</v>
      </c>
      <c r="M1" s="166" t="s">
        <v>255</v>
      </c>
      <c r="N1" s="167" t="s">
        <v>215</v>
      </c>
      <c r="Q1" s="149" t="s">
        <v>10</v>
      </c>
      <c r="R1" s="149" t="s">
        <v>213</v>
      </c>
      <c r="S1" s="149" t="s">
        <v>255</v>
      </c>
      <c r="T1" s="149" t="s">
        <v>258</v>
      </c>
      <c r="U1" s="149" t="s">
        <v>215</v>
      </c>
      <c r="W1" s="150" t="s">
        <v>263</v>
      </c>
      <c r="X1" s="150" t="s">
        <v>264</v>
      </c>
      <c r="Y1" s="150" t="s">
        <v>215</v>
      </c>
      <c r="AA1" s="181" t="s">
        <v>276</v>
      </c>
      <c r="AB1" s="182" t="s">
        <v>12</v>
      </c>
      <c r="AC1" s="181" t="s">
        <v>215</v>
      </c>
      <c r="AE1" s="197" t="s">
        <v>10</v>
      </c>
      <c r="AF1" s="203" t="s">
        <v>211</v>
      </c>
      <c r="AG1" s="203" t="s">
        <v>254</v>
      </c>
      <c r="AH1" s="203" t="s">
        <v>213</v>
      </c>
      <c r="AI1" s="203" t="s">
        <v>255</v>
      </c>
      <c r="AJ1" s="197" t="s">
        <v>215</v>
      </c>
      <c r="AL1" s="3" t="s">
        <v>210</v>
      </c>
      <c r="AM1" s="103" t="s">
        <v>211</v>
      </c>
      <c r="AN1" s="103" t="s">
        <v>212</v>
      </c>
      <c r="AO1" s="103" t="s">
        <v>213</v>
      </c>
      <c r="AP1" s="103" t="s">
        <v>214</v>
      </c>
      <c r="AQ1" s="3" t="s">
        <v>215</v>
      </c>
    </row>
    <row r="2" spans="1:43" ht="100.8" x14ac:dyDescent="0.3">
      <c r="A2" s="199" t="s">
        <v>141</v>
      </c>
      <c r="B2" s="201">
        <f>AVERAGE(Table144[Revenue CAGR])</f>
        <v>0.11969908751281283</v>
      </c>
      <c r="C2" s="202">
        <f>'US-1'!B13</f>
        <v>5.8581148590310078E-2</v>
      </c>
      <c r="D2" s="202">
        <f>India!B26</f>
        <v>0.10072446192997059</v>
      </c>
      <c r="E2" s="202">
        <f>'US-1'!B27</f>
        <v>4.7046921591458582E-2</v>
      </c>
      <c r="F2" s="199" t="s">
        <v>247</v>
      </c>
      <c r="I2" s="108" t="s">
        <v>256</v>
      </c>
      <c r="J2" s="163">
        <f>B6</f>
        <v>37.496115087802764</v>
      </c>
      <c r="K2" s="163">
        <f>C6</f>
        <v>21.760530216450213</v>
      </c>
      <c r="L2" s="163">
        <f>D6</f>
        <v>61.158424924959803</v>
      </c>
      <c r="M2" s="163">
        <f>E6</f>
        <v>28.182329428512471</v>
      </c>
      <c r="N2" s="108"/>
      <c r="Q2" s="108" t="s">
        <v>256</v>
      </c>
      <c r="R2" s="163">
        <f>Table157[[#This Row],[India (Forecast)]]</f>
        <v>61.158424924959803</v>
      </c>
      <c r="S2" s="163">
        <f>Table157[[#This Row],[US (Forecast)]]</f>
        <v>28.182329428512471</v>
      </c>
      <c r="T2" s="168">
        <f>(R2-S2)/S2</f>
        <v>1.17009829084905</v>
      </c>
      <c r="U2" s="108" t="s">
        <v>259</v>
      </c>
      <c r="W2" s="172" t="s">
        <v>265</v>
      </c>
      <c r="X2" s="171">
        <f>D12/$D$15</f>
        <v>0.77540649855141386</v>
      </c>
      <c r="Y2" s="173" t="s">
        <v>269</v>
      </c>
      <c r="AA2" s="3" t="s">
        <v>277</v>
      </c>
      <c r="AB2" s="180">
        <f>D12*E12</f>
        <v>0.89344597755233668</v>
      </c>
      <c r="AC2" s="3" t="s">
        <v>283</v>
      </c>
      <c r="AE2" s="1" t="s">
        <v>222</v>
      </c>
      <c r="AF2" s="194">
        <f>India!N13</f>
        <v>0.38225826983815342</v>
      </c>
      <c r="AG2" s="194">
        <f>'US-1'!N13</f>
        <v>0.628692506131869</v>
      </c>
      <c r="AH2" s="194">
        <f>India!O13</f>
        <v>0.27246402318893792</v>
      </c>
      <c r="AI2" s="194">
        <f>'US-1'!O13</f>
        <v>1.706515218948663</v>
      </c>
      <c r="AJ2" s="3" t="s">
        <v>314</v>
      </c>
      <c r="AL2" s="11" t="s">
        <v>318</v>
      </c>
      <c r="AM2" s="205">
        <v>0.875</v>
      </c>
      <c r="AN2" s="205">
        <v>0.9</v>
      </c>
      <c r="AO2" s="205">
        <v>0.8</v>
      </c>
      <c r="AP2" s="205">
        <v>0.8</v>
      </c>
      <c r="AQ2" s="206" t="s">
        <v>323</v>
      </c>
    </row>
    <row r="3" spans="1:43" ht="100.8" x14ac:dyDescent="0.3">
      <c r="A3" s="108" t="s">
        <v>144</v>
      </c>
      <c r="B3" s="200">
        <f>AVERAGE(Table144[Avg EBITDA Margin])</f>
        <v>0.22672142954797977</v>
      </c>
      <c r="C3" s="151">
        <f>'US-1'!C13</f>
        <v>0.29596606961840805</v>
      </c>
      <c r="D3" s="151">
        <f>AVERAGE('Tables-BFSI'!I5:N5,'Tables-BFSI'!I11:N11,'Tables-BFSI'!I17:N17,'Tables-BFSI'!I23:N23,'Tables-BFSI'!I29:N29,'Tables-BFSI'!I35:N35,'Tables-BFSI'!I41:N41)/AVERAGE('Tables-BFSI'!I4:N4,'Tables-BFSI'!I10:N10,'Tables-BFSI'!I16:N16,'Tables-BFSI'!I22:N22,'Tables-BFSI'!I28:N28,'Tables-BFSI'!I34:N34,'Tables-BFSI'!I40:N40)</f>
        <v>0.34911127734614694</v>
      </c>
      <c r="E3" s="151">
        <f>'US-1'!O28</f>
        <v>0</v>
      </c>
      <c r="F3" s="108" t="s">
        <v>248</v>
      </c>
      <c r="I3" s="108" t="s">
        <v>176</v>
      </c>
      <c r="J3" s="164">
        <f>AVERAGE('5e'!G13)</f>
        <v>0.10567273905934788</v>
      </c>
      <c r="K3" s="164">
        <f>'Cross-Sector US'!AL13</f>
        <v>6.137232004773064E-2</v>
      </c>
      <c r="L3" s="164">
        <f>AVERAGE('Tables-BFSI'!S9,'Tables-FMCG'!AB9,'Tables-Pharma'!T8,'Tables-IT'!N39,'Tables-Auto'!S11,'Tables-P&amp;E'!U22,'Tables-Telecom'!T10,'Tables-defence'!K25,'Tables-Oil&amp;Gas'!Z24,'Tables-Infra'!S25,'Tables-Minerals'!AA24)</f>
        <v>0.10147187108374872</v>
      </c>
      <c r="M3" s="164">
        <f>'Cross-Sector US'!AM13</f>
        <v>4.5429437764883618E-2</v>
      </c>
      <c r="N3" s="108"/>
      <c r="Q3" s="108" t="s">
        <v>176</v>
      </c>
      <c r="R3" s="164">
        <f>Table157[[#This Row],[India (Forecast)]]</f>
        <v>0.10147187108374872</v>
      </c>
      <c r="S3" s="164">
        <f>Table157[[#This Row],[US (Forecast)]]</f>
        <v>4.5429437764883618E-2</v>
      </c>
      <c r="T3" s="168">
        <f>(R3-S3)/S3</f>
        <v>1.2336149438808419</v>
      </c>
      <c r="U3" s="108" t="s">
        <v>260</v>
      </c>
      <c r="W3" s="172" t="s">
        <v>266</v>
      </c>
      <c r="X3" s="171">
        <f>D13/$D$15</f>
        <v>5.5426841271730393E-2</v>
      </c>
      <c r="Y3" s="173" t="s">
        <v>270</v>
      </c>
      <c r="AA3" s="3" t="s">
        <v>278</v>
      </c>
      <c r="AB3" s="180">
        <f>D13*E13</f>
        <v>6.3864422693351783E-2</v>
      </c>
      <c r="AC3" s="3" t="s">
        <v>284</v>
      </c>
      <c r="AE3" s="1" t="s">
        <v>292</v>
      </c>
      <c r="AF3" s="194">
        <f>'USI-2'!AD13</f>
        <v>0.12588694428366784</v>
      </c>
      <c r="AG3" s="194">
        <f>'USI-2'!AE13</f>
        <v>7.2244639845494979E-2</v>
      </c>
      <c r="AH3" s="194">
        <f>'USI-2'!AA15</f>
        <v>0.11965491834899529</v>
      </c>
      <c r="AI3" s="194">
        <f>'USI-2'!AA7</f>
        <v>6.2913390928355864E-2</v>
      </c>
      <c r="AJ3" s="3" t="s">
        <v>315</v>
      </c>
      <c r="AL3" s="11" t="s">
        <v>319</v>
      </c>
      <c r="AM3" s="187">
        <v>2.75</v>
      </c>
      <c r="AN3" s="187">
        <v>2.7</v>
      </c>
      <c r="AO3" s="187">
        <v>2.35</v>
      </c>
      <c r="AP3" s="187">
        <v>2.4500000000000002</v>
      </c>
      <c r="AQ3" s="108" t="s">
        <v>324</v>
      </c>
    </row>
    <row r="4" spans="1:43" ht="86.4" x14ac:dyDescent="0.3">
      <c r="A4" s="108" t="s">
        <v>222</v>
      </c>
      <c r="B4" s="200">
        <f>India!N13</f>
        <v>0.38225826983815342</v>
      </c>
      <c r="C4" s="151">
        <f>'US-1'!N13</f>
        <v>0.628692506131869</v>
      </c>
      <c r="D4" s="151">
        <f>India!O13</f>
        <v>0.27246402318893792</v>
      </c>
      <c r="E4" s="151">
        <f>'US-1'!O13</f>
        <v>1.706515218948663</v>
      </c>
      <c r="F4" s="108" t="s">
        <v>249</v>
      </c>
      <c r="I4" s="108" t="s">
        <v>105</v>
      </c>
      <c r="J4" s="164">
        <f>Table151[[#This Row],[India (Historical)]]</f>
        <v>0.38225826983815342</v>
      </c>
      <c r="K4" s="164">
        <f>Table151[[#This Row],[United States (Historical)]]</f>
        <v>0.628692506131869</v>
      </c>
      <c r="L4" s="164">
        <f>Table151[[#This Row],[India (Forecast)]]</f>
        <v>0.27246402318893792</v>
      </c>
      <c r="M4" s="164">
        <f>Table151[[#This Row],[United States (Forecast)]]</f>
        <v>1.706515218948663</v>
      </c>
      <c r="N4" s="108"/>
      <c r="Q4" s="108" t="s">
        <v>105</v>
      </c>
      <c r="R4" s="164">
        <f>Table157[[#This Row],[India (Forecast)]]</f>
        <v>0.27246402318893792</v>
      </c>
      <c r="S4" s="164">
        <f>Table157[[#This Row],[US (Forecast)]]</f>
        <v>1.706515218948663</v>
      </c>
      <c r="T4" s="168">
        <f>(R4-S4)/S4</f>
        <v>-0.84033894326662051</v>
      </c>
      <c r="U4" s="108" t="s">
        <v>261</v>
      </c>
      <c r="W4" s="174" t="s">
        <v>267</v>
      </c>
      <c r="X4" s="175">
        <f>D14/$D$15</f>
        <v>0.16916666017685564</v>
      </c>
      <c r="Y4" s="176" t="s">
        <v>271</v>
      </c>
      <c r="AA4" s="3" t="s">
        <v>279</v>
      </c>
      <c r="AB4" s="180">
        <f>D14*E14</f>
        <v>-9.7459379276116032E-2</v>
      </c>
      <c r="AC4" s="3" t="s">
        <v>285</v>
      </c>
      <c r="AE4" s="1" t="s">
        <v>293</v>
      </c>
      <c r="AF4" s="194">
        <f>AF2-AF3</f>
        <v>0.25637132555448561</v>
      </c>
      <c r="AG4" s="194">
        <f>AG2-AG3</f>
        <v>0.55644786628637399</v>
      </c>
      <c r="AH4" s="194">
        <f>AH2-AH3</f>
        <v>0.15280910483994264</v>
      </c>
      <c r="AI4" s="194">
        <f>AI2-AI3</f>
        <v>1.6436018280203071</v>
      </c>
      <c r="AJ4" s="3" t="s">
        <v>316</v>
      </c>
      <c r="AL4" s="11" t="s">
        <v>320</v>
      </c>
      <c r="AM4" s="187">
        <v>4.8499999999999996</v>
      </c>
      <c r="AN4" s="187">
        <v>3.75</v>
      </c>
      <c r="AO4" s="187">
        <v>5.25</v>
      </c>
      <c r="AP4" s="187">
        <v>4.25</v>
      </c>
      <c r="AQ4" s="108" t="s">
        <v>325</v>
      </c>
    </row>
    <row r="5" spans="1:43" ht="86.4" x14ac:dyDescent="0.3">
      <c r="A5" s="108" t="s">
        <v>143</v>
      </c>
      <c r="B5" s="200">
        <f>'US-1'!L28</f>
        <v>0</v>
      </c>
      <c r="C5" s="151">
        <f>'US-1'!M28</f>
        <v>0</v>
      </c>
      <c r="D5" s="151">
        <f>'US-1'!P28</f>
        <v>0</v>
      </c>
      <c r="E5" s="151">
        <f>'US-1'!Q28</f>
        <v>0</v>
      </c>
      <c r="F5" s="108" t="s">
        <v>250</v>
      </c>
      <c r="I5" s="108" t="s">
        <v>257</v>
      </c>
      <c r="J5" s="163">
        <f>B8</f>
        <v>49.291603138038063</v>
      </c>
      <c r="K5" s="163">
        <f>C8</f>
        <v>93.440217268813754</v>
      </c>
      <c r="L5" s="163">
        <f>D8</f>
        <v>40.646966475405044</v>
      </c>
      <c r="M5" s="163">
        <f>E8</f>
        <v>83.413144588673219</v>
      </c>
      <c r="N5" s="108"/>
      <c r="Q5" s="108" t="s">
        <v>257</v>
      </c>
      <c r="R5" s="163">
        <f>Table157[[#This Row],[India (Forecast)]]</f>
        <v>40.646966475405044</v>
      </c>
      <c r="S5" s="163">
        <f>Table157[[#This Row],[US (Forecast)]]</f>
        <v>83.413144588673219</v>
      </c>
      <c r="T5" s="168">
        <f>(R5-S5)/S5</f>
        <v>-0.51270310361941984</v>
      </c>
      <c r="U5" s="108" t="s">
        <v>262</v>
      </c>
      <c r="AA5" s="3" t="s">
        <v>280</v>
      </c>
      <c r="AB5" s="180">
        <f>SUM(AB2:AB4)</f>
        <v>0.85985102096957244</v>
      </c>
      <c r="AC5" s="3" t="s">
        <v>286</v>
      </c>
      <c r="AE5" s="1" t="s">
        <v>153</v>
      </c>
      <c r="AF5" s="194">
        <f>'USI-2'!AZ13</f>
        <v>7.5931583057045143E-2</v>
      </c>
      <c r="AG5" s="194">
        <f>'USI-2'!BA13</f>
        <v>9.8800503773703294E-2</v>
      </c>
      <c r="AH5" s="194">
        <f>India!C26</f>
        <v>7.1581107196075036E-2</v>
      </c>
      <c r="AI5" s="194">
        <f>'US-1'!C27</f>
        <v>9.893397480739409E-2</v>
      </c>
      <c r="AJ5" s="3" t="s">
        <v>317</v>
      </c>
      <c r="AL5" s="11" t="s">
        <v>321</v>
      </c>
      <c r="AM5" s="151">
        <v>0.42499999999999999</v>
      </c>
      <c r="AN5" s="151">
        <v>0.42499999999999999</v>
      </c>
      <c r="AO5" s="151">
        <v>0.44700000000000001</v>
      </c>
      <c r="AP5" s="151">
        <v>0.503</v>
      </c>
      <c r="AQ5" s="108" t="s">
        <v>326</v>
      </c>
    </row>
    <row r="6" spans="1:43" ht="100.8" x14ac:dyDescent="0.3">
      <c r="A6" s="108" t="s">
        <v>216</v>
      </c>
      <c r="B6" s="200">
        <f>'5e'!F13</f>
        <v>37.496115087802764</v>
      </c>
      <c r="C6" s="151">
        <f>'Cross-Sector US'!B13</f>
        <v>21.760530216450213</v>
      </c>
      <c r="D6" s="151">
        <f>'5e'!O13</f>
        <v>61.158424924959803</v>
      </c>
      <c r="E6" s="151">
        <f>'Cross-Sector US'!K13</f>
        <v>28.182329428512471</v>
      </c>
      <c r="F6" s="108" t="s">
        <v>251</v>
      </c>
      <c r="N6" s="3"/>
      <c r="AL6" s="31" t="s">
        <v>322</v>
      </c>
      <c r="AM6" s="204">
        <v>7.6499999999999999E-2</v>
      </c>
      <c r="AN6" s="204">
        <v>5.2499999999999998E-2</v>
      </c>
      <c r="AO6" s="204">
        <v>7.0000000000000007E-2</v>
      </c>
      <c r="AP6" s="204">
        <v>4.5499999999999999E-2</v>
      </c>
      <c r="AQ6" s="207" t="s">
        <v>327</v>
      </c>
    </row>
    <row r="7" spans="1:43" ht="100.8" x14ac:dyDescent="0.3">
      <c r="A7" s="108" t="s">
        <v>217</v>
      </c>
      <c r="B7" s="151">
        <f>India!C26</f>
        <v>7.1581107196075036E-2</v>
      </c>
      <c r="C7" s="151">
        <f>'US-1'!C27</f>
        <v>9.893397480739409E-2</v>
      </c>
      <c r="D7" s="151">
        <f>India!L13</f>
        <v>7.6699953524893116E-2</v>
      </c>
      <c r="E7" s="151">
        <f>'US-1'!L13</f>
        <v>4.5429437764883618E-2</v>
      </c>
      <c r="F7" s="108" t="s">
        <v>252</v>
      </c>
    </row>
    <row r="8" spans="1:43" ht="115.2" x14ac:dyDescent="0.3">
      <c r="A8" s="108" t="s">
        <v>218</v>
      </c>
      <c r="B8" s="152">
        <f>India!D26</f>
        <v>49.291603138038063</v>
      </c>
      <c r="C8" s="152">
        <f>'US-1'!D27</f>
        <v>93.440217268813754</v>
      </c>
      <c r="D8" s="152">
        <f>India!AB13</f>
        <v>40.646966475405044</v>
      </c>
      <c r="E8" s="152">
        <f>India!AC13</f>
        <v>83.413144588673219</v>
      </c>
      <c r="F8" s="162" t="s">
        <v>253</v>
      </c>
    </row>
    <row r="9" spans="1:43" x14ac:dyDescent="0.3">
      <c r="B9" s="148"/>
      <c r="C9" s="148"/>
      <c r="D9" s="148"/>
      <c r="E9" s="148"/>
    </row>
    <row r="10" spans="1:43" x14ac:dyDescent="0.3">
      <c r="B10" s="148"/>
      <c r="C10" s="148"/>
      <c r="D10" s="148"/>
      <c r="E10" s="148"/>
    </row>
    <row r="11" spans="1:43" x14ac:dyDescent="0.3">
      <c r="A11" s="1" t="s">
        <v>10</v>
      </c>
      <c r="B11" s="148" t="s">
        <v>219</v>
      </c>
      <c r="C11" s="148" t="s">
        <v>220</v>
      </c>
      <c r="D11" s="148" t="s">
        <v>268</v>
      </c>
      <c r="E11" s="148" t="s">
        <v>281</v>
      </c>
    </row>
    <row r="12" spans="1:43" x14ac:dyDescent="0.3">
      <c r="A12" s="1" t="s">
        <v>176</v>
      </c>
      <c r="B12" s="169">
        <f>R3</f>
        <v>0.10147187108374872</v>
      </c>
      <c r="C12" s="169">
        <f>S3</f>
        <v>4.5429437764883618E-2</v>
      </c>
      <c r="D12" s="169">
        <f>B12/C12</f>
        <v>2.2336149438808417</v>
      </c>
      <c r="E12" s="148">
        <v>0.4</v>
      </c>
    </row>
    <row r="13" spans="1:43" x14ac:dyDescent="0.3">
      <c r="A13" s="1" t="s">
        <v>105</v>
      </c>
      <c r="B13" s="169">
        <f>R4</f>
        <v>0.27246402318893792</v>
      </c>
      <c r="C13" s="169">
        <f>S4</f>
        <v>1.706515218948663</v>
      </c>
      <c r="D13" s="169">
        <f>B13/C13</f>
        <v>0.15966105673337944</v>
      </c>
      <c r="E13" s="148">
        <v>0.4</v>
      </c>
    </row>
    <row r="14" spans="1:43" x14ac:dyDescent="0.3">
      <c r="A14" s="1" t="s">
        <v>282</v>
      </c>
      <c r="B14" s="169">
        <f>L5</f>
        <v>40.646966475405044</v>
      </c>
      <c r="C14" s="169">
        <f>M5</f>
        <v>83.413144588673219</v>
      </c>
      <c r="D14" s="169">
        <f>B14/C14</f>
        <v>0.48729689638058016</v>
      </c>
      <c r="E14" s="148">
        <v>-0.2</v>
      </c>
    </row>
    <row r="15" spans="1:43" x14ac:dyDescent="0.3">
      <c r="B15" s="148"/>
      <c r="C15" s="148"/>
      <c r="D15" s="170">
        <f>SUM(D12:D14)</f>
        <v>2.8805728969948015</v>
      </c>
      <c r="E15" s="148"/>
    </row>
    <row r="16" spans="1:43" x14ac:dyDescent="0.3">
      <c r="B16" s="148"/>
      <c r="C16" s="148"/>
      <c r="D16" s="148"/>
      <c r="E16" s="148"/>
    </row>
    <row r="17" spans="1:5" x14ac:dyDescent="0.3">
      <c r="A17" s="181" t="s">
        <v>287</v>
      </c>
      <c r="B17" s="185" t="s">
        <v>192</v>
      </c>
      <c r="C17" s="185" t="s">
        <v>288</v>
      </c>
      <c r="D17" s="186" t="s">
        <v>215</v>
      </c>
      <c r="E17" s="148"/>
    </row>
    <row r="18" spans="1:5" ht="86.4" x14ac:dyDescent="0.3">
      <c r="A18" s="1" t="s">
        <v>219</v>
      </c>
      <c r="B18" s="183">
        <f>'Cross-Sector US'!AR7</f>
        <v>0.40831413557849872</v>
      </c>
      <c r="C18" s="183">
        <f>'Cross-Sector US'!AS7</f>
        <v>0.16672043331321662</v>
      </c>
      <c r="D18" s="184" t="s">
        <v>290</v>
      </c>
      <c r="E18" s="148"/>
    </row>
    <row r="19" spans="1:5" ht="72" x14ac:dyDescent="0.3">
      <c r="A19" s="1" t="s">
        <v>289</v>
      </c>
      <c r="B19" s="183">
        <f>'Cross-Sector US'!AR8</f>
        <v>0.55918472361184013</v>
      </c>
      <c r="C19" s="183">
        <f>'Cross-Sector US'!AS8</f>
        <v>0.31268755512084989</v>
      </c>
      <c r="D19" s="184" t="s">
        <v>291</v>
      </c>
      <c r="E19" s="148"/>
    </row>
  </sheetData>
  <conditionalFormatting sqref="T2:T5">
    <cfRule type="cellIs" dxfId="1" priority="1" operator="lessThan">
      <formula>0</formula>
    </cfRule>
    <cfRule type="cellIs" dxfId="0" priority="2" operator="greaterThan">
      <formula>0</formula>
    </cfRule>
  </conditionalFormatting>
  <pageMargins left="0.7" right="0.7" top="0.75" bottom="0.75" header="0.3" footer="0.3"/>
  <tableParts count="8">
    <tablePart r:id="rId1"/>
    <tablePart r:id="rId2"/>
    <tablePart r:id="rId3"/>
    <tablePart r:id="rId4"/>
    <tablePart r:id="rId5"/>
    <tablePart r:id="rId6"/>
    <tablePart r:id="rId7"/>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B05B-5AB2-4616-8D57-05CC8BE73870}">
  <dimension ref="A1:BW24"/>
  <sheetViews>
    <sheetView workbookViewId="0">
      <selection activeCell="E19" sqref="E19"/>
    </sheetView>
  </sheetViews>
  <sheetFormatPr defaultRowHeight="14.4" x14ac:dyDescent="0.3"/>
  <cols>
    <col min="1" max="1" width="20.44140625" style="1" bestFit="1" customWidth="1"/>
    <col min="2" max="3" width="12.5546875" style="132" customWidth="1"/>
    <col min="4" max="4" width="14.5546875" style="132" customWidth="1"/>
    <col min="5" max="5" width="12.5546875" style="132" customWidth="1"/>
    <col min="6" max="6" width="11.44140625" style="132" customWidth="1"/>
    <col min="7" max="7" width="12.5546875" style="132" customWidth="1"/>
    <col min="8" max="8" width="20.44140625" style="132" bestFit="1" customWidth="1"/>
    <col min="9" max="10" width="12.5546875" style="132" customWidth="1"/>
    <col min="11" max="11" width="15.44140625" style="1" customWidth="1"/>
    <col min="12" max="12" width="14.88671875" style="1" customWidth="1"/>
    <col min="13" max="13" width="11.44140625" style="1" customWidth="1"/>
    <col min="14" max="17" width="8.88671875" style="1"/>
    <col min="18" max="18" width="10.6640625" style="132" customWidth="1"/>
    <col min="19" max="19" width="6" style="1" bestFit="1" customWidth="1"/>
    <col min="20" max="20" width="13.44140625" style="1" customWidth="1"/>
    <col min="21" max="21" width="6" style="1" bestFit="1" customWidth="1"/>
    <col min="22" max="22" width="7" style="1" bestFit="1" customWidth="1"/>
    <col min="23" max="23" width="8.88671875" style="1"/>
    <col min="24" max="25" width="8.88671875" style="132"/>
    <col min="26" max="26" width="8.88671875" style="1"/>
    <col min="27" max="27" width="7.77734375" style="1" customWidth="1"/>
    <col min="28" max="28" width="8.88671875" style="1"/>
    <col min="29" max="29" width="12.77734375" style="1" bestFit="1" customWidth="1"/>
    <col min="30" max="30" width="11.109375" style="132" bestFit="1" customWidth="1"/>
    <col min="31" max="31" width="9.21875" style="132" bestFit="1" customWidth="1"/>
    <col min="32" max="32" width="7.5546875" style="132" bestFit="1" customWidth="1"/>
    <col min="33" max="33" width="9.44140625" style="132" bestFit="1" customWidth="1"/>
    <col min="34" max="49" width="14.77734375" style="132" customWidth="1"/>
    <col min="50" max="50" width="8.88671875" style="1"/>
    <col min="51" max="51" width="12.77734375" style="1" bestFit="1" customWidth="1"/>
    <col min="52" max="52" width="20.44140625" style="134" customWidth="1"/>
    <col min="53" max="53" width="18.5546875" style="134" customWidth="1"/>
    <col min="54" max="54" width="8.88671875" style="1" customWidth="1"/>
    <col min="55" max="55" width="18.77734375" style="1" bestFit="1" customWidth="1"/>
    <col min="56" max="59" width="8.88671875" style="132"/>
    <col min="60" max="60" width="8.5546875" style="132" customWidth="1"/>
    <col min="61" max="63" width="8.88671875" style="132"/>
    <col min="64" max="64" width="8.77734375" style="132" customWidth="1"/>
    <col min="65" max="65" width="8.88671875" style="1"/>
    <col min="66" max="66" width="15.33203125" style="1" bestFit="1" customWidth="1"/>
    <col min="67" max="70" width="8.88671875" style="132"/>
    <col min="71" max="71" width="8.44140625" style="132" customWidth="1"/>
    <col min="72" max="74" width="8.88671875" style="132"/>
    <col min="75" max="75" width="7.6640625" style="1" bestFit="1" customWidth="1"/>
    <col min="76" max="16384" width="8.88671875" style="1"/>
  </cols>
  <sheetData>
    <row r="1" spans="1:75" s="3" customFormat="1" ht="28.8" x14ac:dyDescent="0.3">
      <c r="A1" s="3" t="s">
        <v>8</v>
      </c>
      <c r="B1" s="3" t="s">
        <v>119</v>
      </c>
      <c r="C1" s="3" t="s">
        <v>328</v>
      </c>
      <c r="D1" s="3" t="s">
        <v>78</v>
      </c>
      <c r="E1" s="3" t="s">
        <v>329</v>
      </c>
      <c r="F1" s="103" t="s">
        <v>330</v>
      </c>
      <c r="H1" s="218" t="s">
        <v>8</v>
      </c>
      <c r="I1" s="218" t="s">
        <v>119</v>
      </c>
      <c r="J1" s="218" t="s">
        <v>328</v>
      </c>
      <c r="K1" s="218" t="s">
        <v>78</v>
      </c>
      <c r="L1" s="218" t="s">
        <v>329</v>
      </c>
      <c r="M1" s="219" t="s">
        <v>330</v>
      </c>
      <c r="R1" s="107" t="s">
        <v>11</v>
      </c>
      <c r="S1" s="97" t="s">
        <v>296</v>
      </c>
      <c r="T1" s="97" t="s">
        <v>304</v>
      </c>
      <c r="U1" s="97" t="s">
        <v>297</v>
      </c>
      <c r="V1" s="97" t="s">
        <v>177</v>
      </c>
      <c r="W1" s="97" t="s">
        <v>298</v>
      </c>
      <c r="X1" s="107" t="s">
        <v>299</v>
      </c>
      <c r="Y1" s="107" t="s">
        <v>300</v>
      </c>
      <c r="Z1" s="97" t="s">
        <v>301</v>
      </c>
      <c r="AA1" s="97" t="s">
        <v>302</v>
      </c>
      <c r="AC1" s="149" t="s">
        <v>8</v>
      </c>
      <c r="AD1" s="150" t="s">
        <v>294</v>
      </c>
      <c r="AE1" s="150" t="s">
        <v>295</v>
      </c>
      <c r="AF1" s="189" t="s">
        <v>305</v>
      </c>
      <c r="AG1" s="150" t="s">
        <v>306</v>
      </c>
      <c r="AH1" s="150" t="s">
        <v>307</v>
      </c>
      <c r="AI1" s="150" t="s">
        <v>308</v>
      </c>
      <c r="AJ1" s="150" t="s">
        <v>309</v>
      </c>
      <c r="AK1" s="150" t="s">
        <v>310</v>
      </c>
      <c r="AL1" s="150" t="s">
        <v>372</v>
      </c>
      <c r="AM1" s="150" t="s">
        <v>373</v>
      </c>
      <c r="AN1" s="150" t="s">
        <v>374</v>
      </c>
      <c r="AO1" s="150" t="s">
        <v>375</v>
      </c>
      <c r="AP1" s="150" t="s">
        <v>376</v>
      </c>
      <c r="AQ1" s="150" t="s">
        <v>377</v>
      </c>
      <c r="AR1" s="150" t="s">
        <v>378</v>
      </c>
      <c r="AS1" s="150" t="s">
        <v>379</v>
      </c>
      <c r="AT1" s="149" t="s">
        <v>382</v>
      </c>
      <c r="AU1" s="149" t="s">
        <v>383</v>
      </c>
      <c r="AV1" s="150" t="s">
        <v>380</v>
      </c>
      <c r="AW1" s="150" t="s">
        <v>381</v>
      </c>
      <c r="AY1" s="197" t="s">
        <v>8</v>
      </c>
      <c r="AZ1" s="198" t="s">
        <v>411</v>
      </c>
      <c r="BA1" s="198" t="s">
        <v>412</v>
      </c>
      <c r="BC1" s="3" t="s">
        <v>71</v>
      </c>
      <c r="BD1" s="103" t="s">
        <v>386</v>
      </c>
      <c r="BE1" s="103" t="s">
        <v>387</v>
      </c>
      <c r="BF1" s="103" t="s">
        <v>384</v>
      </c>
      <c r="BG1" s="103" t="s">
        <v>385</v>
      </c>
      <c r="BH1" s="103" t="s">
        <v>388</v>
      </c>
      <c r="BI1" s="103" t="s">
        <v>389</v>
      </c>
      <c r="BJ1" s="103" t="s">
        <v>390</v>
      </c>
      <c r="BK1" s="103" t="s">
        <v>391</v>
      </c>
      <c r="BL1" s="103" t="s">
        <v>392</v>
      </c>
      <c r="BN1" s="3" t="s">
        <v>71</v>
      </c>
      <c r="BO1" s="103" t="s">
        <v>386</v>
      </c>
      <c r="BP1" s="103" t="s">
        <v>387</v>
      </c>
      <c r="BQ1" s="103" t="s">
        <v>436</v>
      </c>
      <c r="BR1" s="103" t="s">
        <v>437</v>
      </c>
      <c r="BS1" s="103" t="s">
        <v>388</v>
      </c>
      <c r="BT1" s="103" t="s">
        <v>439</v>
      </c>
      <c r="BU1" s="103" t="s">
        <v>438</v>
      </c>
      <c r="BV1" s="103" t="s">
        <v>298</v>
      </c>
      <c r="BW1" s="3" t="s">
        <v>392</v>
      </c>
    </row>
    <row r="2" spans="1:75" x14ac:dyDescent="0.3">
      <c r="A2" s="1" t="str">
        <f>Table164[[#This Row],[Sector]]</f>
        <v>Automotive</v>
      </c>
      <c r="B2" s="180">
        <f>AVERAGE('[19]Financial Ratios'!$C$5:$H$5,'[19]Financial Ratios'!$L$5:$Q$5,'[19]Financial Ratios'!$U$5:$Z$5,'[19]Financial Ratios'!$AD$5:$AH$5,'[19]Financial Ratios'!$AM$5:$AR$5,'[19]Financial Ratios'!$AV$5:$AZ$5)</f>
        <v>1.0666065109443317</v>
      </c>
      <c r="C2" s="180">
        <f>AVERAGE('[19]Financial Ratios'!$C$6:$H$6,'[19]Financial Ratios'!$L$6:$Q$6,'[19]Financial Ratios'!$U$6:$Z$6,'[19]Financial Ratios'!$AD$6:$AH$6,'[19]Financial Ratios'!$AM$6:$AR$6,'[19]Financial Ratios'!$AV$6:$AZ$6)</f>
        <v>15.513183836630738</v>
      </c>
      <c r="D2" s="210">
        <f>Table144[[#This Row],[Avg EBITDA Margin]]</f>
        <v>0.12772039862401249</v>
      </c>
      <c r="E2" s="180">
        <f>AVERAGE('[19]Financial Ratios'!$C$4:$H$4,'[19]Financial Ratios'!$L$4:$Q$4,'[19]Financial Ratios'!$U$4:$Z$4,'[19]Financial Ratios'!$AD$4:$AH$4,'[19]Financial Ratios'!$AM$4:$AR$4,'[19]Financial Ratios'!$AV$4:$AZ$4)</f>
        <v>0.78300500713870191</v>
      </c>
      <c r="F2" s="180">
        <f>'USI-3'!O2</f>
        <v>0.25260574172532424</v>
      </c>
      <c r="G2" s="180"/>
      <c r="H2" s="180" t="str">
        <f>A2</f>
        <v>Automotive</v>
      </c>
      <c r="I2" s="180">
        <f t="shared" ref="I2:M2" si="0">B2</f>
        <v>1.0666065109443317</v>
      </c>
      <c r="J2" s="180">
        <f t="shared" si="0"/>
        <v>15.513183836630738</v>
      </c>
      <c r="K2" s="180">
        <f t="shared" si="0"/>
        <v>0.12772039862401249</v>
      </c>
      <c r="L2" s="180">
        <f t="shared" si="0"/>
        <v>0.78300500713870191</v>
      </c>
      <c r="M2" s="180">
        <f t="shared" si="0"/>
        <v>0.25260574172532424</v>
      </c>
      <c r="R2" s="132">
        <v>2026</v>
      </c>
      <c r="S2" s="148">
        <f>AVERAGE(3.76%,4.1%)</f>
        <v>3.9299999999999995E-2</v>
      </c>
      <c r="T2" s="188">
        <f>(0.67*$S$16)+(0.33*1)</f>
        <v>0.92536124588744584</v>
      </c>
      <c r="U2" s="148">
        <v>4.1000000000000002E-2</v>
      </c>
      <c r="V2" s="42">
        <f>S2+(T2*U2)</f>
        <v>7.7239811081385279E-2</v>
      </c>
      <c r="W2" s="52">
        <v>5.5500000000000001E-2</v>
      </c>
      <c r="X2" s="194">
        <f>$AH$13</f>
        <v>0.27724840805931938</v>
      </c>
      <c r="Y2" s="194">
        <f>$AI$13</f>
        <v>0.72275159194068062</v>
      </c>
      <c r="Z2" s="52">
        <v>0.21</v>
      </c>
      <c r="AA2" s="42">
        <f>(V2*Y2)+((W2*(1-Z2)*X2))</f>
        <v>6.7981152871629494E-2</v>
      </c>
      <c r="AC2" s="1" t="str">
        <f>'Cross-Sector US'!A2</f>
        <v>Automotive</v>
      </c>
      <c r="AD2" s="191">
        <f>AVERAGE('[19]Key Assumptions-WACC'!$B$15:$G$15)</f>
        <v>0.10351417747659035</v>
      </c>
      <c r="AE2" s="191">
        <f>AVERAGE('[20]Assumptions &amp; WACC'!$B$20:$G$20)</f>
        <v>6.6459404057275476E-2</v>
      </c>
      <c r="AF2" s="180">
        <f>AVERAGE('[20]Assumptions &amp; WACC'!$B$8:$G$8)</f>
        <v>1.6282666666666668</v>
      </c>
      <c r="AG2" s="180">
        <f>AVERAGE('[19]Key Assumptions-WACC'!$B$4:$G$4)</f>
        <v>0.90845000000000009</v>
      </c>
      <c r="AH2" s="194">
        <f>AVERAGE('[20]Assumptions &amp; WACC'!$B$18:$G$18)</f>
        <v>0.44805393760972639</v>
      </c>
      <c r="AI2" s="194">
        <f>AVERAGE('[20]Assumptions &amp; WACC'!$B$19:$G$19)</f>
        <v>0.55194606239027355</v>
      </c>
      <c r="AJ2" s="148">
        <f>AVERAGE('[19]Key Assumptions-WACC'!$B$14:$G$14)</f>
        <v>0.38951340711971566</v>
      </c>
      <c r="AK2" s="148">
        <f>1-Table164[[#This Row],[Debt weight India]]</f>
        <v>0.61048659288028428</v>
      </c>
      <c r="AL2" s="148">
        <f>AVERAGE(S10:S14)</f>
        <v>6.4979999999999996E-2</v>
      </c>
      <c r="AM2" s="148">
        <f>AVERAGE(S2:S6)</f>
        <v>3.746E-2</v>
      </c>
      <c r="AN2" s="148">
        <f>AVERAGE($U$10:$U$14)</f>
        <v>6.9349999999999995E-2</v>
      </c>
      <c r="AO2" s="148">
        <f>AVERAGE($U$2:$U$6)</f>
        <v>3.7900000000000003E-2</v>
      </c>
      <c r="AP2" s="148">
        <f>AVERAGE('[19]Key Assumptions-WACC'!$B$9:$G$9)</f>
        <v>5.5427817183237894E-2</v>
      </c>
      <c r="AQ2" s="148">
        <f>AVERAGE('[20]Assumptions &amp; WACC'!$B$14:$G$14)</f>
        <v>1.8220875331369468E-2</v>
      </c>
      <c r="AR2" s="148">
        <f>Table164[[#This Row],[Rf-India]]+(Table164[[#This Row],[ERP-India]]*Table164[[#This Row],[Beta-India]])</f>
        <v>0.13007617502499999</v>
      </c>
      <c r="AS2" s="148">
        <f>Table164[[#This Row],[Rf-US]]+(Table164[[#This Row],[ERP-US]]*Table164[[#This Row],[Beta-US]])</f>
        <v>9.1313575466666685E-2</v>
      </c>
      <c r="AT2" s="183">
        <f>(0.67*Table164[[#This Row],[Beta India]])+(0.33*1)</f>
        <v>0.93866150000000004</v>
      </c>
      <c r="AU2" s="183">
        <f>(Table164[[#This Row],[Beta US]]*0.67)+(0.33*1)</f>
        <v>1.4209386666666668</v>
      </c>
      <c r="AV2" s="148">
        <f>(Table164[[#This Row],[Ke-India]]*Table164[[#This Row],[Equity weight India]])+(Table164[[#This Row],[Debt weight India]]*Table164[[#This Row],[Kd-India]])</f>
        <v>0.10099963882616349</v>
      </c>
      <c r="AW2" s="148">
        <f>SUMPRODUCT(Table164[[#This Row],[Equity weight US]],Table164[[#This Row],[Ke-US]])+SUMPRODUCT(Table164[[#This Row],[Debt weight US]],Table164[[#This Row],[Kd-US]])</f>
        <v>5.856410336051978E-2</v>
      </c>
      <c r="AY2" s="1" t="str">
        <f>Table164[[#This Row],[Sector]]</f>
        <v>Automotive</v>
      </c>
      <c r="AZ2" s="55">
        <f>AVERAGE('[19]Valuation-FCFF'!$C$8,'[19]Valuation-FCFF'!$L$8,'[19]Valuation-FCFF'!$U$8,'[19]Valuation-FCFF'!$AD$8,'[19]Valuation-FCFF'!$AN$8,'[19]Valuation-FCFF'!$AW$8)</f>
        <v>8.6927541655806781E-2</v>
      </c>
      <c r="BA2" s="55">
        <v>0.12184049490573057</v>
      </c>
      <c r="BC2" s="1" t="str">
        <f>'USI-3'!AF14</f>
        <v>Axis Bank</v>
      </c>
      <c r="BD2" s="194">
        <f>$AL$3</f>
        <v>6.4979999999999996E-2</v>
      </c>
      <c r="BE2" s="194">
        <f>$AN$3</f>
        <v>6.9349999999999995E-2</v>
      </c>
      <c r="BF2" s="221">
        <f>'[31]Company Profile'!$D$7</f>
        <v>1.1969000000000001</v>
      </c>
      <c r="BG2" s="180">
        <f>(0.67*BF2)+(0.33*1)</f>
        <v>1.131923</v>
      </c>
      <c r="BH2" s="194">
        <f>BD2+(BE2*BG2)</f>
        <v>0.14347886004999999</v>
      </c>
      <c r="BI2" s="194">
        <f>'[31]Input &amp; Assumptions-Banks'!$B$8</f>
        <v>4.1502958941162432E-2</v>
      </c>
      <c r="BJ2" s="194">
        <f>[31]WACC!$C$6</f>
        <v>0.14577999999999999</v>
      </c>
      <c r="BK2" s="194">
        <f>1-BJ2</f>
        <v>0.85421999999999998</v>
      </c>
      <c r="BL2" s="194">
        <f>SUMPRODUCT(BH2,BJ2)+SUMPRODUCT(BI2,BK2)</f>
        <v>5.6369005804808775E-2</v>
      </c>
      <c r="BN2" s="1" t="str">
        <f>'USI-5'!A37</f>
        <v>JP Morgan Chase</v>
      </c>
      <c r="BO2" s="194">
        <f>$AM$3</f>
        <v>3.746E-2</v>
      </c>
      <c r="BP2" s="194">
        <f>$AO$3</f>
        <v>3.7900000000000003E-2</v>
      </c>
      <c r="BQ2" s="221">
        <f>'[21]Company Profile'!$B$3</f>
        <v>1.1312</v>
      </c>
      <c r="BR2" s="180">
        <f>(0.67*BQ2)+(0.33*1)</f>
        <v>1.087904</v>
      </c>
      <c r="BS2" s="194">
        <f>BO2+(BP2*BR2)</f>
        <v>7.8691561600000001E-2</v>
      </c>
    </row>
    <row r="3" spans="1:75" x14ac:dyDescent="0.3">
      <c r="B3" s="180"/>
      <c r="C3" s="180"/>
      <c r="D3" s="210"/>
      <c r="E3" s="180"/>
      <c r="F3" s="180"/>
      <c r="G3" s="180"/>
      <c r="H3" s="180" t="str">
        <f>A4</f>
        <v>Defence</v>
      </c>
      <c r="I3" s="180">
        <f t="shared" ref="I3:M11" si="1">B4</f>
        <v>2.8407828107513369E-2</v>
      </c>
      <c r="J3" s="180">
        <f t="shared" si="1"/>
        <v>275.31818762740988</v>
      </c>
      <c r="K3" s="180">
        <f t="shared" si="1"/>
        <v>0.20012700159578906</v>
      </c>
      <c r="L3" s="180">
        <f t="shared" si="1"/>
        <v>1.167486795764116</v>
      </c>
      <c r="M3" s="180">
        <f t="shared" si="1"/>
        <v>1.0027913617797428</v>
      </c>
      <c r="R3" s="132">
        <v>2027</v>
      </c>
      <c r="S3" s="148">
        <f>AVERAGE(3.65%,4%)</f>
        <v>3.8249999999999999E-2</v>
      </c>
      <c r="T3" s="188">
        <f>(0.67*$S$16)+(0.33*1)</f>
        <v>0.92536124588744584</v>
      </c>
      <c r="U3" s="148">
        <v>0.04</v>
      </c>
      <c r="V3" s="42">
        <f>S3+(T3*U3)</f>
        <v>7.5264449835497835E-2</v>
      </c>
      <c r="W3" s="52">
        <v>4.8500000000000001E-2</v>
      </c>
      <c r="X3" s="194">
        <f>$AH$13</f>
        <v>0.27724840805931938</v>
      </c>
      <c r="Y3" s="194">
        <f>$AI$13</f>
        <v>0.72275159194068062</v>
      </c>
      <c r="Z3" s="52">
        <v>0.21</v>
      </c>
      <c r="AA3" s="42">
        <f>(V3*Y3)+((W3*(1-Z3)*X3))</f>
        <v>6.5020273689938388E-2</v>
      </c>
      <c r="AC3" s="1" t="str">
        <f>'Cross-Sector US'!A3</f>
        <v>BFSI</v>
      </c>
      <c r="AD3" s="191">
        <f>AVERAGE([31]WACC!$C$4:$I$4)</f>
        <v>8.5751035714285731E-2</v>
      </c>
      <c r="AE3" s="191">
        <f>AVERAGE('[21]Assumptions &amp; WACC'!$B$5:$G$5,'[21]Assumptions &amp; WACC'!$J$20)</f>
        <v>0.11522457990346537</v>
      </c>
      <c r="AF3" s="180">
        <f>AVERAGE('[21]Company Profile'!$B$3:$H$3)</f>
        <v>1.3120142857142856</v>
      </c>
      <c r="AG3" s="180">
        <f>AVERAGE('[31]Input &amp; Assumptions-Banks'!$B$6:$H$6)</f>
        <v>1.2068857142857143</v>
      </c>
      <c r="AH3" s="194">
        <f>AVERAGE('[21]Assumptions &amp; WACC'!$B$20:$G$20,'[21]Assumptions &amp; WACC'!$J$18)</f>
        <v>0.61853523457468373</v>
      </c>
      <c r="AI3" s="194">
        <f>AVERAGE('[21]Assumptions &amp; WACC'!$B$21:$G$21,'[21]Assumptions &amp; WACC'!$J$19)</f>
        <v>0.38146476542531632</v>
      </c>
      <c r="AJ3" s="148">
        <f>AVERAGE([31]WACC!$C$7:$I$7)</f>
        <v>0.81190312062526715</v>
      </c>
      <c r="AK3" s="148">
        <f>1-Table164[[#This Row],[Debt weight India]]</f>
        <v>0.18809687937473285</v>
      </c>
      <c r="AL3" s="148">
        <f>$AL$2</f>
        <v>6.4979999999999996E-2</v>
      </c>
      <c r="AM3" s="148">
        <f>$AM$2</f>
        <v>3.746E-2</v>
      </c>
      <c r="AN3" s="148">
        <f t="shared" ref="AN3:AN12" si="2">AVERAGE($U$10:$U$14)</f>
        <v>6.9349999999999995E-2</v>
      </c>
      <c r="AO3" s="148">
        <f t="shared" ref="AO3:AO12" si="3">AVERAGE($U$2:$U$6)</f>
        <v>3.7900000000000003E-2</v>
      </c>
      <c r="AP3" s="148"/>
      <c r="AQ3" s="148"/>
      <c r="AR3" s="148">
        <f>Table164[[#This Row],[Rf-India]]+(Table164[[#This Row],[ERP-India]]*Table164[[#This Row],[Beta-India]])</f>
        <v>0.14394284127142856</v>
      </c>
      <c r="AS3" s="148">
        <f>Table164[[#This Row],[Rf-US]]+(Table164[[#This Row],[ERP-US]]*Table164[[#This Row],[Beta-US]])</f>
        <v>8.3282978757142856E-2</v>
      </c>
      <c r="AT3" s="183">
        <f>(0.67*Table164[[#This Row],[Beta India]])+(0.33*1)</f>
        <v>1.1386134285714287</v>
      </c>
      <c r="AU3" s="183">
        <f>(Table164[[#This Row],[Beta US]]*0.67)+(0.33*1)</f>
        <v>1.2090495714285714</v>
      </c>
      <c r="AV3" s="148">
        <f>Table164[[#This Row],[Ke-India]]</f>
        <v>0.14394284127142856</v>
      </c>
      <c r="AW3" s="148">
        <f>Table164[[#This Row],[Ke-US]]</f>
        <v>8.3282978757142856E-2</v>
      </c>
      <c r="AY3" s="1" t="str">
        <f>Table164[[#This Row],[Sector]]</f>
        <v>BFSI</v>
      </c>
      <c r="AZ3" s="55">
        <v>0.03</v>
      </c>
      <c r="BA3" s="55">
        <v>4.9135101237370381E-2</v>
      </c>
      <c r="BC3" s="1" t="str">
        <f>'USI-3'!AF15</f>
        <v>HDFC Bank</v>
      </c>
      <c r="BD3" s="194">
        <f t="shared" ref="BD3:BD8" si="4">$AL$3</f>
        <v>6.4979999999999996E-2</v>
      </c>
      <c r="BE3" s="194">
        <f t="shared" ref="BE3:BE8" si="5">$AN$3</f>
        <v>6.9349999999999995E-2</v>
      </c>
      <c r="BF3" s="221">
        <f>'[31]Company Profile'!$B$7</f>
        <v>1.0147999999999999</v>
      </c>
      <c r="BG3" s="180">
        <f t="shared" ref="BG3:BG8" si="6">(0.67*BF3)+(0.33*1)</f>
        <v>1.009916</v>
      </c>
      <c r="BH3" s="194">
        <f t="shared" ref="BH3:BH8" si="7">BD3+(BE3*BG3)</f>
        <v>0.1350176746</v>
      </c>
      <c r="BI3" s="194">
        <f>'[31]Input &amp; Assumptions-Banks'!$C$8</f>
        <v>4.1705330950030511E-2</v>
      </c>
      <c r="BJ3" s="194">
        <f>[31]WACC!$D$6</f>
        <v>0.1653</v>
      </c>
      <c r="BK3" s="194">
        <f t="shared" ref="BK3:BK8" si="8">1-BJ3</f>
        <v>0.8347</v>
      </c>
      <c r="BL3" s="194">
        <f t="shared" ref="BL3:BL8" si="9">SUMPRODUCT(BH3,BJ3)+SUMPRODUCT(BI3,BK3)</f>
        <v>5.7129861355370466E-2</v>
      </c>
      <c r="BN3" s="1" t="str">
        <f>'USI-5'!A38</f>
        <v>Bank of America</v>
      </c>
      <c r="BO3" s="194">
        <f t="shared" ref="BO3:BO8" si="10">$AM$3</f>
        <v>3.746E-2</v>
      </c>
      <c r="BP3" s="194">
        <f t="shared" ref="BP3:BP8" si="11">$AO$3</f>
        <v>3.7900000000000003E-2</v>
      </c>
      <c r="BQ3" s="221">
        <f>'[21]Company Profile'!$C$3</f>
        <v>1.3394999999999999</v>
      </c>
      <c r="BR3" s="180">
        <f t="shared" ref="BR3:BR8" si="12">(0.67*BQ3)+(0.33*1)</f>
        <v>1.227465</v>
      </c>
      <c r="BS3" s="194">
        <f t="shared" ref="BS3:BS8" si="13">BO3+(BP3*BR3)</f>
        <v>8.3980923499999999E-2</v>
      </c>
    </row>
    <row r="4" spans="1:75" x14ac:dyDescent="0.3">
      <c r="A4" s="1" t="str">
        <f>Table164[[#This Row],[Sector]]</f>
        <v>Defence</v>
      </c>
      <c r="B4" s="180">
        <f>AVERAGE('[32]Ratio Analysis'!$C$14:$G$14,'[32]Ratio Analysis'!$I$14:$M$14,'[32]Ratio Analysis'!$O$14:$S$14,'[32]Ratio Analysis'!$U$14:$Y$14,'[32]Ratio Analysis'!$AA$14:$AF$14)</f>
        <v>2.8407828107513369E-2</v>
      </c>
      <c r="C4" s="180">
        <f>AVERAGE('[32]Ratio Analysis'!$C$15:$G$15,'[32]Ratio Analysis'!$I$15:$M$15,'[32]Ratio Analysis'!$O$15:$S$15,'[32]Ratio Analysis'!$U$15:$Y$15,'[32]Ratio Analysis'!$AA$15:$AF$15)</f>
        <v>275.31818762740988</v>
      </c>
      <c r="D4" s="210">
        <f>Table144[[#This Row],[Avg EBITDA Margin]]</f>
        <v>0.20012700159578906</v>
      </c>
      <c r="E4" s="180">
        <f>AVERAGE('[32]Ratio Analysis'!$C$12:$G$12,'[32]Ratio Analysis'!$I$12:$M$12,'[32]Ratio Analysis'!$O$12:$S$12,'[32]Ratio Analysis'!$U$12:$Y$12,'[32]Ratio Analysis'!$AA$12:$AF$12)</f>
        <v>1.167486795764116</v>
      </c>
      <c r="F4" s="180">
        <f>'USI-3'!O3</f>
        <v>1.0027913617797428</v>
      </c>
      <c r="G4" s="180"/>
      <c r="H4" s="180" t="str">
        <f t="shared" ref="H4:H11" si="14">A5</f>
        <v>Energy</v>
      </c>
      <c r="I4" s="180">
        <f t="shared" si="1"/>
        <v>1.8086337507733956</v>
      </c>
      <c r="J4" s="180">
        <f t="shared" si="1"/>
        <v>1.1682581509285941</v>
      </c>
      <c r="K4" s="180">
        <f t="shared" si="1"/>
        <v>8.4443215392707258E-2</v>
      </c>
      <c r="L4" s="180">
        <f t="shared" si="1"/>
        <v>0.65294468138591588</v>
      </c>
      <c r="M4" s="180">
        <f t="shared" si="1"/>
        <v>0.49578814621644346</v>
      </c>
      <c r="R4" s="132">
        <v>2028</v>
      </c>
      <c r="S4" s="148">
        <f>AVERAGE(3.55%,3.85%)</f>
        <v>3.6999999999999998E-2</v>
      </c>
      <c r="T4" s="188">
        <f>(0.67*$S$16)+(0.33*1)</f>
        <v>0.92536124588744584</v>
      </c>
      <c r="U4" s="148">
        <v>3.5499999999999997E-2</v>
      </c>
      <c r="V4" s="42">
        <f>S4+(T4*U4)</f>
        <v>6.9850324229004321E-2</v>
      </c>
      <c r="W4" s="52">
        <v>4.65E-2</v>
      </c>
      <c r="X4" s="194">
        <f>$AH$13</f>
        <v>0.27724840805931938</v>
      </c>
      <c r="Y4" s="194">
        <f>$AI$13</f>
        <v>0.72275159194068062</v>
      </c>
      <c r="Z4" s="52">
        <v>0.21</v>
      </c>
      <c r="AA4" s="42">
        <f>(V4*Y4)+((W4*(1-Z4)*X4))</f>
        <v>6.0669153304144671E-2</v>
      </c>
      <c r="AC4" s="1" t="str">
        <f>'Cross-Sector US'!A4</f>
        <v>Defence</v>
      </c>
      <c r="AD4" s="191">
        <f>AVERAGE([32]WACC!$B$15:$F$15)</f>
        <v>0.17183181184151824</v>
      </c>
      <c r="AE4" s="191">
        <f>AVERAGE('[22]Assumptions &amp; WACC'!$B$20:$F$20)</f>
        <v>5.5005538889596771E-2</v>
      </c>
      <c r="AF4" s="180">
        <f>AVERAGE('[22]Assumptions &amp; WACC'!$B$8:$F$8)</f>
        <v>0.43095999999999995</v>
      </c>
      <c r="AG4" s="180">
        <f>AVERAGE([32]WACC!$B$5:$F$5)</f>
        <v>1.3532599999999999</v>
      </c>
      <c r="AH4" s="194">
        <f>AVERAGE('[22]Assumptions &amp; WACC'!$B$18:$F$18)</f>
        <v>0.14354329375776442</v>
      </c>
      <c r="AI4" s="194">
        <f>AVERAGE('[22]Assumptions &amp; WACC'!$B$19:$F$19)</f>
        <v>0.85645670624223558</v>
      </c>
      <c r="AJ4" s="148">
        <f>AVERAGE([32]WACC!$B$14:$F$14)</f>
        <v>5.041022112311389E-4</v>
      </c>
      <c r="AK4" s="148">
        <f>1-Table164[[#This Row],[Debt weight India]]</f>
        <v>0.99949589778876891</v>
      </c>
      <c r="AL4" s="148">
        <f t="shared" ref="AL4:AL12" si="15">$AL$2</f>
        <v>6.4979999999999996E-2</v>
      </c>
      <c r="AM4" s="148">
        <f t="shared" ref="AM4:AM12" si="16">$AM$2</f>
        <v>3.746E-2</v>
      </c>
      <c r="AN4" s="148">
        <f t="shared" si="2"/>
        <v>6.9349999999999995E-2</v>
      </c>
      <c r="AO4" s="148">
        <f t="shared" si="3"/>
        <v>3.7900000000000003E-2</v>
      </c>
      <c r="AP4" s="148">
        <f>AVERAGE([32]WACC!$B$9:$F$9)</f>
        <v>0.10929944937546095</v>
      </c>
      <c r="AQ4" s="148">
        <f>AVERAGE('[22]Assumptions &amp; WACC'!$B$14:$F$14)</f>
        <v>3.2531530354317301E-2</v>
      </c>
      <c r="AR4" s="148">
        <f>Table164[[#This Row],[Rf-India]]+(Table164[[#This Row],[ERP-India]]*Table164[[#This Row],[Beta-India]])</f>
        <v>0.15074404926999999</v>
      </c>
      <c r="AS4" s="148">
        <f>Table164[[#This Row],[Rf-US]]+(Table164[[#This Row],[ERP-US]]*Table164[[#This Row],[Beta-US]])</f>
        <v>6.0910367280000002E-2</v>
      </c>
      <c r="AT4" s="183">
        <f>(0.67*Table164[[#This Row],[Beta India]])+(0.33*1)</f>
        <v>1.2366842</v>
      </c>
      <c r="AU4" s="183">
        <f>(Table164[[#This Row],[Beta US]]*0.67)+(0.33*1)</f>
        <v>0.61874319999999994</v>
      </c>
      <c r="AV4" s="148">
        <f>(Table164[[#This Row],[Ke-India]]*Table164[[#This Row],[Equity weight India]])+(Table164[[#This Row],[Debt weight India]]*Table164[[#This Row],[Kd-India]])</f>
        <v>0.15072315695554958</v>
      </c>
      <c r="AW4" s="148">
        <f>SUMPRODUCT(Table164[[#This Row],[Equity weight US]],Table164[[#This Row],[Ke-US]])+SUMPRODUCT(Table164[[#This Row],[Debt weight US]],Table164[[#This Row],[Kd-US]])</f>
        <v>5.6836775554673036E-2</v>
      </c>
      <c r="AY4" s="1" t="str">
        <f>Table164[[#This Row],[Sector]]</f>
        <v>Defence</v>
      </c>
      <c r="AZ4" s="55">
        <f>AVERAGE([32]DCF!$C$9,[32]DCF!$M$9,[32]DCF!$W$9,[32]DCF!$AG$9,[32]DCF!$AQ$9)</f>
        <v>2.6012120094195117E-2</v>
      </c>
      <c r="BA4" s="55">
        <v>2.8392928970223295E-2</v>
      </c>
      <c r="BC4" s="1" t="str">
        <f>'USI-3'!AF16</f>
        <v>ICICI Bank</v>
      </c>
      <c r="BD4" s="194">
        <f t="shared" si="4"/>
        <v>6.4979999999999996E-2</v>
      </c>
      <c r="BE4" s="194">
        <f t="shared" si="5"/>
        <v>6.9349999999999995E-2</v>
      </c>
      <c r="BF4" s="221">
        <f>'[31]Company Profile'!$C$7</f>
        <v>1.0835999999999999</v>
      </c>
      <c r="BG4" s="180">
        <f t="shared" si="6"/>
        <v>1.056012</v>
      </c>
      <c r="BH4" s="194">
        <f t="shared" si="7"/>
        <v>0.13821443219999999</v>
      </c>
      <c r="BI4" s="194">
        <f>'[31]Input &amp; Assumptions-Banks'!$D$8</f>
        <v>3.9663315166596512E-2</v>
      </c>
      <c r="BJ4" s="194">
        <f>[31]WACC!$E$6</f>
        <v>0.17199999999999999</v>
      </c>
      <c r="BK4" s="194">
        <f t="shared" si="8"/>
        <v>0.82800000000000007</v>
      </c>
      <c r="BL4" s="194">
        <f t="shared" si="9"/>
        <v>5.6614107296341906E-2</v>
      </c>
      <c r="BN4" s="1" t="str">
        <f>'USI-5'!A39</f>
        <v>American Express</v>
      </c>
      <c r="BO4" s="194">
        <f t="shared" si="10"/>
        <v>3.746E-2</v>
      </c>
      <c r="BP4" s="194">
        <f t="shared" si="11"/>
        <v>3.7900000000000003E-2</v>
      </c>
      <c r="BQ4" s="221">
        <f>'[21]Company Profile'!$D$3</f>
        <v>1.2789999999999999</v>
      </c>
      <c r="BR4" s="180">
        <f t="shared" si="12"/>
        <v>1.18693</v>
      </c>
      <c r="BS4" s="194">
        <f t="shared" si="13"/>
        <v>8.244464700000001E-2</v>
      </c>
    </row>
    <row r="5" spans="1:75" x14ac:dyDescent="0.3">
      <c r="A5" s="1" t="str">
        <f>Table164[[#This Row],[Sector]]</f>
        <v>Energy</v>
      </c>
      <c r="B5" s="180">
        <f>AVERAGE('[33]Financial Ratio'!$B$13:$F$13,'[33]Financial Ratio'!$I$13:$M$13,'[33]Financial Ratio'!$P$13:$T$13,'[33]Financial Ratio'!$W$13:$AA$13,'[33]Financial Ratio'!$AD$13:$AH$13)</f>
        <v>1.8086337507733956</v>
      </c>
      <c r="C5" s="180">
        <f>AVERAGE('[33]Financial Ratio'!$B$14:$F$14,'[33]Financial Ratio'!$I$14:$M$14,'[33]Financial Ratio'!$P$14:$T$14,'[33]Financial Ratio'!$W$14:$AA$14,'[33]Financial Ratio'!$AD$14:$AH$14)</f>
        <v>1.1682581509285941</v>
      </c>
      <c r="D5" s="210">
        <f>Table144[[#This Row],[Avg EBITDA Margin]]</f>
        <v>8.4443215392707258E-2</v>
      </c>
      <c r="E5" s="180">
        <f>AVERAGE('[33]Financial Ratio'!$B$11:$F$11,'[33]Financial Ratio'!$I$11:$M$11,'[33]Financial Ratio'!$P$11:$T$11,'[33]Financial Ratio'!$W$11:$AA$11,'[33]Financial Ratio'!$AD$11:$AH$11)</f>
        <v>0.65294468138591588</v>
      </c>
      <c r="F5" s="180">
        <f>'USI-3'!O4</f>
        <v>0.49578814621644346</v>
      </c>
      <c r="G5" s="180"/>
      <c r="H5" s="180" t="str">
        <f t="shared" si="14"/>
        <v>FMCG &amp; Retail</v>
      </c>
      <c r="I5" s="180">
        <f t="shared" si="1"/>
        <v>0.17531223222034709</v>
      </c>
      <c r="J5" s="180">
        <f t="shared" si="1"/>
        <v>118.21326247369915</v>
      </c>
      <c r="K5" s="180">
        <f t="shared" si="1"/>
        <v>0.19075964883851651</v>
      </c>
      <c r="L5" s="180">
        <f t="shared" si="1"/>
        <v>1.1071259608527715</v>
      </c>
      <c r="M5" s="180">
        <f t="shared" si="1"/>
        <v>0.42588322364978237</v>
      </c>
      <c r="R5" s="132">
        <v>2029</v>
      </c>
      <c r="S5" s="148">
        <f>AVERAGE(3.5%,3.8%)</f>
        <v>3.6500000000000005E-2</v>
      </c>
      <c r="T5" s="188">
        <f>(0.67*$S$16)+(0.33*1)</f>
        <v>0.92536124588744584</v>
      </c>
      <c r="U5" s="148">
        <v>3.5499999999999997E-2</v>
      </c>
      <c r="V5" s="42">
        <f>S5+(T5*U5)</f>
        <v>6.9350324229004334E-2</v>
      </c>
      <c r="W5" s="52">
        <v>4.4999999999999998E-2</v>
      </c>
      <c r="X5" s="194">
        <f>$AH$13</f>
        <v>0.27724840805931938</v>
      </c>
      <c r="Y5" s="194">
        <f>$AI$13</f>
        <v>0.72275159194068062</v>
      </c>
      <c r="Z5" s="52">
        <v>0.21</v>
      </c>
      <c r="AA5" s="42">
        <f>(V5*Y5)+((W5*(1-Z5)*X5))</f>
        <v>5.9979238144624039E-2</v>
      </c>
      <c r="AC5" s="1" t="str">
        <f>'Cross-Sector US'!A5</f>
        <v>Energy</v>
      </c>
      <c r="AD5" s="191">
        <f>AVERAGE('[33]Weighted Avg Cost of Capital'!$B$7:$F$7)</f>
        <v>0.11132576380585195</v>
      </c>
      <c r="AE5" s="191">
        <f>AVERAGE([23]Assumptions!$B$22:$F$22)</f>
        <v>5.4633649544846577E-2</v>
      </c>
      <c r="AF5" s="180">
        <f>AVERAGE([23]Assumptions!$B$12:$F$12)</f>
        <v>0.51600000000000001</v>
      </c>
      <c r="AG5" s="180">
        <f>AVERAGE('[33]Company Profile'!$B$17:$F$17)</f>
        <v>1.3313200000000001</v>
      </c>
      <c r="AH5" s="194">
        <f>AVERAGE([23]Assumptions!$B$20:$F$20)</f>
        <v>0.39348316196954358</v>
      </c>
      <c r="AI5" s="194">
        <f>AVERAGE([23]Assumptions!$B$21:$F$21)</f>
        <v>0.60651683803045642</v>
      </c>
      <c r="AJ5" s="148">
        <f>AVERAGE('[33]Weighted Avg Cost of Capital'!$B$6:$F$6)</f>
        <v>0.35705940336804726</v>
      </c>
      <c r="AK5" s="148">
        <f>1-Table164[[#This Row],[Debt weight India]]</f>
        <v>0.6429405966319528</v>
      </c>
      <c r="AL5" s="148">
        <f t="shared" si="15"/>
        <v>6.4979999999999996E-2</v>
      </c>
      <c r="AM5" s="148">
        <f t="shared" si="16"/>
        <v>3.746E-2</v>
      </c>
      <c r="AN5" s="148">
        <f t="shared" si="2"/>
        <v>6.9349999999999995E-2</v>
      </c>
      <c r="AO5" s="148">
        <f t="shared" si="3"/>
        <v>3.7900000000000003E-2</v>
      </c>
      <c r="AP5" s="148">
        <f>AVERAGE('[33]Weighted Avg Cost of Capital'!$B$4:$F$4)</f>
        <v>6.5910080645899788E-2</v>
      </c>
      <c r="AQ5" s="148">
        <f>AVERAGE([23]Assumptions!$B$16:$F$16)</f>
        <v>3.3566956888955821E-2</v>
      </c>
      <c r="AR5" s="148">
        <f>Table164[[#This Row],[Rf-India]]+(Table164[[#This Row],[ERP-India]]*Table164[[#This Row],[Beta-India]])</f>
        <v>0.14972461813999999</v>
      </c>
      <c r="AS5" s="148">
        <f>Table164[[#This Row],[Rf-US]]+(Table164[[#This Row],[ERP-US]]*Table164[[#This Row],[Beta-US]])</f>
        <v>6.3069788000000002E-2</v>
      </c>
      <c r="AT5" s="183">
        <f>(0.67*Table164[[#This Row],[Beta India]])+(0.33*1)</f>
        <v>1.2219844000000002</v>
      </c>
      <c r="AU5" s="183">
        <f>(Table164[[#This Row],[Beta US]]*0.67)+(0.33*1)</f>
        <v>0.6757200000000001</v>
      </c>
      <c r="AV5" s="148">
        <f>(Table164[[#This Row],[Ke-India]]*Table164[[#This Row],[Equity weight India]])+(Table164[[#This Row],[Debt weight India]]*Table164[[#This Row],[Kd-India]])</f>
        <v>0.11979784938878775</v>
      </c>
      <c r="AW5" s="148">
        <f>SUMPRODUCT(Table164[[#This Row],[Equity weight US]],Table164[[#This Row],[Ke-US]])+SUMPRODUCT(Table164[[#This Row],[Debt weight US]],Table164[[#This Row],[Kd-US]])</f>
        <v>5.1460920727372919E-2</v>
      </c>
      <c r="AY5" s="1" t="str">
        <f>Table164[[#This Row],[Sector]]</f>
        <v>Energy</v>
      </c>
      <c r="AZ5" s="55">
        <f>AVERAGE('[33]Key Assumptions'!$G$7,'[33]Key Assumptions'!$O$7,'[33]Key Assumptions'!$W$7,'[33]Key Assumptions'!$AE$7,'[33]Key Assumptions'!$AM$7)</f>
        <v>0.14019600882941588</v>
      </c>
      <c r="BA5" s="55">
        <v>0.38388524484724568</v>
      </c>
      <c r="BC5" s="1" t="str">
        <f>'USI-3'!AF17</f>
        <v>SBI</v>
      </c>
      <c r="BD5" s="194">
        <f t="shared" si="4"/>
        <v>6.4979999999999996E-2</v>
      </c>
      <c r="BE5" s="194">
        <f t="shared" si="5"/>
        <v>6.9349999999999995E-2</v>
      </c>
      <c r="BF5" s="221">
        <f>'[31]Company Profile'!$E$7</f>
        <v>1.4097</v>
      </c>
      <c r="BG5" s="180">
        <f t="shared" si="6"/>
        <v>1.274499</v>
      </c>
      <c r="BH5" s="194">
        <f t="shared" si="7"/>
        <v>0.15336650564999998</v>
      </c>
      <c r="BI5" s="194">
        <f>'[31]Input &amp; Assumptions-Banks'!$E$8</f>
        <v>4.0327736954524462E-2</v>
      </c>
      <c r="BJ5" s="194">
        <f>[31]WACC!$F$6</f>
        <v>0.10724</v>
      </c>
      <c r="BK5" s="194">
        <f t="shared" si="8"/>
        <v>0.89276</v>
      </c>
      <c r="BL5" s="194">
        <f t="shared" si="9"/>
        <v>5.2450014509427254E-2</v>
      </c>
      <c r="BN5" s="1" t="str">
        <f>'USI-5'!A40</f>
        <v>Goldman Sachs</v>
      </c>
      <c r="BO5" s="194">
        <f t="shared" si="10"/>
        <v>3.746E-2</v>
      </c>
      <c r="BP5" s="194">
        <f t="shared" si="11"/>
        <v>3.7900000000000003E-2</v>
      </c>
      <c r="BQ5" s="221">
        <f>'[21]Company Profile'!$F$3</f>
        <v>1.3975</v>
      </c>
      <c r="BR5" s="180">
        <f t="shared" si="12"/>
        <v>1.2663250000000001</v>
      </c>
      <c r="BS5" s="194">
        <f t="shared" si="13"/>
        <v>8.5453717500000012E-2</v>
      </c>
    </row>
    <row r="6" spans="1:75" x14ac:dyDescent="0.3">
      <c r="A6" s="1" t="str">
        <f>Table164[[#This Row],[Sector]]</f>
        <v>FMCG &amp; Retail</v>
      </c>
      <c r="B6" s="180">
        <f>AVERAGE('[34]Financial Ratio'!$B$20:$G$20,'[34]Financial Ratio'!$J$20:$N$20,'[34]Financial Ratio'!$Q$20:$V$20,'[34]Financial Ratio'!$Y$20:$AD$20,'[34]Financial Ratio'!$AG$20:$AL$20,'[34]Financial Ratio'!$AO$20:$AS$20)</f>
        <v>0.17531223222034709</v>
      </c>
      <c r="C6" s="180">
        <f>AVERAGE('[34]Financial Ratio'!$B$21:$G$21,'[34]Financial Ratio'!$J$21:$N$21,'[34]Financial Ratio'!$Q$21:$V$21,'[34]Financial Ratio'!$Y$21:$AD$21,'[34]Financial Ratio'!$AG$21:$AL$21,'[34]Financial Ratio'!$AO$21:$AS$21)</f>
        <v>118.21326247369915</v>
      </c>
      <c r="D6" s="210">
        <f>Table144[[#This Row],[Avg EBITDA Margin]]</f>
        <v>0.19075964883851651</v>
      </c>
      <c r="E6" s="180">
        <f>AVERAGE('[34]Financial Ratio'!$B$18:$G$18,'[34]Financial Ratio'!$J$18:$N$18,'[34]Financial Ratio'!$Q$18:$V$18,'[34]Financial Ratio'!$Y$18:$AD$18,'[34]Financial Ratio'!$AG$18:$AL$18,'[34]Financial Ratio'!$AO$18:$AS$18)</f>
        <v>1.1071259608527715</v>
      </c>
      <c r="F6" s="180">
        <f>'USI-3'!O5</f>
        <v>0.42588322364978237</v>
      </c>
      <c r="G6" s="180"/>
      <c r="H6" s="180" t="str">
        <f t="shared" si="14"/>
        <v>Infrastructure</v>
      </c>
      <c r="I6" s="180">
        <f t="shared" si="1"/>
        <v>0.85094111311069986</v>
      </c>
      <c r="J6" s="180">
        <f t="shared" si="1"/>
        <v>4.8719893849687157</v>
      </c>
      <c r="K6" s="180">
        <f t="shared" si="1"/>
        <v>0.20156017794419673</v>
      </c>
      <c r="L6" s="180">
        <f t="shared" si="1"/>
        <v>1.4768493062099342</v>
      </c>
      <c r="M6" s="180">
        <f t="shared" si="1"/>
        <v>0.60409748358293935</v>
      </c>
      <c r="R6" s="132">
        <v>2030</v>
      </c>
      <c r="S6" s="148">
        <f>AVERAGE(3.5%,3.75%)</f>
        <v>3.6250000000000004E-2</v>
      </c>
      <c r="T6" s="188">
        <f>(0.67*$S$16)+(0.33*1)</f>
        <v>0.92536124588744584</v>
      </c>
      <c r="U6" s="148">
        <v>3.7499999999999999E-2</v>
      </c>
      <c r="V6" s="42">
        <f>S6+(T6*U6)</f>
        <v>7.0951046720779232E-2</v>
      </c>
      <c r="W6" s="52">
        <v>4.3999999999999997E-2</v>
      </c>
      <c r="X6" s="194">
        <f>$AH$13</f>
        <v>0.27724840805931938</v>
      </c>
      <c r="Y6" s="194">
        <f>$AI$13</f>
        <v>0.72275159194068062</v>
      </c>
      <c r="Z6" s="52">
        <v>0.21</v>
      </c>
      <c r="AA6" s="42">
        <f>(V6*Y6)+((W6*(1-Z6)*X6))</f>
        <v>6.0917136631442742E-2</v>
      </c>
      <c r="AC6" s="1" t="str">
        <f>'Cross-Sector US'!A6</f>
        <v>FMCG &amp; Retail</v>
      </c>
      <c r="AD6" s="191">
        <f>AVERAGE('[34]WACC &amp; Key Assumptions'!$B$17:$G$17)</f>
        <v>0.14375416594647875</v>
      </c>
      <c r="AE6" s="191">
        <f>AVERAGE('[24]Assumptions &amp; WACC'!$B$21:$F$21)</f>
        <v>5.7701179082864797E-2</v>
      </c>
      <c r="AF6" s="180">
        <f>AVERAGE('[24]Assumptions &amp; WACC'!$B$11:$F$11)</f>
        <v>0.45204000000000005</v>
      </c>
      <c r="AG6" s="180">
        <f>AVERAGE('[34]WACC &amp; Key Assumptions'!$B$5:$G$5)</f>
        <v>1.1147166666666668</v>
      </c>
      <c r="AH6" s="194">
        <f>AVERAGE('[24]Assumptions &amp; WACC'!$B$19:$F$19)</f>
        <v>0.11426005164918258</v>
      </c>
      <c r="AI6" s="194">
        <f>AVERAGE('[24]Assumptions &amp; WACC'!$B$20:$F$20)</f>
        <v>0.88573994835081749</v>
      </c>
      <c r="AJ6" s="148">
        <f>AVERAGE('[34]WACC &amp; Key Assumptions'!$B$16:$G$16)</f>
        <v>0.12403545170958451</v>
      </c>
      <c r="AK6" s="148">
        <f>1-Table164[[#This Row],[Debt weight India]]</f>
        <v>0.87596454829041548</v>
      </c>
      <c r="AL6" s="148">
        <f t="shared" si="15"/>
        <v>6.4979999999999996E-2</v>
      </c>
      <c r="AM6" s="148">
        <f t="shared" si="16"/>
        <v>3.746E-2</v>
      </c>
      <c r="AN6" s="148">
        <f t="shared" si="2"/>
        <v>6.9349999999999995E-2</v>
      </c>
      <c r="AO6" s="148">
        <f t="shared" si="3"/>
        <v>3.7900000000000003E-2</v>
      </c>
      <c r="AP6" s="148">
        <f>AVERAGE('[34]WACC &amp; Key Assumptions'!$B$10:$G$10)</f>
        <v>8.6608435202431444E-2</v>
      </c>
      <c r="AQ6" s="148">
        <f>AVERAGE('[24]Assumptions &amp; WACC'!$B$15:$F$15)</f>
        <v>2.1562117115437384E-2</v>
      </c>
      <c r="AR6" s="148">
        <f>Table164[[#This Row],[Rf-India]]+(Table164[[#This Row],[ERP-India]]*Table164[[#This Row],[Beta-India]])</f>
        <v>0.13966025255833334</v>
      </c>
      <c r="AS6" s="148">
        <f>Table164[[#This Row],[Rf-US]]+(Table164[[#This Row],[ERP-US]]*Table164[[#This Row],[Beta-US]])</f>
        <v>6.1445651720000008E-2</v>
      </c>
      <c r="AT6" s="183">
        <f>(0.67*Table164[[#This Row],[Beta India]])+(0.33*1)</f>
        <v>1.0768601666666668</v>
      </c>
      <c r="AU6" s="183">
        <f>(Table164[[#This Row],[Beta US]]*0.67)+(0.33*1)</f>
        <v>0.63286680000000006</v>
      </c>
      <c r="AV6" s="148">
        <f>(Table164[[#This Row],[Ke-India]]*Table164[[#This Row],[Equity weight India]])+(Table164[[#This Row],[Debt weight India]]*Table164[[#This Row],[Kd-India]])</f>
        <v>0.13307994642857968</v>
      </c>
      <c r="AW6" s="148">
        <f>SUMPRODUCT(Table164[[#This Row],[Equity weight US]],Table164[[#This Row],[Ke-US]])+SUMPRODUCT(Table164[[#This Row],[Debt weight US]],Table164[[#This Row],[Kd-US]])</f>
        <v>5.6888556996130726E-2</v>
      </c>
      <c r="AY6" s="1" t="str">
        <f>Table164[[#This Row],[Sector]]</f>
        <v>FMCG &amp; Retail</v>
      </c>
      <c r="AZ6" s="55">
        <f>'[34]Balance Sheet Forecast'!$B$40</f>
        <v>6.537118684593958E-2</v>
      </c>
      <c r="BA6" s="55">
        <v>3.9299974063744386E-2</v>
      </c>
      <c r="BC6" s="1" t="str">
        <f>'USI-3'!AF18</f>
        <v>Bajaj Finance</v>
      </c>
      <c r="BD6" s="194">
        <f t="shared" si="4"/>
        <v>6.4979999999999996E-2</v>
      </c>
      <c r="BE6" s="194">
        <f t="shared" si="5"/>
        <v>6.9349999999999995E-2</v>
      </c>
      <c r="BF6" s="221">
        <f>'[31]Company Profile'!$F$7</f>
        <v>1.5570999999999999</v>
      </c>
      <c r="BG6" s="180">
        <f t="shared" si="6"/>
        <v>1.3732570000000002</v>
      </c>
      <c r="BH6" s="194">
        <f t="shared" si="7"/>
        <v>0.16021537294999999</v>
      </c>
      <c r="BI6" s="194">
        <f>'[31]Input &amp; Assumptions-Banks'!$G$8</f>
        <v>0.12472954744132642</v>
      </c>
      <c r="BJ6" s="194">
        <f>[31]WACC!$H$6</f>
        <v>0.23170287325413524</v>
      </c>
      <c r="BK6" s="194">
        <f t="shared" si="8"/>
        <v>0.7682971267458647</v>
      </c>
      <c r="BL6" s="194">
        <f t="shared" si="9"/>
        <v>0.13295171517148097</v>
      </c>
      <c r="BN6" s="1" t="str">
        <f>'USI-5'!A41</f>
        <v>Morgan Stanley</v>
      </c>
      <c r="BO6" s="194">
        <f t="shared" si="10"/>
        <v>3.746E-2</v>
      </c>
      <c r="BP6" s="194">
        <f t="shared" si="11"/>
        <v>3.7900000000000003E-2</v>
      </c>
      <c r="BQ6" s="221">
        <f>'[21]Company Profile'!$G$3</f>
        <v>1.3311999999999999</v>
      </c>
      <c r="BR6" s="180">
        <f t="shared" si="12"/>
        <v>1.2219040000000001</v>
      </c>
      <c r="BS6" s="194">
        <f t="shared" si="13"/>
        <v>8.3770161600000004E-2</v>
      </c>
    </row>
    <row r="7" spans="1:75" x14ac:dyDescent="0.3">
      <c r="A7" s="1" t="str">
        <f>Table164[[#This Row],[Sector]]</f>
        <v>Infrastructure</v>
      </c>
      <c r="B7" s="180">
        <f>AVERAGE('[35]Ratio Analysis'!$B$14:$G$14,'[35]Ratio Analysis'!$J$14:$O$14,'[35]Ratio Analysis'!$R$14:$W$14,'[35]Ratio Analysis'!$Z$14:$AE$14,'[35]Ratio Analysis'!$AH$14:$AM$14)</f>
        <v>0.85094111311069986</v>
      </c>
      <c r="C7" s="180">
        <f>AVERAGE('[35]Ratio Analysis'!$B$15:$G$15,'[35]Ratio Analysis'!$J$15:$O$15,'[35]Ratio Analysis'!$R$15:$W$15,'[35]Ratio Analysis'!$Z$15:$AE$15,'[35]Ratio Analysis'!$AH$15:$AM$15)</f>
        <v>4.8719893849687157</v>
      </c>
      <c r="D7" s="210">
        <f>Table144[[#This Row],[Avg EBITDA Margin]]</f>
        <v>0.20156017794419673</v>
      </c>
      <c r="E7" s="180">
        <f>AVERAGE('[35]Ratio Analysis'!$B$12:$G$12,'[35]Ratio Analysis'!$J$12:$O$12,'[35]Ratio Analysis'!$R$12:$W$12,'[35]Ratio Analysis'!$Z$12:$AE$12,'[35]Ratio Analysis'!$AH$12:$AM$12)</f>
        <v>1.4768493062099342</v>
      </c>
      <c r="F7" s="180">
        <f>'USI-3'!O6</f>
        <v>0.60409748358293935</v>
      </c>
      <c r="G7" s="180"/>
      <c r="H7" s="180" t="str">
        <f t="shared" si="14"/>
        <v>IT</v>
      </c>
      <c r="I7" s="180">
        <f t="shared" si="1"/>
        <v>8.5823750374152311E-2</v>
      </c>
      <c r="J7" s="180">
        <f t="shared" si="1"/>
        <v>52.518680188372315</v>
      </c>
      <c r="K7" s="180">
        <f t="shared" si="1"/>
        <v>0.26657634423989957</v>
      </c>
      <c r="L7" s="180">
        <f t="shared" si="1"/>
        <v>2.6184950865635774</v>
      </c>
      <c r="M7" s="180">
        <f t="shared" si="1"/>
        <v>1.9488797725751701</v>
      </c>
      <c r="Z7" s="141" t="s">
        <v>311</v>
      </c>
      <c r="AA7" s="154">
        <f>AVERAGE(AA2:AA6)</f>
        <v>6.2913390928355864E-2</v>
      </c>
      <c r="AC7" s="1" t="str">
        <f>'Cross-Sector US'!A7</f>
        <v>Infrastructure</v>
      </c>
      <c r="AD7" s="191">
        <f>AVERAGE('[35]WACC &amp; Key Assumptions'!$B$16:$F$16)</f>
        <v>0.13173858348960321</v>
      </c>
      <c r="AE7" s="191">
        <f>AVERAGE('[25]Assumptions &amp; WACC'!$B$21:$F$21)</f>
        <v>8.3153727539757361E-2</v>
      </c>
      <c r="AF7" s="180">
        <f>AVERAGE('[25]Assumptions &amp; WACC'!$B$11:$F$11)</f>
        <v>1.1869200000000002</v>
      </c>
      <c r="AG7" s="180">
        <f>AVERAGE('[35]WACC &amp; Key Assumptions'!$B$5:$F$5)</f>
        <v>1.0881399999999999</v>
      </c>
      <c r="AH7" s="194">
        <f>AVERAGE('[25]Assumptions &amp; WACC'!$B$19:$F$19)</f>
        <v>0.12140933673623042</v>
      </c>
      <c r="AI7" s="194">
        <f>AVERAGE('[25]Assumptions &amp; WACC'!$B$20:$F$20)</f>
        <v>0.87859066326376956</v>
      </c>
      <c r="AJ7" s="148">
        <f>AVERAGE('[35]WACC &amp; Key Assumptions'!$B$15:$F$15)</f>
        <v>0.13053886791064437</v>
      </c>
      <c r="AK7" s="148">
        <f>1-Table164[[#This Row],[Debt weight India]]</f>
        <v>0.8694611320893556</v>
      </c>
      <c r="AL7" s="148">
        <f t="shared" si="15"/>
        <v>6.4979999999999996E-2</v>
      </c>
      <c r="AM7" s="148">
        <f t="shared" si="16"/>
        <v>3.746E-2</v>
      </c>
      <c r="AN7" s="148">
        <f t="shared" si="2"/>
        <v>6.9349999999999995E-2</v>
      </c>
      <c r="AO7" s="148">
        <f t="shared" si="3"/>
        <v>3.7900000000000003E-2</v>
      </c>
      <c r="AP7" s="148">
        <f>AVERAGE('[35]WACC &amp; Key Assumptions'!$B$10:$F$10)</f>
        <v>8.7447021755064885E-2</v>
      </c>
      <c r="AQ7" s="148">
        <f>AVERAGE('[25]Assumptions &amp; WACC'!$B$15:$F$15)</f>
        <v>3.8702989658989412E-2</v>
      </c>
      <c r="AR7" s="148">
        <f>Table164[[#This Row],[Rf-India]]+(Table164[[#This Row],[ERP-India]]*Table164[[#This Row],[Beta-India]])</f>
        <v>0.13842538102999999</v>
      </c>
      <c r="AS7" s="148">
        <f>Table164[[#This Row],[Rf-US]]+(Table164[[#This Row],[ERP-US]]*Table164[[#This Row],[Beta-US]])</f>
        <v>8.010645956000001E-2</v>
      </c>
      <c r="AT7" s="183">
        <f>(0.67*Table164[[#This Row],[Beta India]])+(0.33*1)</f>
        <v>1.0590538</v>
      </c>
      <c r="AU7" s="183">
        <f>(Table164[[#This Row],[Beta US]]*0.67)+(0.33*1)</f>
        <v>1.1252364000000001</v>
      </c>
      <c r="AV7" s="148">
        <f>(Table164[[#This Row],[Ke-India]]*Table164[[#This Row],[Equity weight India]])+(Table164[[#This Row],[Debt weight India]]*Table164[[#This Row],[Kd-India]])</f>
        <v>0.13177072372230786</v>
      </c>
      <c r="AW7" s="148">
        <f>SUMPRODUCT(Table164[[#This Row],[Equity weight US]],Table164[[#This Row],[Ke-US]])+SUMPRODUCT(Table164[[#This Row],[Debt weight US]],Table164[[#This Row],[Kd-US]])</f>
        <v>7.5079691740739835E-2</v>
      </c>
      <c r="AY7" s="1" t="str">
        <f>Table164[[#This Row],[Sector]]</f>
        <v>Infrastructure</v>
      </c>
      <c r="AZ7" s="55">
        <f>AVERAGE('[35]WACC &amp; Key Assumptions'!$B$20:$F$20)</f>
        <v>6.490282525735494E-2</v>
      </c>
      <c r="BA7" s="55">
        <v>2.7527021945331898E-2</v>
      </c>
      <c r="BC7" s="1" t="str">
        <f>'USI-3'!AF19</f>
        <v>Bajaj Housing Finance</v>
      </c>
      <c r="BD7" s="194">
        <f t="shared" si="4"/>
        <v>6.4979999999999996E-2</v>
      </c>
      <c r="BE7" s="194">
        <f t="shared" si="5"/>
        <v>6.9349999999999995E-2</v>
      </c>
      <c r="BF7" s="221">
        <f>'[31]Company Profile'!$G$7</f>
        <v>1.4239999999999999</v>
      </c>
      <c r="BG7" s="180">
        <f t="shared" si="6"/>
        <v>1.2840800000000001</v>
      </c>
      <c r="BH7" s="194">
        <f t="shared" si="7"/>
        <v>0.154030948</v>
      </c>
      <c r="BI7" s="194">
        <f>'[31]Input &amp; Assumptions-Banks'!$F$8</f>
        <v>9.7882077739428683E-2</v>
      </c>
      <c r="BJ7" s="194">
        <f>[31]WACC!$G$6</f>
        <v>0.21399102890590571</v>
      </c>
      <c r="BK7" s="194">
        <f t="shared" si="8"/>
        <v>0.78600897109409429</v>
      </c>
      <c r="BL7" s="194">
        <f t="shared" si="9"/>
        <v>0.10989743225839255</v>
      </c>
      <c r="BN7" s="1" t="str">
        <f>'USI-5'!A42</f>
        <v>Wells Fargo</v>
      </c>
      <c r="BO7" s="194">
        <f t="shared" si="10"/>
        <v>3.746E-2</v>
      </c>
      <c r="BP7" s="194">
        <f t="shared" si="11"/>
        <v>3.7900000000000003E-2</v>
      </c>
      <c r="BQ7" s="221">
        <f>'[21]Company Profile'!$H$3</f>
        <v>1.2174</v>
      </c>
      <c r="BR7" s="180">
        <f t="shared" si="12"/>
        <v>1.1456580000000001</v>
      </c>
      <c r="BS7" s="194">
        <f t="shared" si="13"/>
        <v>8.0880438200000015E-2</v>
      </c>
    </row>
    <row r="8" spans="1:75" x14ac:dyDescent="0.3">
      <c r="A8" s="1" t="str">
        <f>Table164[[#This Row],[Sector]]</f>
        <v>IT</v>
      </c>
      <c r="B8" s="180">
        <f>AVERAGE('[36]Financial Ratios'!$C$18:$G$18,'[36]Financial Ratios'!$K$18:$O$18,'[36]Financial Ratios'!$S$18:$W$18,'[36]Financial Ratios'!$AA$18:$AE$18,'[36]Financial Ratios'!$AI$18:$AM$18)</f>
        <v>8.5823750374152311E-2</v>
      </c>
      <c r="C8" s="180">
        <f>AVERAGE('[36]Financial Ratios'!$C$19:$G$19,'[36]Financial Ratios'!$K$19:$O$19,'[36]Financial Ratios'!$S$19:$W$19,'[36]Financial Ratios'!$AA$19:$AE$19,'[36]Financial Ratios'!$AI$19:$AM$19)</f>
        <v>52.518680188372315</v>
      </c>
      <c r="D8" s="210">
        <f>Table144[[#This Row],[Avg EBITDA Margin]]</f>
        <v>0.26657634423989957</v>
      </c>
      <c r="E8" s="180">
        <f>AVERAGE('[36]Financial Ratios'!$C$16:$G$16,'[36]Financial Ratios'!$S$16:$W$16,'[36]Financial Ratios'!$AA$16:$AE$16,'[36]Financial Ratios'!$AI$16:$AM$16)</f>
        <v>2.6184950865635774</v>
      </c>
      <c r="F8" s="180">
        <f>'USI-3'!O7</f>
        <v>1.9488797725751701</v>
      </c>
      <c r="G8" s="180"/>
      <c r="H8" s="180" t="str">
        <f t="shared" si="14"/>
        <v>Minerals</v>
      </c>
      <c r="I8" s="180">
        <f t="shared" si="1"/>
        <v>0.56000000000000005</v>
      </c>
      <c r="J8" s="180">
        <f t="shared" si="1"/>
        <v>65.999254585129066</v>
      </c>
      <c r="K8" s="180">
        <f t="shared" si="1"/>
        <v>0.24592832343736523</v>
      </c>
      <c r="L8" s="180">
        <f t="shared" si="1"/>
        <v>1.192714327646786</v>
      </c>
      <c r="M8" s="180">
        <f t="shared" si="1"/>
        <v>0.62571330427586824</v>
      </c>
      <c r="AC8" s="1" t="str">
        <f>'Cross-Sector US'!A8</f>
        <v>IT</v>
      </c>
      <c r="AD8" s="191">
        <f>AVERAGE([36]WACC!$B$15:$F$15)</f>
        <v>0.13329440257577241</v>
      </c>
      <c r="AE8" s="191">
        <f>AVERAGE('[26]Assumptions &amp; WACC'!$B$21:$F$21)</f>
        <v>9.0400338809780684E-2</v>
      </c>
      <c r="AF8" s="180">
        <f>AVERAGE('[26]Assumptions &amp; WACC'!$B$11:$F$11)</f>
        <v>1.1133999999999999</v>
      </c>
      <c r="AG8" s="180">
        <f>AVERAGE([36]WACC!$B$4:$F$4)</f>
        <v>0.92103999999999997</v>
      </c>
      <c r="AH8" s="194">
        <f>AVERAGE('[26]Assumptions &amp; WACC'!$B$19:$F$19)</f>
        <v>5.6890161426719578E-2</v>
      </c>
      <c r="AI8" s="194">
        <f>AVERAGE('[26]Assumptions &amp; WACC'!$B$20:$F$20)</f>
        <v>0.94310983857328046</v>
      </c>
      <c r="AJ8" s="148">
        <f>AVERAGE([36]WACC!$B$14:$F$14)</f>
        <v>1.8901246088097512E-2</v>
      </c>
      <c r="AK8" s="148">
        <f>1-Table164[[#This Row],[Debt weight India]]</f>
        <v>0.98109875391190249</v>
      </c>
      <c r="AL8" s="148">
        <f t="shared" si="15"/>
        <v>6.4979999999999996E-2</v>
      </c>
      <c r="AM8" s="148">
        <f t="shared" si="16"/>
        <v>3.746E-2</v>
      </c>
      <c r="AN8" s="148">
        <f t="shared" si="2"/>
        <v>6.9349999999999995E-2</v>
      </c>
      <c r="AO8" s="148">
        <f t="shared" si="3"/>
        <v>3.7900000000000003E-2</v>
      </c>
      <c r="AP8" s="148">
        <f>AVERAGE([36]WACC!$B$9:$C$9,[36]WACC!$E$9:$F$9)</f>
        <v>5.6566878291193001E-2</v>
      </c>
      <c r="AQ8" s="148">
        <f>AVERAGE('[26]Assumptions &amp; WACC'!$B$15:$F$15)</f>
        <v>4.8227707400844574E-2</v>
      </c>
      <c r="AR8" s="148">
        <f>Table164[[#This Row],[Rf-India]]+(Table164[[#This Row],[ERP-India]]*Table164[[#This Row],[Beta-India]])</f>
        <v>0.13066116307999998</v>
      </c>
      <c r="AS8" s="148">
        <f>Table164[[#This Row],[Rf-US]]+(Table164[[#This Row],[ERP-US]]*Table164[[#This Row],[Beta-US]])</f>
        <v>7.8239566199999999E-2</v>
      </c>
      <c r="AT8" s="183">
        <f>(0.67*Table164[[#This Row],[Beta India]])+(0.33*1)</f>
        <v>0.94709679999999996</v>
      </c>
      <c r="AU8" s="183">
        <f>(Table164[[#This Row],[Beta US]]*0.67)+(0.33*1)</f>
        <v>1.0759780000000001</v>
      </c>
      <c r="AV8" s="148">
        <f>(Table164[[#This Row],[Ke-India]]*Table164[[#This Row],[Equity weight India]])+(Table164[[#This Row],[Debt weight India]]*Table164[[#This Row],[Kd-India]])</f>
        <v>0.12926068876948515</v>
      </c>
      <c r="AW8" s="148">
        <f>SUMPRODUCT(Table164[[#This Row],[Equity weight US]],Table164[[#This Row],[Ke-US]])+SUMPRODUCT(Table164[[#This Row],[Debt weight US]],Table164[[#This Row],[Kd-US]])</f>
        <v>7.6532186708200139E-2</v>
      </c>
      <c r="AY8" s="1" t="str">
        <f>Table164[[#This Row],[Sector]]</f>
        <v>IT</v>
      </c>
      <c r="AZ8" s="55">
        <f>AVERAGE([36]Valuation!$C$9,[36]Valuation!$M$9,[36]Valuation!$W$9,[36]Valuation!$AG$9,[36]Valuation!$AQ$9)</f>
        <v>2.0057029363321811E-2</v>
      </c>
      <c r="BA8" s="55">
        <v>8.8067347920807657E-2</v>
      </c>
      <c r="BC8" s="1" t="str">
        <f>'USI-3'!AF20</f>
        <v>Muthoot Finance</v>
      </c>
      <c r="BD8" s="194">
        <f t="shared" si="4"/>
        <v>6.4979999999999996E-2</v>
      </c>
      <c r="BE8" s="194">
        <f t="shared" si="5"/>
        <v>6.9349999999999995E-2</v>
      </c>
      <c r="BF8" s="221">
        <f>'[31]Company Profile'!$H$7</f>
        <v>0.7621</v>
      </c>
      <c r="BG8" s="180">
        <f t="shared" si="6"/>
        <v>0.8406070000000001</v>
      </c>
      <c r="BH8" s="194">
        <f t="shared" si="7"/>
        <v>0.12327609545</v>
      </c>
      <c r="BI8" s="194">
        <f>'[31]Input &amp; Assumptions-Banks'!$H$8</f>
        <v>0.10686095219356095</v>
      </c>
      <c r="BJ8" s="194">
        <f>[31]WACC!$I$6</f>
        <v>0.28066425346308965</v>
      </c>
      <c r="BK8" s="194">
        <f t="shared" si="8"/>
        <v>0.71933574653691035</v>
      </c>
      <c r="BL8" s="194">
        <f t="shared" si="9"/>
        <v>0.11146809612111909</v>
      </c>
      <c r="BN8" s="1" t="s">
        <v>435</v>
      </c>
      <c r="BO8" s="194">
        <f t="shared" si="10"/>
        <v>3.746E-2</v>
      </c>
      <c r="BP8" s="194">
        <f t="shared" si="11"/>
        <v>3.7900000000000003E-2</v>
      </c>
      <c r="BQ8" s="221">
        <f>'[21]Company Profile'!$E$3</f>
        <v>1.4883</v>
      </c>
      <c r="BR8" s="180">
        <f t="shared" si="12"/>
        <v>1.327161</v>
      </c>
      <c r="BS8" s="194">
        <f t="shared" si="13"/>
        <v>8.7759401900000006E-2</v>
      </c>
      <c r="BT8" s="194">
        <f>'[21]Assumptions &amp; WACC'!$J$18</f>
        <v>6.6445452341365285E-2</v>
      </c>
      <c r="BU8" s="194">
        <f>'[21]Assumptions &amp; WACC'!$J$19</f>
        <v>0.93355454765863477</v>
      </c>
      <c r="BV8" s="194">
        <f>'[21]Assumptions &amp; WACC'!$J$14</f>
        <v>2.7227618040196168E-2</v>
      </c>
      <c r="BW8" s="194">
        <f>(BS8*BU8)+(BT8*BV8)</f>
        <v>8.3737340140405583E-2</v>
      </c>
    </row>
    <row r="9" spans="1:75" x14ac:dyDescent="0.3">
      <c r="A9" s="1" t="str">
        <f>Table164[[#This Row],[Sector]]</f>
        <v>Minerals</v>
      </c>
      <c r="B9" s="180">
        <v>0.56000000000000005</v>
      </c>
      <c r="C9" s="180">
        <f>AVERAGE('[37]Financial Ratios'!$B$10:$G$10,'[37]Financial Ratios'!$J$10:$O$10,'[37]Financial Ratios'!$R$10:$W$10,'[37]Financial Ratios'!$Z$10:$AE$10,'[37]Financial Ratios'!$AH$10:$AM$10,'[37]Financial Ratios'!$AP$10:$AU$10)</f>
        <v>65.999254585129066</v>
      </c>
      <c r="D9" s="210">
        <f>Table144[[#This Row],[Avg EBITDA Margin]]</f>
        <v>0.24592832343736523</v>
      </c>
      <c r="E9" s="180">
        <f>AVERAGE('[37]Financial Ratios'!$B$7:$G$7,'[37]Financial Ratios'!$J$7:$O$7,'[37]Financial Ratios'!$R$7:$W$7,'[37]Financial Ratios'!$Z$7:$AE$7,'[37]Financial Ratios'!$AH$7:$AM$7,'[37]Financial Ratios'!$AP$7:$AU$7)</f>
        <v>1.192714327646786</v>
      </c>
      <c r="F9" s="180">
        <f>'USI-3'!O8</f>
        <v>0.62571330427586824</v>
      </c>
      <c r="G9" s="180"/>
      <c r="H9" s="180" t="str">
        <f t="shared" si="14"/>
        <v>Oil &amp; Gas</v>
      </c>
      <c r="I9" s="180">
        <f t="shared" si="1"/>
        <v>0.7146500676523595</v>
      </c>
      <c r="J9" s="180">
        <f t="shared" si="1"/>
        <v>11.261624371918236</v>
      </c>
      <c r="K9" s="180">
        <f t="shared" si="1"/>
        <v>9.6379759375597215E-2</v>
      </c>
      <c r="L9" s="180">
        <f t="shared" si="1"/>
        <v>0.42226350657574041</v>
      </c>
      <c r="M9" s="180">
        <f t="shared" si="1"/>
        <v>0.19018045661174859</v>
      </c>
      <c r="R9" s="196" t="s">
        <v>11</v>
      </c>
      <c r="S9" s="196" t="s">
        <v>296</v>
      </c>
      <c r="T9" s="196" t="s">
        <v>313</v>
      </c>
      <c r="U9" s="196" t="s">
        <v>297</v>
      </c>
      <c r="V9" s="196" t="s">
        <v>177</v>
      </c>
      <c r="W9" s="196" t="s">
        <v>298</v>
      </c>
      <c r="X9" s="196" t="s">
        <v>299</v>
      </c>
      <c r="Y9" s="196" t="s">
        <v>300</v>
      </c>
      <c r="Z9" s="196" t="s">
        <v>301</v>
      </c>
      <c r="AA9" s="196" t="s">
        <v>302</v>
      </c>
      <c r="AC9" s="1" t="str">
        <f>'Cross-Sector US'!A9</f>
        <v>Minerals</v>
      </c>
      <c r="AD9" s="191">
        <f>AVERAGE([37]WACC!$B$18:$G$18)</f>
        <v>0.13011739807932576</v>
      </c>
      <c r="AE9" s="191">
        <f>AVERAGE('[27]Assumptions &amp; WACC'!$B$21:$G$21)</f>
        <v>8.5489916372058591E-2</v>
      </c>
      <c r="AF9" s="180">
        <f>AVERAGE('[27]Assumptions &amp; WACC'!$B$11:$G$11)</f>
        <v>1.3111666666666666</v>
      </c>
      <c r="AG9" s="180">
        <f>AVERAGE([37]WACC!$B$5:$G$5)</f>
        <v>1.14655</v>
      </c>
      <c r="AH9" s="194">
        <f>AVERAGE('[27]Assumptions &amp; WACC'!$B$19:$G$19)</f>
        <v>0.3351872573936075</v>
      </c>
      <c r="AI9" s="194">
        <f>AVERAGE('[27]Assumptions &amp; WACC'!$B$20:$G$20)</f>
        <v>0.66481274260639234</v>
      </c>
      <c r="AJ9" s="148">
        <f>AVERAGE([37]WACC!$B$17:$G$17)</f>
        <v>0.16806969459700746</v>
      </c>
      <c r="AK9" s="148">
        <f>1-Table164[[#This Row],[Debt weight India]]</f>
        <v>0.83193030540299251</v>
      </c>
      <c r="AL9" s="148">
        <f t="shared" si="15"/>
        <v>6.4979999999999996E-2</v>
      </c>
      <c r="AM9" s="148">
        <f t="shared" si="16"/>
        <v>3.746E-2</v>
      </c>
      <c r="AN9" s="148">
        <f t="shared" si="2"/>
        <v>6.9349999999999995E-2</v>
      </c>
      <c r="AO9" s="148">
        <f t="shared" si="3"/>
        <v>3.7900000000000003E-2</v>
      </c>
      <c r="AP9" s="148">
        <f>AVERAGE([37]WACC!$B$12:$G$12)</f>
        <v>5.7758164674346246E-2</v>
      </c>
      <c r="AQ9" s="148">
        <f>AVERAGE('[27]Assumptions &amp; WACC'!$B$15:$G$15)</f>
        <v>3.7265081994897205E-2</v>
      </c>
      <c r="AR9" s="148">
        <f>Table164[[#This Row],[Rf-India]]+(Table164[[#This Row],[ERP-India]]*Table164[[#This Row],[Beta-India]])</f>
        <v>0.141139372475</v>
      </c>
      <c r="AS9" s="148">
        <f>Table164[[#This Row],[Rf-US]]+(Table164[[#This Row],[ERP-US]]*Table164[[#This Row],[Beta-US]])</f>
        <v>8.3261455166666665E-2</v>
      </c>
      <c r="AT9" s="183">
        <f>(0.67*Table164[[#This Row],[Beta India]])+(0.33*1)</f>
        <v>1.0981885</v>
      </c>
      <c r="AU9" s="183">
        <f>(Table164[[#This Row],[Beta US]]*0.67)+(0.33*1)</f>
        <v>1.2084816666666667</v>
      </c>
      <c r="AV9" s="148">
        <f>(Table164[[#This Row],[Ke-India]]*Table164[[#This Row],[Equity weight India]])+(Table164[[#This Row],[Debt weight India]]*Table164[[#This Row],[Kd-India]])</f>
        <v>0.1271255183448145</v>
      </c>
      <c r="AW9" s="148">
        <f>SUMPRODUCT(Table164[[#This Row],[Equity weight US]],Table164[[#This Row],[Ke-US]])+SUMPRODUCT(Table164[[#This Row],[Debt weight US]],Table164[[#This Row],[Kd-US]])</f>
        <v>6.7844056993168339E-2</v>
      </c>
      <c r="AY9" s="1" t="str">
        <f>Table164[[#This Row],[Sector]]</f>
        <v>Minerals</v>
      </c>
      <c r="AZ9" s="55">
        <f>AVERAGE([37]DCF!$C$10,[37]DCF!$L$10,[37]DCF!$U$10,[37]DCF!$AM$10,[37]DCF!$AV$10)</f>
        <v>8.9631233536890342E-2</v>
      </c>
      <c r="BA9" s="55">
        <v>9.0208227623966727E-2</v>
      </c>
    </row>
    <row r="10" spans="1:75" x14ac:dyDescent="0.3">
      <c r="A10" s="1" t="str">
        <f>Table164[[#This Row],[Sector]]</f>
        <v>Oil &amp; Gas</v>
      </c>
      <c r="B10" s="180">
        <f>AVERAGE('[38]Financial Ratios'!$C$7:$H$7,'[38]Financial Ratios'!$L$7:$Q$7,'[38]Financial Ratios'!$U$7:$Z$7,'[38]Financial Ratios'!$AD$7:$AI$7,'[38]Financial Ratios'!$AM$7:$AR$7,'[38]Financial Ratios'!$AV$7:$BA$7)</f>
        <v>0.7146500676523595</v>
      </c>
      <c r="C10" s="180">
        <f>AVERAGE('[38]Financial Ratios'!$C$9:$H$9,'[38]Financial Ratios'!$L$9:$Q$9,'[38]Financial Ratios'!$U$9:$Z$9,'[38]Financial Ratios'!$AD$9:$AI$9,'[38]Financial Ratios'!$AM$9:$AR$9,'[38]Financial Ratios'!$AV$9:$BA$9)</f>
        <v>11.261624371918236</v>
      </c>
      <c r="D10" s="210">
        <f>Table144[[#This Row],[Avg EBITDA Margin]]</f>
        <v>9.6379759375597215E-2</v>
      </c>
      <c r="E10" s="180">
        <f>AVERAGE('[38]Financial Ratios'!$C$6:$H$6,'[38]Financial Ratios'!$L$6:$Q$6,'[38]Financial Ratios'!$U$6:$Z$6,'[38]Financial Ratios'!$AD$6:$AI$6,'[38]Financial Ratios'!$AM$6:$AR$6,'[38]Financial Ratios'!$AV$6:$BA$6)</f>
        <v>0.42226350657574041</v>
      </c>
      <c r="F10" s="180">
        <f>'USI-3'!O9</f>
        <v>0.19018045661174859</v>
      </c>
      <c r="G10" s="180"/>
      <c r="H10" s="180" t="str">
        <f t="shared" si="14"/>
        <v>Pharma</v>
      </c>
      <c r="I10" s="180">
        <f t="shared" si="1"/>
        <v>0.19606709615253612</v>
      </c>
      <c r="J10" s="180">
        <f t="shared" si="1"/>
        <v>411.9189225103072</v>
      </c>
      <c r="K10" s="180">
        <f t="shared" si="1"/>
        <v>0.28353537352030667</v>
      </c>
      <c r="L10" s="180">
        <f t="shared" si="1"/>
        <v>1.9735605619002508</v>
      </c>
      <c r="M10" s="180">
        <f t="shared" si="1"/>
        <v>2.7395831436744174</v>
      </c>
      <c r="R10" s="132">
        <f>R2</f>
        <v>2026</v>
      </c>
      <c r="S10" s="148">
        <f>AVERAGE(0.0654,0.0672)</f>
        <v>6.6299999999999998E-2</v>
      </c>
      <c r="T10" s="180">
        <f>(0.67*$S$17)+(0.33*1)</f>
        <v>1.0575306690484325</v>
      </c>
      <c r="U10" s="148">
        <f>AVERAGE(0.069,0.072)</f>
        <v>7.0500000000000007E-2</v>
      </c>
      <c r="V10" s="194">
        <f>S10+(T10*U10)</f>
        <v>0.14085591216791449</v>
      </c>
      <c r="W10" s="148">
        <v>7.5999999999999998E-2</v>
      </c>
      <c r="X10" s="194">
        <f>$AJ$13</f>
        <v>0.22979526447923398</v>
      </c>
      <c r="Y10" s="194">
        <f>$AK$13</f>
        <v>0.77020473552076607</v>
      </c>
      <c r="Z10" s="148">
        <v>0.22</v>
      </c>
      <c r="AA10" s="194">
        <f>(V10*Y10)+((W10*(1-Z10))*X10)</f>
        <v>0.12211015385615383</v>
      </c>
      <c r="AC10" s="1" t="str">
        <f>'Cross-Sector US'!A10</f>
        <v>Oil &amp; Gas</v>
      </c>
      <c r="AD10" s="191">
        <f>AVERAGE([38]WACC!$B$17:$G$17)</f>
        <v>0.1325947321836787</v>
      </c>
      <c r="AE10" s="191">
        <f>AVERAGE('[28]Assumptions &amp; WACC'!$B$21:$F$21)</f>
        <v>7.8288857882450921E-2</v>
      </c>
      <c r="AF10" s="180">
        <f>AVERAGE('[28]Assumptions &amp; WACC'!$B$11:$F$11)</f>
        <v>0.7561199999999999</v>
      </c>
      <c r="AG10" s="180">
        <f>AVERAGE([38]WACC!$B$5:$G$5)</f>
        <v>1.2428833333333333</v>
      </c>
      <c r="AH10" s="194">
        <f>AVERAGE('[28]Assumptions &amp; WACC'!$B$19:$F$19)</f>
        <v>0.18310521789869372</v>
      </c>
      <c r="AI10" s="194">
        <f>AVERAGE('[28]Assumptions &amp; WACC'!$B$20:$F$20)</f>
        <v>0.81689478210130628</v>
      </c>
      <c r="AJ10" s="148">
        <f>AVERAGE([38]WACC!$B$16:$G$16)</f>
        <v>0.26030996121689881</v>
      </c>
      <c r="AK10" s="148">
        <f>1-Table164[[#This Row],[Debt weight India]]</f>
        <v>0.73969003878310113</v>
      </c>
      <c r="AL10" s="148">
        <f t="shared" si="15"/>
        <v>6.4979999999999996E-2</v>
      </c>
      <c r="AM10" s="148">
        <f t="shared" si="16"/>
        <v>3.746E-2</v>
      </c>
      <c r="AN10" s="148">
        <f t="shared" si="2"/>
        <v>6.9349999999999995E-2</v>
      </c>
      <c r="AO10" s="148">
        <f t="shared" si="3"/>
        <v>3.7900000000000003E-2</v>
      </c>
      <c r="AP10" s="148">
        <f>AVERAGE([38]WACC!$B$12:$G$12)</f>
        <v>4.7208299308103337E-2</v>
      </c>
      <c r="AQ10" s="148">
        <f>AVERAGE('[28]Assumptions &amp; WACC'!$B$15:$F$15)</f>
        <v>2.5439320736959294E-2</v>
      </c>
      <c r="AR10" s="148">
        <f>Table164[[#This Row],[Rf-India]]+(Table164[[#This Row],[ERP-India]]*Table164[[#This Row],[Beta-India]])</f>
        <v>0.14561545264166664</v>
      </c>
      <c r="AS10" s="148">
        <f>Table164[[#This Row],[Rf-US]]+(Table164[[#This Row],[ERP-US]]*Table164[[#This Row],[Beta-US]])</f>
        <v>6.9167155159999993E-2</v>
      </c>
      <c r="AT10" s="183">
        <f>(0.67*Table164[[#This Row],[Beta India]])+(0.33*1)</f>
        <v>1.1627318333333334</v>
      </c>
      <c r="AU10" s="183">
        <f>(Table164[[#This Row],[Beta US]]*0.67)+(0.33*1)</f>
        <v>0.83660040000000002</v>
      </c>
      <c r="AV10" s="148">
        <f>(Table164[[#This Row],[Ke-India]]*Table164[[#This Row],[Equity weight India]])+(Table164[[#This Row],[Debt weight India]]*Table164[[#This Row],[Kd-India]])</f>
        <v>0.11999909037394135</v>
      </c>
      <c r="AW10" s="148">
        <f>SUMPRODUCT(Table164[[#This Row],[Equity weight US]],Table164[[#This Row],[Ke-US]])+SUMPRODUCT(Table164[[#This Row],[Debt weight US]],Table164[[#This Row],[Kd-US]])</f>
        <v>6.1160360509731129E-2</v>
      </c>
      <c r="AY10" s="1" t="str">
        <f>Table164[[#This Row],[Sector]]</f>
        <v>Oil &amp; Gas</v>
      </c>
      <c r="AZ10" s="55">
        <v>4.1099999999999998E-2</v>
      </c>
      <c r="BA10" s="55">
        <v>6.501185327003664E-2</v>
      </c>
    </row>
    <row r="11" spans="1:75" x14ac:dyDescent="0.3">
      <c r="A11" s="1" t="str">
        <f>Table164[[#This Row],[Sector]]</f>
        <v>Pharma</v>
      </c>
      <c r="B11" s="180">
        <f>AVERAGE('[39]Ratio Analysis'!$B$16:$G$16,'[39]Ratio Analysis'!$J$16:$O$16,'[39]Ratio Analysis'!$R$16:$W$16,'[39]Ratio Analysis'!$Z$16:$AE$16,'[39]Ratio Analysis'!$AH$16:$AM$16,'[39]Ratio Analysis'!$AP$16:$AU$16)</f>
        <v>0.19606709615253612</v>
      </c>
      <c r="C11" s="180">
        <f>AVERAGE('[39]Ratio Analysis'!$B$18:$G$18,'[39]Ratio Analysis'!$J$18:$O$18,'[39]Ratio Analysis'!$R$18:$W$18,'[39]Ratio Analysis'!$Z$18:$AE$18,'[39]Ratio Analysis'!$AH$18:$AM$18,'[39]Ratio Analysis'!$AP$18:$AU$18)</f>
        <v>411.9189225103072</v>
      </c>
      <c r="D11" s="210">
        <f>Table144[[#This Row],[Avg EBITDA Margin]]</f>
        <v>0.28353537352030667</v>
      </c>
      <c r="E11" s="180">
        <f>AVERAGE('[39]Ratio Analysis'!$B$13:$G$13,'[39]Ratio Analysis'!$J$13:$O$13,'[39]Ratio Analysis'!$R$13:$W$13,'[39]Ratio Analysis'!$Z$13:$AE$13,'[39]Ratio Analysis'!$AH$13:$AM$13,'[39]Ratio Analysis'!$AP$13:$AU$13)</f>
        <v>1.9735605619002508</v>
      </c>
      <c r="F11" s="180">
        <f>'USI-3'!O10</f>
        <v>2.7395831436744174</v>
      </c>
      <c r="G11" s="180"/>
      <c r="H11" s="180" t="str">
        <f t="shared" si="14"/>
        <v>Telecom</v>
      </c>
      <c r="I11" s="180">
        <f t="shared" si="1"/>
        <v>2.9252909637511997</v>
      </c>
      <c r="J11" s="180">
        <f t="shared" si="1"/>
        <v>21.19949122070253</v>
      </c>
      <c r="K11" s="180">
        <f t="shared" si="1"/>
        <v>0.39614963207984882</v>
      </c>
      <c r="L11" s="180">
        <f t="shared" si="1"/>
        <v>0.63219755479678486</v>
      </c>
      <c r="M11" s="180">
        <f t="shared" si="1"/>
        <v>0.89102341836769938</v>
      </c>
      <c r="R11" s="132">
        <f>R3</f>
        <v>2027</v>
      </c>
      <c r="S11" s="148">
        <f>AVERAGE(0.0642,0.067)</f>
        <v>6.5599999999999992E-2</v>
      </c>
      <c r="T11" s="180">
        <f>(0.67*$S$17)+(0.33*1)</f>
        <v>1.0575306690484325</v>
      </c>
      <c r="U11" s="148">
        <f>AVERAGE(0.068,0.071)</f>
        <v>6.9500000000000006E-2</v>
      </c>
      <c r="V11" s="194">
        <f>S11+(T11*U11)</f>
        <v>0.13909838149886605</v>
      </c>
      <c r="W11" s="148">
        <v>7.3999999999999996E-2</v>
      </c>
      <c r="X11" s="194">
        <f>$AJ$13</f>
        <v>0.22979526447923398</v>
      </c>
      <c r="Y11" s="194">
        <f>$AK$13</f>
        <v>0.77020473552076607</v>
      </c>
      <c r="Z11" s="148">
        <v>0.22</v>
      </c>
      <c r="AA11" s="194">
        <f>(V11*Y11)+((W11*(1-Z11))*X11)</f>
        <v>0.12039801479944214</v>
      </c>
      <c r="AC11" s="1" t="str">
        <f>'Cross-Sector US'!A11</f>
        <v>Pharma</v>
      </c>
      <c r="AD11" s="191">
        <f>AVERAGE([39]WACC!$B$16:$G$16)</f>
        <v>0.11639306514206932</v>
      </c>
      <c r="AE11" s="191">
        <f>AVERAGE('[29]Assumptions &amp; WACC'!$B$21:$F$21)</f>
        <v>5.569531856461557E-2</v>
      </c>
      <c r="AF11" s="180">
        <f>AVERAGE('[29]Assumptions &amp; WACC'!$B$11:$F$11)</f>
        <v>0.41776000000000002</v>
      </c>
      <c r="AG11" s="180">
        <f>AVERAGE([39]WACC!$B$4:$G$4)</f>
        <v>0.61283333333333323</v>
      </c>
      <c r="AH11" s="194">
        <f>AVERAGE('[29]Assumptions &amp; WACC'!$B$19:$F$19)</f>
        <v>0.17097244512589999</v>
      </c>
      <c r="AI11" s="194">
        <f>AVERAGE('[29]Assumptions &amp; WACC'!$B$20:$F$20)</f>
        <v>0.82902755487410007</v>
      </c>
      <c r="AJ11" s="148">
        <f>AVERAGE([39]WACC!$B$15:$G$15)</f>
        <v>2.5969812566082866E-2</v>
      </c>
      <c r="AK11" s="148">
        <f>1-Table164[[#This Row],[Debt weight India]]</f>
        <v>0.97403018743391712</v>
      </c>
      <c r="AL11" s="148">
        <f t="shared" si="15"/>
        <v>6.4979999999999996E-2</v>
      </c>
      <c r="AM11" s="148">
        <f t="shared" si="16"/>
        <v>3.746E-2</v>
      </c>
      <c r="AN11" s="148">
        <f t="shared" si="2"/>
        <v>6.9349999999999995E-2</v>
      </c>
      <c r="AO11" s="148">
        <f t="shared" si="3"/>
        <v>3.7900000000000003E-2</v>
      </c>
      <c r="AP11" s="148">
        <v>6.7599999999999993E-2</v>
      </c>
      <c r="AQ11" s="148">
        <f>AVERAGE('[29]Assumptions &amp; WACC'!$B$15:$F$15)</f>
        <v>2.373944005297686E-2</v>
      </c>
      <c r="AR11" s="148">
        <f>Table164[[#This Row],[Rf-India]]+(Table164[[#This Row],[ERP-India]]*Table164[[#This Row],[Beta-India]])</f>
        <v>0.11634049441666666</v>
      </c>
      <c r="AS11" s="148">
        <f>Table164[[#This Row],[Rf-US]]+(Table164[[#This Row],[ERP-US]]*Table164[[#This Row],[Beta-US]])</f>
        <v>6.0575179680000008E-2</v>
      </c>
      <c r="AT11" s="183">
        <f>(0.67*Table164[[#This Row],[Beta India]])+(0.33*1)</f>
        <v>0.74059833333333325</v>
      </c>
      <c r="AU11" s="183">
        <f>(Table164[[#This Row],[Beta US]]*0.67)+(0.33*1)</f>
        <v>0.60989920000000009</v>
      </c>
      <c r="AV11" s="148">
        <f>(Table164[[#This Row],[Ke-India]]*Table164[[#This Row],[Equity weight India]])+(Table164[[#This Row],[Debt weight India]]*Table164[[#This Row],[Kd-India]])</f>
        <v>0.11507471291228763</v>
      </c>
      <c r="AW11" s="148">
        <f>SUMPRODUCT(Table164[[#This Row],[Equity weight US]],Table164[[#This Row],[Ke-US]])+SUMPRODUCT(Table164[[#This Row],[Debt weight US]],Table164[[#This Row],[Kd-US]])</f>
        <v>5.4277283207946857E-2</v>
      </c>
      <c r="AY11" s="1" t="str">
        <f>Table164[[#This Row],[Sector]]</f>
        <v>Pharma</v>
      </c>
      <c r="AZ11" s="55">
        <f>AVERAGE('[39]Income Statement'!$B$28,'[39]Income Statement'!$J$37,'[39]Income Statement'!$R$32,'[39]Income Statement'!$Z$33,'[39]Income Statement'!$AH$32,'[39]Income Statement'!$AP$33)</f>
        <v>5.9537416199506941E-2</v>
      </c>
      <c r="BA11" s="55">
        <v>5.5160086080215297E-2</v>
      </c>
    </row>
    <row r="12" spans="1:75" x14ac:dyDescent="0.3">
      <c r="A12" s="1" t="str">
        <f>Table164[[#This Row],[Sector]]</f>
        <v>Telecom</v>
      </c>
      <c r="B12" s="180">
        <f>AVERAGE('[40]Ratio Analysis'!$C$9:$H$9,'[40]Ratio Analysis'!$L$9:$Q$9,'[40]Ratio Analysis'!$U$9:$Z$9,'[40]Ratio Analysis'!$AD$9:$AI$9,'[40]Ratio Analysis'!$AM$9:$AR$9,'[40]Ratio Analysis'!$AV$9:$BA$9)</f>
        <v>2.9252909637511997</v>
      </c>
      <c r="C12" s="180">
        <f>AVERAGE('[40]Ratio Analysis'!$C$21:$H$21,'[40]Ratio Analysis'!$L$21:$Q$21,'[40]Ratio Analysis'!$U$21:$Z$21,'[40]Ratio Analysis'!$AD$21:$AI$21,'[40]Ratio Analysis'!$AM$21:$AR$21,,'[40]Ratio Analysis'!$AV$21:$BA$21)</f>
        <v>21.19949122070253</v>
      </c>
      <c r="D12" s="210">
        <f>Table144[[#This Row],[Avg EBITDA Margin]]</f>
        <v>0.39614963207984882</v>
      </c>
      <c r="E12" s="180">
        <f>AVERAGE('[40]Ratio Analysis'!$C$8:$H$8,'[40]Ratio Analysis'!$L$8:$Q$8,'[40]Ratio Analysis'!$U$8:$Z$8,'[40]Ratio Analysis'!$AD$8:$AI$8,'[40]Ratio Analysis'!$AM$8:$AR$8,'[40]Ratio Analysis'!$AV$8:$BA$8)</f>
        <v>0.63219755479678486</v>
      </c>
      <c r="F12" s="180">
        <f>'USI-3'!O11</f>
        <v>0.89102341836769938</v>
      </c>
      <c r="G12" s="180"/>
      <c r="H12" s="180"/>
      <c r="I12" s="180"/>
      <c r="R12" s="132">
        <f>R4</f>
        <v>2028</v>
      </c>
      <c r="S12" s="148">
        <f>AVERAGE(0.0635,0.0665)</f>
        <v>6.5000000000000002E-2</v>
      </c>
      <c r="T12" s="180">
        <f>(0.67*$S$17)+(0.33*1)</f>
        <v>1.0575306690484325</v>
      </c>
      <c r="U12" s="148">
        <f>AVERAGE(0.068,0.07)</f>
        <v>6.9000000000000006E-2</v>
      </c>
      <c r="V12" s="194">
        <f>S12+(T12*U12)</f>
        <v>0.13796961616434184</v>
      </c>
      <c r="W12" s="148">
        <v>7.2999999999999995E-2</v>
      </c>
      <c r="X12" s="194">
        <f>$AJ$13</f>
        <v>0.22979526447923398</v>
      </c>
      <c r="Y12" s="194">
        <f>$AK$13</f>
        <v>0.77020473552076607</v>
      </c>
      <c r="Z12" s="148">
        <v>0.22</v>
      </c>
      <c r="AA12" s="194">
        <f>(V12*Y12)+((W12*(1-Z12))*X12)</f>
        <v>0.1193493940872061</v>
      </c>
      <c r="AC12" s="1" t="str">
        <f>'Cross-Sector US'!A12</f>
        <v>Telecom</v>
      </c>
      <c r="AD12" s="191">
        <f>AVERAGE([40]WACC!$B$20:$F$20,[40]WACC!$H$20)</f>
        <v>0.12444125086517183</v>
      </c>
      <c r="AE12" s="191">
        <f>AVERAGE('[30]Assumptions &amp; WACC'!$B$21:$F$21)</f>
        <v>5.2638527653732572E-2</v>
      </c>
      <c r="AF12" s="180">
        <f>AVERAGE('[30]Assumptions &amp; WACC'!$B$11:$F$11)</f>
        <v>0.64994000000000007</v>
      </c>
      <c r="AG12" s="180">
        <f>AVERAGE([40]WACC!$B$7:$F$7,[40]WACC!$H$7)</f>
        <v>1.0184543248179021</v>
      </c>
      <c r="AH12" s="194">
        <f>AVERAGE('[30]Assumptions &amp; WACC'!$B$19:$F$19)</f>
        <v>0.46429239051046167</v>
      </c>
      <c r="AI12" s="194">
        <f>AVERAGE('[30]Assumptions &amp; WACC'!$B$20:$F$20)</f>
        <v>0.53570760948953844</v>
      </c>
      <c r="AJ12" s="148">
        <f>AVERAGE([40]WACC!$B$18:$F$18,[40]WACC!$H$19)</f>
        <v>0.24094284185899709</v>
      </c>
      <c r="AK12" s="148">
        <f>1-Table164[[#This Row],[Debt weight India]]</f>
        <v>0.75905715814100294</v>
      </c>
      <c r="AL12" s="148">
        <f t="shared" si="15"/>
        <v>6.4979999999999996E-2</v>
      </c>
      <c r="AM12" s="148">
        <f t="shared" si="16"/>
        <v>3.746E-2</v>
      </c>
      <c r="AN12" s="148">
        <f t="shared" si="2"/>
        <v>6.9349999999999995E-2</v>
      </c>
      <c r="AO12" s="148">
        <f t="shared" si="3"/>
        <v>3.7900000000000003E-2</v>
      </c>
      <c r="AP12" s="148">
        <f>AVERAGE([40]WACC!$B$14:$F$14,[40]WACC!$H$15)</f>
        <v>7.9090043693142195E-2</v>
      </c>
      <c r="AQ12" s="148">
        <f>AVERAGE('[30]Assumptions &amp; WACC'!$B$15:$F$15)</f>
        <v>3.3133333408093255E-2</v>
      </c>
      <c r="AR12" s="148">
        <f>Table164[[#This Row],[Rf-India]]+(Table164[[#This Row],[ERP-India]]*Table164[[#This Row],[Beta-India]])</f>
        <v>0.13518747097550143</v>
      </c>
      <c r="AS12" s="148">
        <f>Table164[[#This Row],[Rf-US]]+(Table164[[#This Row],[ERP-US]]*Table164[[#This Row],[Beta-US]])</f>
        <v>6.6470926420000007E-2</v>
      </c>
      <c r="AT12" s="183">
        <f>(0.67*Table164[[#This Row],[Beta India]])+(0.33*1)</f>
        <v>1.0123643976279946</v>
      </c>
      <c r="AU12" s="183">
        <f>(Table164[[#This Row],[Beta US]]*0.67)+(0.33*1)</f>
        <v>0.76545980000000013</v>
      </c>
      <c r="AV12" s="148">
        <f>(Table164[[#This Row],[Ke-India]]*Table164[[#This Row],[Equity weight India]])+(Table164[[#This Row],[Debt weight India]]*Table164[[#This Row],[Kd-India]])</f>
        <v>0.12167119742511137</v>
      </c>
      <c r="AW12" s="148">
        <f>SUMPRODUCT(Table164[[#This Row],[Equity weight US]],Table164[[#This Row],[Ke-US]])+SUMPRODUCT(Table164[[#This Row],[Debt weight US]],Table164[[#This Row],[Kd-US]])</f>
        <v>5.0992535666636966E-2</v>
      </c>
      <c r="AY12" s="1" t="str">
        <f>Table164[[#This Row],[Sector]]</f>
        <v>Telecom</v>
      </c>
      <c r="AZ12" s="55">
        <f>AVERAGE([40]DCF!$C$10,[40]DCF!$L$10,[40]DCF!$U$10,[40]DCF!$AD$10,[40]DCF!$AM$10,[40]DCF!$AV$10)</f>
        <v>0.21151205184506519</v>
      </c>
      <c r="BA12" s="55">
        <v>0.13827726064606383</v>
      </c>
    </row>
    <row r="13" spans="1:75" x14ac:dyDescent="0.3">
      <c r="A13" s="141" t="str">
        <f>Table164[[#This Row],[Sector]]</f>
        <v>Average</v>
      </c>
      <c r="B13" s="208">
        <f>AVERAGE(B2:B12)</f>
        <v>0.84117333130865357</v>
      </c>
      <c r="C13" s="208">
        <f>AVERAGE(C2:C12)</f>
        <v>97.798285435006648</v>
      </c>
      <c r="D13" s="209">
        <f>AVERAGE(D2:D12)</f>
        <v>0.20931798750482397</v>
      </c>
      <c r="E13" s="208">
        <f>AVERAGE(E2:E12)</f>
        <v>1.2026642788834581</v>
      </c>
      <c r="F13" s="208">
        <f>AVERAGE(F2:F12)</f>
        <v>0.91765460524591358</v>
      </c>
      <c r="G13" s="208"/>
      <c r="H13" s="208"/>
      <c r="I13" s="208"/>
      <c r="R13" s="132">
        <f>R5</f>
        <v>2029</v>
      </c>
      <c r="S13" s="148">
        <f>AVERAGE(0.063,0.066)</f>
        <v>6.4500000000000002E-2</v>
      </c>
      <c r="T13" s="180">
        <f>(0.67*$S$17)+(0.33*1)</f>
        <v>1.0575306690484325</v>
      </c>
      <c r="U13" s="148">
        <f>AVERAGE(0.068,0.07)</f>
        <v>6.9000000000000006E-2</v>
      </c>
      <c r="V13" s="194">
        <f>S13+(T13*U13)</f>
        <v>0.13746961616434183</v>
      </c>
      <c r="W13" s="148">
        <v>7.1999999999999995E-2</v>
      </c>
      <c r="X13" s="194">
        <f>$AJ$13</f>
        <v>0.22979526447923398</v>
      </c>
      <c r="Y13" s="194">
        <f>$AK$13</f>
        <v>0.77020473552076607</v>
      </c>
      <c r="Z13" s="148">
        <v>0.22</v>
      </c>
      <c r="AA13" s="194">
        <f>(V13*Y13)+((W13*(1-Z13))*X13)</f>
        <v>0.11878505141315192</v>
      </c>
      <c r="AC13" s="141" t="str">
        <f>'Cross-Sector US'!A13</f>
        <v>Average</v>
      </c>
      <c r="AD13" s="192">
        <f t="shared" ref="AD13:AK13" si="17">AVERAGE(AD2:AD12)</f>
        <v>0.12588694428366784</v>
      </c>
      <c r="AE13" s="192">
        <f t="shared" si="17"/>
        <v>7.2244639845494979E-2</v>
      </c>
      <c r="AF13" s="193">
        <f t="shared" si="17"/>
        <v>0.88859887445887442</v>
      </c>
      <c r="AG13" s="193">
        <f t="shared" si="17"/>
        <v>1.0858666702215409</v>
      </c>
      <c r="AH13" s="192">
        <f t="shared" si="17"/>
        <v>0.27724840805931938</v>
      </c>
      <c r="AI13" s="192">
        <f t="shared" si="17"/>
        <v>0.72275159194068062</v>
      </c>
      <c r="AJ13" s="192">
        <f t="shared" si="17"/>
        <v>0.22979526447923398</v>
      </c>
      <c r="AK13" s="192">
        <f t="shared" si="17"/>
        <v>0.77020473552076607</v>
      </c>
      <c r="AL13" s="192">
        <f t="shared" ref="AL13:AW13" si="18">AVERAGE(AL2:AL12)</f>
        <v>6.498000000000001E-2</v>
      </c>
      <c r="AM13" s="192">
        <f t="shared" si="18"/>
        <v>3.746E-2</v>
      </c>
      <c r="AN13" s="192">
        <f t="shared" si="18"/>
        <v>6.9350000000000009E-2</v>
      </c>
      <c r="AO13" s="192">
        <f t="shared" si="18"/>
        <v>3.7899999999999996E-2</v>
      </c>
      <c r="AP13" s="192">
        <f t="shared" si="18"/>
        <v>7.1291619012887969E-2</v>
      </c>
      <c r="AQ13" s="192">
        <f t="shared" si="18"/>
        <v>3.1238935294284058E-2</v>
      </c>
      <c r="AR13" s="192">
        <f t="shared" si="18"/>
        <v>0.13831975189850879</v>
      </c>
      <c r="AS13" s="192">
        <f t="shared" si="18"/>
        <v>7.2531191219134192E-2</v>
      </c>
      <c r="AT13" s="220">
        <f t="shared" si="18"/>
        <v>1.0575306690484325</v>
      </c>
      <c r="AU13" s="220">
        <f t="shared" si="18"/>
        <v>0.92536124588744606</v>
      </c>
      <c r="AV13" s="192">
        <f t="shared" si="18"/>
        <v>0.12667685131076881</v>
      </c>
      <c r="AW13" s="192">
        <f t="shared" si="18"/>
        <v>6.2992677292932966E-2</v>
      </c>
      <c r="AY13" s="141" t="str">
        <f>Table164[[#This Row],[Sector]]</f>
        <v>Average</v>
      </c>
      <c r="AZ13" s="156">
        <f>AVERAGE(AZ2:AZ12)</f>
        <v>7.5931583057045143E-2</v>
      </c>
      <c r="BA13" s="156">
        <f>AVERAGE(BA2:BA12)</f>
        <v>9.8800503773703294E-2</v>
      </c>
    </row>
    <row r="14" spans="1:75" x14ac:dyDescent="0.3">
      <c r="R14" s="132">
        <f>R6</f>
        <v>2030</v>
      </c>
      <c r="S14" s="148">
        <f>AVERAGE(0.062,0.065)</f>
        <v>6.3500000000000001E-2</v>
      </c>
      <c r="T14" s="180">
        <f>(0.67*$S$17)+(0.33*1)</f>
        <v>1.0575306690484325</v>
      </c>
      <c r="U14" s="148">
        <f>AVERAGE(0.0675,0.07)</f>
        <v>6.8750000000000006E-2</v>
      </c>
      <c r="V14" s="194">
        <f>S14+(T14*U14)</f>
        <v>0.13620523349707975</v>
      </c>
      <c r="W14" s="148">
        <v>7.0999999999999994E-2</v>
      </c>
      <c r="X14" s="194">
        <f>$AJ$13</f>
        <v>0.22979526447923398</v>
      </c>
      <c r="Y14" s="194">
        <f>$AK$13</f>
        <v>0.77020473552076607</v>
      </c>
      <c r="Z14" s="148">
        <v>0.22</v>
      </c>
      <c r="AA14" s="194">
        <f>(V14*Y14)+((W14*(1-Z14))*X14)</f>
        <v>0.11763197758902247</v>
      </c>
    </row>
    <row r="15" spans="1:75" s="3" customFormat="1" ht="28.8" x14ac:dyDescent="0.3">
      <c r="A15" s="214" t="s">
        <v>8</v>
      </c>
      <c r="B15" s="215" t="str" cm="1">
        <f t="array" ref="B15:J15">Table169[[#Headers],[CAR]:[NPA Ratios]]</f>
        <v>CAR</v>
      </c>
      <c r="C15" s="215" t="str">
        <v>Tier 1</v>
      </c>
      <c r="D15" s="215" t="str">
        <v>CET 1</v>
      </c>
      <c r="E15" s="215" t="str">
        <v>LCR</v>
      </c>
      <c r="F15" s="215" t="str">
        <v>Provision Coverage</v>
      </c>
      <c r="G15" s="215" t="str">
        <v>NIM</v>
      </c>
      <c r="H15" s="215" t="str">
        <v>RoA</v>
      </c>
      <c r="I15" s="215" t="str">
        <v>RoE</v>
      </c>
      <c r="J15" s="215" t="str">
        <v>NPA Ratios</v>
      </c>
      <c r="K15" s="216" t="s">
        <v>330</v>
      </c>
      <c r="R15" s="103"/>
      <c r="X15" s="103"/>
      <c r="Y15" s="103"/>
      <c r="Z15" s="97" t="s">
        <v>311</v>
      </c>
      <c r="AA15" s="212">
        <f>AVERAGE(AA10:AA14)</f>
        <v>0.11965491834899529</v>
      </c>
      <c r="AD15" s="103"/>
      <c r="AE15" s="103"/>
      <c r="AF15" s="103"/>
      <c r="AG15" s="103"/>
      <c r="AH15" s="103"/>
      <c r="AI15" s="103"/>
      <c r="AJ15" s="103"/>
      <c r="AK15" s="103"/>
      <c r="AL15" s="103"/>
      <c r="AM15" s="103"/>
      <c r="AN15" s="103"/>
      <c r="AO15" s="103"/>
      <c r="AP15" s="103"/>
      <c r="AQ15" s="103"/>
      <c r="AR15" s="103"/>
      <c r="AS15" s="103"/>
      <c r="AT15" s="103"/>
      <c r="AU15" s="103"/>
      <c r="AV15" s="103"/>
      <c r="AW15" s="103"/>
      <c r="AZ15" s="133"/>
      <c r="BA15" s="133"/>
      <c r="BD15" s="103"/>
      <c r="BE15" s="103"/>
      <c r="BF15" s="103"/>
      <c r="BG15" s="103"/>
      <c r="BH15" s="103"/>
      <c r="BI15" s="103"/>
      <c r="BJ15" s="103"/>
      <c r="BK15" s="103"/>
      <c r="BL15" s="103"/>
      <c r="BO15" s="103"/>
      <c r="BP15" s="103"/>
      <c r="BQ15" s="103"/>
      <c r="BR15" s="103"/>
      <c r="BS15" s="103"/>
      <c r="BT15" s="103"/>
      <c r="BU15" s="103"/>
      <c r="BV15" s="103"/>
    </row>
    <row r="16" spans="1:75" s="3" customFormat="1" ht="43.2" x14ac:dyDescent="0.3">
      <c r="A16" s="108" t="s">
        <v>0</v>
      </c>
      <c r="B16" s="217" cm="1">
        <f t="array" ref="B16:J16">'USI-3'!B21:J21</f>
        <v>0.14797437411293632</v>
      </c>
      <c r="C16" s="217">
        <v>0.13614893053156291</v>
      </c>
      <c r="D16" s="217">
        <v>0.15925489335186996</v>
      </c>
      <c r="E16" s="217">
        <v>0.54371052078582083</v>
      </c>
      <c r="F16" s="217">
        <v>0.27326904381669148</v>
      </c>
      <c r="G16" s="217">
        <v>5.3389115547319635E-2</v>
      </c>
      <c r="H16" s="217">
        <v>2.1847262447600491E-2</v>
      </c>
      <c r="I16" s="217">
        <v>0.13922053540702214</v>
      </c>
      <c r="J16" s="217">
        <v>8.1085714285714268E-3</v>
      </c>
      <c r="K16" s="163">
        <f>'USI-3'!AD21</f>
        <v>0.47625831758614223</v>
      </c>
      <c r="R16" s="3" t="s">
        <v>303</v>
      </c>
      <c r="S16" s="105">
        <f>AF13</f>
        <v>0.88859887445887442</v>
      </c>
      <c r="X16" s="103"/>
      <c r="Y16" s="103"/>
      <c r="AD16" s="103"/>
      <c r="AE16" s="103"/>
      <c r="AF16" s="103"/>
      <c r="AG16" s="103"/>
      <c r="AH16" s="103" t="s">
        <v>287</v>
      </c>
      <c r="AI16" s="103" t="s">
        <v>366</v>
      </c>
      <c r="AJ16" s="103" t="s">
        <v>365</v>
      </c>
      <c r="AK16" s="103" t="s">
        <v>215</v>
      </c>
      <c r="AL16" s="103"/>
      <c r="AM16" s="103"/>
      <c r="AN16" s="103"/>
      <c r="AO16" s="103"/>
      <c r="AP16" s="103"/>
      <c r="AQ16" s="103"/>
      <c r="AR16" s="103"/>
      <c r="AS16" s="103"/>
      <c r="AT16" s="103"/>
      <c r="AU16" s="103"/>
      <c r="AV16" s="103"/>
      <c r="AW16" s="103"/>
      <c r="AZ16" s="133"/>
      <c r="BA16" s="133"/>
      <c r="BD16" s="103"/>
      <c r="BE16" s="103"/>
      <c r="BF16" s="103"/>
      <c r="BG16" s="103"/>
      <c r="BH16" s="103"/>
      <c r="BI16" s="103"/>
      <c r="BJ16" s="103"/>
      <c r="BK16" s="103"/>
      <c r="BL16" s="103"/>
      <c r="BO16" s="103"/>
      <c r="BP16" s="103"/>
      <c r="BQ16" s="103"/>
      <c r="BR16" s="103"/>
      <c r="BS16" s="103"/>
      <c r="BT16" s="103"/>
      <c r="BU16" s="103"/>
      <c r="BV16" s="103"/>
    </row>
    <row r="17" spans="1:36" x14ac:dyDescent="0.3">
      <c r="K17" s="52"/>
      <c r="R17" s="1" t="s">
        <v>312</v>
      </c>
      <c r="S17" s="195">
        <f>AG13</f>
        <v>1.0858666702215409</v>
      </c>
      <c r="AH17" s="132" t="s">
        <v>219</v>
      </c>
      <c r="AI17" s="180">
        <f>F13</f>
        <v>0.91765460524591358</v>
      </c>
      <c r="AJ17" s="180">
        <f>AVERAGE(Table177[FSI],Table172[FSI])</f>
        <v>0.59485714403080048</v>
      </c>
    </row>
    <row r="18" spans="1:36" x14ac:dyDescent="0.3">
      <c r="K18" s="52"/>
      <c r="AH18" s="132" t="s">
        <v>289</v>
      </c>
      <c r="AI18" s="180">
        <f>AVERAGE('USI-5'!AH2:AH11,'USI-5'!AE26:AE31,'USI-5'!AA34)</f>
        <v>0.66094994738925217</v>
      </c>
      <c r="AJ18" s="180">
        <f>AVERAGE('USI-5'!AH14:AH23,'USI-5'!AE37:AE42,'USI-5'!AA45)</f>
        <v>0.66168597068579316</v>
      </c>
    </row>
    <row r="19" spans="1:36" x14ac:dyDescent="0.3">
      <c r="K19" s="52"/>
    </row>
    <row r="20" spans="1:36" x14ac:dyDescent="0.3">
      <c r="K20" s="52"/>
    </row>
    <row r="21" spans="1:36" x14ac:dyDescent="0.3">
      <c r="K21" s="52"/>
    </row>
    <row r="22" spans="1:36" x14ac:dyDescent="0.3">
      <c r="K22" s="52"/>
    </row>
    <row r="23" spans="1:36" x14ac:dyDescent="0.3">
      <c r="K23" s="52"/>
    </row>
    <row r="24" spans="1:36" x14ac:dyDescent="0.3">
      <c r="A24" s="141" t="s">
        <v>155</v>
      </c>
      <c r="B24" s="148">
        <f>AVERAGE('USI-3'!B14:B21)</f>
        <v>0.14797437411293632</v>
      </c>
      <c r="C24" s="148">
        <f>AVERAGE('USI-3'!C14:C21)</f>
        <v>0.13614893053156291</v>
      </c>
      <c r="D24" s="148">
        <f>AVERAGE('USI-3'!D14:D21)</f>
        <v>0.15925489335186996</v>
      </c>
      <c r="E24" s="148">
        <f>AVERAGE('USI-3'!E14:E21)</f>
        <v>0.54371052078582083</v>
      </c>
      <c r="F24" s="148">
        <f>AVERAGE('USI-3'!F14:F21)</f>
        <v>0.27326904381669148</v>
      </c>
      <c r="G24" s="148">
        <f>AVERAGE('USI-3'!G14:G21)</f>
        <v>5.3389115547319635E-2</v>
      </c>
      <c r="H24" s="148">
        <f>AVERAGE('USI-3'!H14:H21)</f>
        <v>2.1847262447600491E-2</v>
      </c>
      <c r="I24" s="148">
        <f>AVERAGE('USI-3'!I14:I21)</f>
        <v>0.13922053540702214</v>
      </c>
      <c r="J24" s="148">
        <f>AVERAGE('USI-3'!J14:J21)</f>
        <v>8.1085714285714268E-3</v>
      </c>
      <c r="K24" s="209"/>
      <c r="L24" s="141"/>
      <c r="M24" s="141"/>
      <c r="N24" s="141"/>
      <c r="O24" s="141"/>
      <c r="P24" s="141"/>
    </row>
  </sheetData>
  <pageMargins left="0.7" right="0.7" top="0.75" bottom="0.75" header="0.3" footer="0.3"/>
  <tableParts count="3">
    <tablePart r:id="rId1"/>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E33C-A2DF-4353-9B0E-36708517A215}">
  <dimension ref="A1:AB81"/>
  <sheetViews>
    <sheetView workbookViewId="0">
      <selection activeCell="AD16" sqref="AD16"/>
    </sheetView>
  </sheetViews>
  <sheetFormatPr defaultRowHeight="14.4" x14ac:dyDescent="0.3"/>
  <cols>
    <col min="1" max="1" width="15.21875" style="1" bestFit="1" customWidth="1"/>
    <col min="2" max="2" width="19.5546875" style="1" bestFit="1" customWidth="1"/>
    <col min="3" max="3" width="12.33203125" style="1" bestFit="1" customWidth="1"/>
    <col min="4" max="4" width="10.88671875" style="1" bestFit="1" customWidth="1"/>
    <col min="5" max="5" width="12.33203125" style="1" bestFit="1" customWidth="1"/>
    <col min="6" max="6" width="11.5546875" style="1" bestFit="1" customWidth="1"/>
    <col min="7" max="7" width="12.33203125" style="53" bestFit="1" customWidth="1"/>
    <col min="8" max="8" width="16.5546875" style="1" bestFit="1" customWidth="1"/>
    <col min="9" max="9" width="14.44140625" style="1" bestFit="1" customWidth="1"/>
    <col min="10" max="10" width="16.5546875" style="1" bestFit="1" customWidth="1"/>
    <col min="11" max="11" width="14.5546875" style="1" bestFit="1" customWidth="1"/>
    <col min="12" max="13" width="12.33203125" style="1" bestFit="1" customWidth="1"/>
    <col min="14" max="14" width="14.6640625" style="1" bestFit="1" customWidth="1"/>
    <col min="15" max="15" width="12.33203125" style="1" bestFit="1" customWidth="1"/>
    <col min="16" max="16" width="14.21875" style="1" bestFit="1" customWidth="1"/>
    <col min="17" max="17" width="13.44140625" style="1" bestFit="1" customWidth="1"/>
    <col min="18" max="18" width="13.5546875" style="1" bestFit="1" customWidth="1"/>
    <col min="19" max="19" width="15.77734375" style="1" bestFit="1" customWidth="1"/>
    <col min="20" max="20" width="6.44140625" style="1" bestFit="1" customWidth="1"/>
    <col min="21" max="21" width="9" style="1" bestFit="1" customWidth="1"/>
    <col min="22" max="22" width="10.109375" style="1" bestFit="1" customWidth="1"/>
    <col min="23" max="23" width="8.88671875" style="1"/>
    <col min="24" max="24" width="19.5546875" style="1" bestFit="1" customWidth="1"/>
    <col min="25" max="25" width="15" style="1" bestFit="1" customWidth="1"/>
    <col min="26" max="16384" width="8.88671875" style="1"/>
  </cols>
  <sheetData>
    <row r="1" spans="1:28" x14ac:dyDescent="0.3">
      <c r="A1" s="1" t="s">
        <v>8</v>
      </c>
      <c r="B1" s="1" t="s">
        <v>9</v>
      </c>
      <c r="C1" s="1" t="s">
        <v>453</v>
      </c>
      <c r="D1" s="1" t="s">
        <v>77</v>
      </c>
      <c r="E1" s="1" t="s">
        <v>460</v>
      </c>
      <c r="F1" s="1" t="s">
        <v>461</v>
      </c>
      <c r="G1" s="1" t="s">
        <v>459</v>
      </c>
      <c r="H1" s="1" t="s">
        <v>56</v>
      </c>
      <c r="I1" s="1" t="s">
        <v>105</v>
      </c>
      <c r="J1" s="1" t="s">
        <v>322</v>
      </c>
      <c r="K1" s="1" t="s">
        <v>454</v>
      </c>
      <c r="L1" s="1" t="s">
        <v>464</v>
      </c>
      <c r="M1" s="1" t="s">
        <v>455</v>
      </c>
      <c r="X1" s="141" t="s">
        <v>9</v>
      </c>
      <c r="Y1" s="141" t="s">
        <v>456</v>
      </c>
      <c r="Z1" s="141" t="s">
        <v>119</v>
      </c>
      <c r="AA1" s="141" t="s">
        <v>462</v>
      </c>
      <c r="AB1" s="141" t="s">
        <v>463</v>
      </c>
    </row>
    <row r="2" spans="1:28" x14ac:dyDescent="0.3">
      <c r="A2" s="1" t="s">
        <v>33</v>
      </c>
      <c r="B2" s="1" t="s">
        <v>98</v>
      </c>
      <c r="C2" s="41">
        <f>AVERAGE('[19]Valuation-FCFF'!$G$4:$H$4)</f>
        <v>22727.256874106642</v>
      </c>
      <c r="D2" s="41">
        <f>AVERAGE('[19]Valuation-FCFF'!$D$4:$H$4)+AVERAGE('[19]Valuation-FCFF'!$D$7:$H$7)</f>
        <v>22502.428388559874</v>
      </c>
      <c r="E2" s="41">
        <f>AVERAGE('[19]Balance Sheet'!$F$35:$G$35)</f>
        <v>89014.35</v>
      </c>
      <c r="F2" s="41">
        <f>E2+'[19]Income Statement'!$G$24+'[19]Cash Flow Statement'!$G$52</f>
        <v>102961.65</v>
      </c>
      <c r="G2" s="41"/>
      <c r="H2" s="41"/>
      <c r="I2" s="42">
        <f>'[19]5c'!P2</f>
        <v>0.2</v>
      </c>
      <c r="J2" s="42">
        <f>'[19]Key Assumptions-WACC'!$B$9</f>
        <v>4.3500000000000004E-2</v>
      </c>
      <c r="K2" s="41">
        <f>C2/I2</f>
        <v>113636.28437053321</v>
      </c>
      <c r="L2" s="41">
        <f>K2-F2</f>
        <v>10674.634370533211</v>
      </c>
      <c r="M2" s="41">
        <f>J2*L2</f>
        <v>464.34659511819473</v>
      </c>
      <c r="X2" s="1" t="s">
        <v>98</v>
      </c>
      <c r="Y2" s="56">
        <f t="shared" ref="Y2:Y7" si="0">C2/M2</f>
        <v>48.944596801278685</v>
      </c>
      <c r="Z2" s="56">
        <f t="shared" ref="Z2:Z7" si="1">L2/F2</f>
        <v>0.10367582852968277</v>
      </c>
      <c r="AA2" s="56">
        <f t="shared" ref="AA2:AA7" si="2">L2/D2</f>
        <v>0.47437699550507817</v>
      </c>
      <c r="AB2" s="56">
        <f t="shared" ref="AB2:AB7" si="3">L2/K2</f>
        <v>9.3936847985336178E-2</v>
      </c>
    </row>
    <row r="3" spans="1:28" x14ac:dyDescent="0.3">
      <c r="A3" s="1" t="s">
        <v>33</v>
      </c>
      <c r="B3" s="1" t="s">
        <v>35</v>
      </c>
      <c r="C3" s="41">
        <f>AVERAGE('[19]Valuation-FCFF'!$M$4:$Q$4)</f>
        <v>42641.30163982854</v>
      </c>
      <c r="D3" s="41">
        <f>AVERAGE('[19]Valuation-FCFF'!$M$4:$Q$4)+AVERAGE('[19]Valuation-FCFF'!$M$7:$Q$7)</f>
        <v>50878.22087965635</v>
      </c>
      <c r="E3" s="41">
        <f>AVERAGE('[19]Balance Sheet'!$N$39:$O$39)</f>
        <v>83303.67</v>
      </c>
      <c r="F3" s="41">
        <f>E3+'[19]Income Statement'!$O$29+'[19]Cash Flow Statement'!$O$52</f>
        <v>95028.289999999979</v>
      </c>
      <c r="G3" s="41"/>
      <c r="H3" s="41"/>
      <c r="I3" s="42">
        <f>'[19]5c'!P3</f>
        <v>0.2</v>
      </c>
      <c r="J3" s="42">
        <f>'[19]Key Assumptions-WACC'!$C$9</f>
        <v>5.8164847313804391E-2</v>
      </c>
      <c r="K3" s="41">
        <f t="shared" ref="K3:K7" si="4">C3/I3</f>
        <v>213206.5081991427</v>
      </c>
      <c r="L3" s="41">
        <f t="shared" ref="L3:L7" si="5">K3-F3</f>
        <v>118178.21819914272</v>
      </c>
      <c r="M3" s="41">
        <f t="shared" ref="M3:M7" si="6">J3*L3</f>
        <v>6873.818017370596</v>
      </c>
      <c r="X3" s="1" t="s">
        <v>35</v>
      </c>
      <c r="Y3" s="56">
        <f t="shared" si="0"/>
        <v>6.2034376720581097</v>
      </c>
      <c r="Z3" s="56">
        <f t="shared" si="1"/>
        <v>1.2436109099631567</v>
      </c>
      <c r="AA3" s="56">
        <f t="shared" si="2"/>
        <v>2.3227663262572191</v>
      </c>
      <c r="AB3" s="56">
        <f t="shared" si="3"/>
        <v>0.55428991918370485</v>
      </c>
    </row>
    <row r="4" spans="1:28" x14ac:dyDescent="0.3">
      <c r="A4" s="1" t="s">
        <v>33</v>
      </c>
      <c r="B4" s="1" t="s">
        <v>36</v>
      </c>
      <c r="C4" s="41">
        <f>AVERAGE('[19]Valuation-FCFF'!$V$4:$Z$4)</f>
        <v>44575.987086005021</v>
      </c>
      <c r="D4" s="41">
        <f>AVERAGE('[19]Valuation-FCFF'!$V$4:$Z$4)+AVERAGE('[19]Valuation-FCFF'!$V$7:$Z$7)</f>
        <v>69011.139888977559</v>
      </c>
      <c r="E4" s="41">
        <f>AVERAGE('[19]Balance Sheet'!$V$42:$W$42)</f>
        <v>107924</v>
      </c>
      <c r="F4" s="41">
        <f>E4+'[19]Income Statement'!$W$42+'[19]Cash Flow Statement'!$W$74</f>
        <v>133770</v>
      </c>
      <c r="G4" s="41"/>
      <c r="H4" s="41"/>
      <c r="I4" s="42">
        <f>'[19]5c'!P4</f>
        <v>0.2</v>
      </c>
      <c r="J4" s="42">
        <f>'[19]Key Assumptions-WACC'!$D$9</f>
        <v>5.5659517307368844E-2</v>
      </c>
      <c r="K4" s="41">
        <f t="shared" si="4"/>
        <v>222879.9354300251</v>
      </c>
      <c r="L4" s="41">
        <f t="shared" si="5"/>
        <v>89109.9354300251</v>
      </c>
      <c r="M4" s="41">
        <f t="shared" si="6"/>
        <v>4959.8159933260022</v>
      </c>
      <c r="X4" s="1" t="s">
        <v>36</v>
      </c>
      <c r="Y4" s="56">
        <f t="shared" si="0"/>
        <v>8.9874275872304725</v>
      </c>
      <c r="Z4" s="56">
        <f t="shared" si="1"/>
        <v>0.66614289773510582</v>
      </c>
      <c r="AA4" s="56">
        <f t="shared" si="2"/>
        <v>1.2912398719015756</v>
      </c>
      <c r="AB4" s="56">
        <f t="shared" si="3"/>
        <v>0.3998113839098893</v>
      </c>
    </row>
    <row r="5" spans="1:28" x14ac:dyDescent="0.3">
      <c r="A5" s="1" t="s">
        <v>33</v>
      </c>
      <c r="B5" s="1" t="s">
        <v>457</v>
      </c>
      <c r="C5" s="41">
        <f>AVERAGE('[19]Valuation-FCFF'!$AE$4:$AJ$4)</f>
        <v>9744.2068421098775</v>
      </c>
      <c r="D5" s="41">
        <f>AVERAGE('[19]Valuation-FCFF'!$AE$4:$AJ$4)+AVERAGE('[19]Valuation-FCFF'!$AE$7:$AJ$7)</f>
        <v>11215.879029744563</v>
      </c>
      <c r="E5" s="41">
        <f>AVERAGE('[19]Balance Sheet'!$AB$40:$AD$40)</f>
        <v>6157.9900000000007</v>
      </c>
      <c r="F5" s="41">
        <f>E5+'[19]Income Statement'!$AD$27+'[19]Cash Flow Statement'!$AD$52</f>
        <v>10189.760000000002</v>
      </c>
      <c r="G5" s="41"/>
      <c r="H5" s="41"/>
      <c r="I5" s="42">
        <f>'[19]5c'!P5</f>
        <v>0.2</v>
      </c>
      <c r="J5" s="42">
        <f>'[19]Key Assumptions-WACC'!$E$9</f>
        <v>5.5595924955285744E-2</v>
      </c>
      <c r="K5" s="41">
        <f t="shared" si="4"/>
        <v>48721.034210549384</v>
      </c>
      <c r="L5" s="41">
        <f t="shared" si="5"/>
        <v>38531.274210549382</v>
      </c>
      <c r="M5" s="41">
        <f t="shared" si="6"/>
        <v>2142.1818294412406</v>
      </c>
      <c r="X5" s="1" t="s">
        <v>457</v>
      </c>
      <c r="Y5" s="56">
        <f t="shared" si="0"/>
        <v>4.5487300415817282</v>
      </c>
      <c r="Z5" s="56">
        <f t="shared" si="1"/>
        <v>3.7813721040092578</v>
      </c>
      <c r="AA5" s="56">
        <f t="shared" si="2"/>
        <v>3.4354217006410521</v>
      </c>
      <c r="AB5" s="56">
        <f t="shared" si="3"/>
        <v>0.79085501436679984</v>
      </c>
    </row>
    <row r="6" spans="1:28" x14ac:dyDescent="0.3">
      <c r="A6" s="1" t="s">
        <v>33</v>
      </c>
      <c r="B6" s="1" t="s">
        <v>458</v>
      </c>
      <c r="C6" s="41">
        <f>AVERAGE('[19]Valuation-FCFF'!$AO$4:$AS$4)</f>
        <v>1467.9899981437743</v>
      </c>
      <c r="D6" s="41">
        <f>AVERAGE('[19]Valuation-FCFF'!$AO$4:$AS$4)+AVERAGE('[19]Valuation-FCFF'!$AO$7:$AS$7)</f>
        <v>2157.7985128776209</v>
      </c>
      <c r="E6" s="41">
        <f>AVERAGE('[19]Balance Sheet'!$AJ$41:$AM$41)</f>
        <v>12150.217499999999</v>
      </c>
      <c r="F6" s="41">
        <f>E6+'[19]Income Statement'!$AM$26-'[19]Cash Flow Statement'!$AM$36</f>
        <v>13120.717499999997</v>
      </c>
      <c r="G6" s="41"/>
      <c r="H6" s="41"/>
      <c r="I6" s="42">
        <f>'[19]5c'!P6</f>
        <v>0.1</v>
      </c>
      <c r="J6" s="42">
        <f>'[19]Key Assumptions-WACC'!$F$9</f>
        <v>6.9000000000000006E-2</v>
      </c>
      <c r="K6" s="41">
        <f t="shared" si="4"/>
        <v>14679.899981437742</v>
      </c>
      <c r="L6" s="41">
        <f t="shared" si="5"/>
        <v>1559.1824814377451</v>
      </c>
      <c r="M6" s="41">
        <f t="shared" si="6"/>
        <v>107.58359121920442</v>
      </c>
      <c r="X6" s="1" t="s">
        <v>458</v>
      </c>
      <c r="Y6" s="56">
        <f t="shared" si="0"/>
        <v>13.645110574090298</v>
      </c>
      <c r="Z6" s="56">
        <f t="shared" si="1"/>
        <v>0.1188336294442545</v>
      </c>
      <c r="AA6" s="56">
        <f t="shared" si="2"/>
        <v>0.72258020020526992</v>
      </c>
      <c r="AB6" s="56">
        <f t="shared" si="3"/>
        <v>0.10621206434711959</v>
      </c>
    </row>
    <row r="7" spans="1:28" x14ac:dyDescent="0.3">
      <c r="A7" s="1" t="s">
        <v>33</v>
      </c>
      <c r="B7" s="1" t="s">
        <v>39</v>
      </c>
      <c r="C7" s="41">
        <f>AVERAGE('[19]Valuation-FCFF'!$AX$4:$BC$4)</f>
        <v>11744.128997763182</v>
      </c>
      <c r="D7" s="41">
        <f>AVERAGE('[19]Valuation-FCFF'!$AX$4:$BC$4)+AVERAGE('[19]Valuation-FCFF'!$AX$7:$BC$7)</f>
        <v>16599.567008868711</v>
      </c>
      <c r="E7" s="41">
        <f>AVERAGE('[19]Balance Sheet'!$AR$43:$AT$43)</f>
        <v>24985.666666666668</v>
      </c>
      <c r="F7" s="41">
        <f>E7+'[19]Income Statement'!$AT$34+'[19]Cash Flow Statement'!$AT$40</f>
        <v>27564.36666666668</v>
      </c>
      <c r="G7" s="41"/>
      <c r="H7" s="41"/>
      <c r="I7" s="42">
        <f>'[19]5c'!P7</f>
        <v>0.2</v>
      </c>
      <c r="J7" s="42">
        <f>'[19]Key Assumptions-WACC'!$G$9</f>
        <v>5.0646613522968398E-2</v>
      </c>
      <c r="K7" s="41">
        <f t="shared" si="4"/>
        <v>58720.644988815911</v>
      </c>
      <c r="L7" s="41">
        <f t="shared" si="5"/>
        <v>31156.278322149232</v>
      </c>
      <c r="M7" s="41">
        <f t="shared" si="6"/>
        <v>1577.9599869959304</v>
      </c>
      <c r="X7" s="1" t="s">
        <v>39</v>
      </c>
      <c r="Y7" s="56">
        <f t="shared" si="0"/>
        <v>7.4426025339978858</v>
      </c>
      <c r="Z7" s="56">
        <f t="shared" si="1"/>
        <v>1.1303099649964465</v>
      </c>
      <c r="AA7" s="56">
        <f t="shared" si="2"/>
        <v>1.8769331938298905</v>
      </c>
      <c r="AB7" s="56">
        <f t="shared" si="3"/>
        <v>0.53058474286315038</v>
      </c>
    </row>
    <row r="8" spans="1:28" x14ac:dyDescent="0.3">
      <c r="A8" s="1" t="s">
        <v>27</v>
      </c>
      <c r="B8" s="1" t="s">
        <v>93</v>
      </c>
      <c r="C8" s="41">
        <f>AVERAGE([36]Valuation!$D$4:$I$4)</f>
        <v>83183.405753695668</v>
      </c>
      <c r="D8" s="41">
        <f>C8+AVERAGE([36]Valuation!$D$8:$I$8)</f>
        <v>89576.231501894596</v>
      </c>
      <c r="E8" s="41">
        <f>AVERAGE('[36]Balance Sheet'!$B$40:$F$40)</f>
        <v>88845.6</v>
      </c>
      <c r="F8" s="41">
        <f>E8+'[36]Income Statement'!$F$21+'[36]Cash flow statement'!$F$47</f>
        <v>109807.6</v>
      </c>
      <c r="G8" s="41"/>
      <c r="H8" s="41"/>
      <c r="I8" s="42">
        <f>[36]Calc!O2</f>
        <v>0.25</v>
      </c>
      <c r="J8" s="42">
        <f>[36]WACC!$B$9</f>
        <v>7.4096110998582126E-2</v>
      </c>
      <c r="K8" s="41">
        <f t="shared" ref="K8:K13" si="7">C8/I8</f>
        <v>332733.62301478267</v>
      </c>
      <c r="L8" s="41">
        <f>K8-F8</f>
        <v>222926.02301478267</v>
      </c>
      <c r="M8" s="41">
        <f>J8*L8</f>
        <v>16517.951345775811</v>
      </c>
      <c r="X8" s="1" t="s">
        <v>93</v>
      </c>
      <c r="Y8" s="56">
        <f>C8/M8</f>
        <v>5.035939627886628</v>
      </c>
      <c r="Z8" s="56">
        <f>L8/F8</f>
        <v>2.0301511281075504</v>
      </c>
      <c r="AA8" s="56">
        <f>L8/D8</f>
        <v>2.488673828727296</v>
      </c>
      <c r="AB8" s="56">
        <f>L8/K8</f>
        <v>0.66998345702165041</v>
      </c>
    </row>
    <row r="9" spans="1:28" x14ac:dyDescent="0.3">
      <c r="A9" s="1" t="s">
        <v>27</v>
      </c>
      <c r="B9" s="1" t="s">
        <v>29</v>
      </c>
      <c r="C9" s="41">
        <f>AVERAGE([36]Valuation!$N$4:$S$4)</f>
        <v>56403.299407473482</v>
      </c>
      <c r="D9" s="41">
        <f>C9+AVERAGE([36]Valuation!$N$8:$S$8)</f>
        <v>63378.355000625415</v>
      </c>
      <c r="E9" s="41">
        <f>AVERAGE('[36]Balance Sheet'!$J$35:$M$35)</f>
        <v>79193.5</v>
      </c>
      <c r="F9" s="41">
        <f>E9+'[36]Income Statement'!$M$22+'[36]Cash flow statement'!$M$50</f>
        <v>91251.5</v>
      </c>
      <c r="G9" s="41"/>
      <c r="H9" s="41"/>
      <c r="I9" s="42">
        <f>[36]Calc!O3</f>
        <v>0.25</v>
      </c>
      <c r="J9" s="42">
        <f>[36]WACC!$C$9</f>
        <v>2.3735364755328732E-2</v>
      </c>
      <c r="K9" s="41">
        <f t="shared" si="7"/>
        <v>225613.19762989393</v>
      </c>
      <c r="L9" s="41">
        <f t="shared" ref="L9:L12" si="8">K9-F9</f>
        <v>134361.69762989393</v>
      </c>
      <c r="M9" s="41">
        <f t="shared" ref="M9:M12" si="9">J9*L9</f>
        <v>3189.1239023907201</v>
      </c>
      <c r="X9" s="1" t="s">
        <v>29</v>
      </c>
      <c r="Y9" s="56">
        <f>C9/M9</f>
        <v>17.686142380730605</v>
      </c>
      <c r="Z9" s="56">
        <f>L9/F9</f>
        <v>1.4724327559535342</v>
      </c>
      <c r="AA9" s="56">
        <f>L9/D9</f>
        <v>2.119993452473925</v>
      </c>
      <c r="AB9" s="56">
        <f>L9/K9</f>
        <v>0.59554006166920659</v>
      </c>
    </row>
    <row r="10" spans="1:28" x14ac:dyDescent="0.3">
      <c r="A10" s="1" t="s">
        <v>27</v>
      </c>
      <c r="B10" s="1" t="s">
        <v>241</v>
      </c>
      <c r="C10" s="41">
        <f>AVERAGE([36]Valuation!$X$4:$AC$4)</f>
        <v>69806.57289780672</v>
      </c>
      <c r="D10" s="41">
        <f>C10+AVERAGE([36]Valuation!$X$8:$AC$8)</f>
        <v>74614.376094866253</v>
      </c>
      <c r="E10" s="41">
        <f>AVERAGE('[36]Balance Sheet'!$Q$34:$T$34)</f>
        <v>63939.25</v>
      </c>
      <c r="F10" s="41">
        <f>E10+'[36]Income Statement'!$T$20+'[36]Cash flow statement'!$T$45</f>
        <v>65583.25</v>
      </c>
      <c r="G10" s="41"/>
      <c r="H10" s="41"/>
      <c r="I10" s="42">
        <f>[36]Calc!O4</f>
        <v>0.25</v>
      </c>
      <c r="J10" s="42">
        <f>[36]WACC!$D$9</f>
        <v>5.1000000000000004E-2</v>
      </c>
      <c r="K10" s="41">
        <f t="shared" si="7"/>
        <v>279226.29159122688</v>
      </c>
      <c r="L10" s="41">
        <f t="shared" si="8"/>
        <v>213643.04159122688</v>
      </c>
      <c r="M10" s="41">
        <f t="shared" si="9"/>
        <v>10895.795121152572</v>
      </c>
      <c r="X10" s="1" t="s">
        <v>241</v>
      </c>
      <c r="Y10" s="56">
        <f>C10/M10</f>
        <v>6.4067442643343764</v>
      </c>
      <c r="Z10" s="56">
        <f>L10/F10</f>
        <v>3.2575854595682112</v>
      </c>
      <c r="AA10" s="56">
        <f>L10/D10</f>
        <v>2.8632959594756473</v>
      </c>
      <c r="AB10" s="56">
        <f>L10/K10</f>
        <v>0.76512509038364285</v>
      </c>
    </row>
    <row r="11" spans="1:28" x14ac:dyDescent="0.3">
      <c r="A11" s="1" t="s">
        <v>27</v>
      </c>
      <c r="B11" s="1" t="s">
        <v>31</v>
      </c>
      <c r="C11" s="41">
        <f>AVERAGE([36]Valuation!$AH$4:$AM$4)</f>
        <v>18517.868110802865</v>
      </c>
      <c r="D11" s="41">
        <f>C11+AVERAGE([36]Valuation!$AH$8:$AM$8)</f>
        <v>23389.707595191678</v>
      </c>
      <c r="E11" s="41">
        <f>AVERAGE('[36]Balance Sheet'!$Z$41:$AA$41)</f>
        <v>76196.899999999994</v>
      </c>
      <c r="F11" s="41">
        <f>E11+'[36]Income Statement'!$AA$28+'[36]Cash flow statement'!$AA$42</f>
        <v>87276.800000000017</v>
      </c>
      <c r="G11" s="41"/>
      <c r="H11" s="41"/>
      <c r="I11" s="42">
        <v>0.2</v>
      </c>
      <c r="J11" s="42">
        <f>[36]WACC!$E$9</f>
        <v>5.1716893245673821E-2</v>
      </c>
      <c r="K11" s="41">
        <f t="shared" si="7"/>
        <v>92589.340554014314</v>
      </c>
      <c r="L11" s="41">
        <f t="shared" si="8"/>
        <v>5312.5405540142965</v>
      </c>
      <c r="M11" s="41">
        <f t="shared" si="9"/>
        <v>274.74809269527026</v>
      </c>
      <c r="X11" s="1" t="s">
        <v>31</v>
      </c>
      <c r="Y11" s="56">
        <f>C11/M11</f>
        <v>67.399441900189927</v>
      </c>
      <c r="Z11" s="56">
        <f>L11/F11</f>
        <v>6.0870019913817824E-2</v>
      </c>
      <c r="AA11" s="56">
        <f>L11/D11</f>
        <v>0.22713155059306592</v>
      </c>
      <c r="AB11" s="56">
        <f>L11/K11</f>
        <v>5.7377453195220599E-2</v>
      </c>
    </row>
    <row r="12" spans="1:28" x14ac:dyDescent="0.3">
      <c r="A12" s="1" t="s">
        <v>27</v>
      </c>
      <c r="B12" s="1" t="s">
        <v>465</v>
      </c>
      <c r="C12" s="41">
        <f>AVERAGE([36]Valuation!$AR$4:$AW$4)</f>
        <v>14528.091594866162</v>
      </c>
      <c r="D12" s="41">
        <f>C12+AVERAGE([36]Valuation!$AR$8:$AW$8)</f>
        <v>16421.767697144907</v>
      </c>
      <c r="E12" s="41">
        <f>AVERAGE('[36]Balance Sheet'!$AG$40:$AH$40)</f>
        <v>18312.8</v>
      </c>
      <c r="F12" s="41">
        <f>E12+'[36]Income Statement'!$AH$18+'[36]Cash flow statement'!$AH$43</f>
        <v>21122.099999999995</v>
      </c>
      <c r="G12" s="41"/>
      <c r="H12" s="41"/>
      <c r="I12" s="42">
        <f>[36]Calc!O6</f>
        <v>0.25</v>
      </c>
      <c r="J12" s="42">
        <f>[36]WACC!$F$9</f>
        <v>7.6719144165187311E-2</v>
      </c>
      <c r="K12" s="41">
        <f t="shared" si="7"/>
        <v>58112.366379464649</v>
      </c>
      <c r="L12" s="41">
        <f t="shared" si="8"/>
        <v>36990.266379464651</v>
      </c>
      <c r="M12" s="41">
        <f t="shared" si="9"/>
        <v>2837.8615790748299</v>
      </c>
      <c r="X12" s="1" t="s">
        <v>465</v>
      </c>
      <c r="Y12" s="56">
        <f>C12/M12</f>
        <v>5.1193799239505049</v>
      </c>
      <c r="Z12" s="56">
        <f>L12/F12</f>
        <v>1.7512589363493525</v>
      </c>
      <c r="AA12" s="56">
        <f>L12/D12</f>
        <v>2.2525142884523808</v>
      </c>
      <c r="AB12" s="56">
        <f>L12/K12</f>
        <v>0.63653003111117534</v>
      </c>
    </row>
    <row r="13" spans="1:28" x14ac:dyDescent="0.3">
      <c r="A13" s="1" t="s">
        <v>148</v>
      </c>
      <c r="B13" s="1" t="s">
        <v>135</v>
      </c>
      <c r="C13" s="41">
        <f>AVERAGE([37]DCF!$D$6:$H$6)</f>
        <v>57891.727316375298</v>
      </c>
      <c r="D13" s="41">
        <f>C13+AVERAGE([37]DCF!$D$9:$H$9)</f>
        <v>66068.059514831548</v>
      </c>
      <c r="E13" s="41">
        <f>AVERAGE('[37]Balance Sheet'!$F$34:$G$34)</f>
        <v>91766.294999999998</v>
      </c>
      <c r="F13" s="41">
        <f>E13+H13-G13</f>
        <v>110728.39499999999</v>
      </c>
      <c r="G13" s="53">
        <v>16340</v>
      </c>
      <c r="H13" s="53">
        <f>'[37]Income Statement'!$G$37</f>
        <v>35302.099999999991</v>
      </c>
      <c r="I13" s="42">
        <f>[37]Calc!R2</f>
        <v>0.2</v>
      </c>
      <c r="J13" s="42">
        <f>[37]WACC!$B$12</f>
        <v>7.4558263184213117E-2</v>
      </c>
      <c r="K13" s="41">
        <f t="shared" si="7"/>
        <v>289458.63658187649</v>
      </c>
      <c r="L13" s="41">
        <f>K13-F13</f>
        <v>178730.2415818765</v>
      </c>
      <c r="M13" s="41">
        <f>L13*J13</f>
        <v>13325.816390839538</v>
      </c>
      <c r="X13" s="1" t="s">
        <v>135</v>
      </c>
      <c r="Y13" s="56">
        <f t="shared" ref="Y13:Y18" si="10">C13/M13</f>
        <v>4.3443287539344571</v>
      </c>
      <c r="Z13" s="56">
        <f t="shared" ref="Z13:Z18" si="11">L13/F13</f>
        <v>1.6141319630062057</v>
      </c>
      <c r="AA13" s="56">
        <f t="shared" ref="AA13:AA18" si="12">L13/D13</f>
        <v>2.7052443025325048</v>
      </c>
      <c r="AB13" s="56">
        <f t="shared" ref="AB13:AB18" si="13">L13/K13</f>
        <v>0.61746384109468688</v>
      </c>
    </row>
    <row r="14" spans="1:28" x14ac:dyDescent="0.3">
      <c r="A14" s="1" t="s">
        <v>148</v>
      </c>
      <c r="B14" s="1" t="s">
        <v>136</v>
      </c>
      <c r="C14" s="41">
        <f>AVERAGE([37]DCF!$M$6:$Q$6)</f>
        <v>24537.431949673832</v>
      </c>
      <c r="D14" s="41">
        <f>C14+AVERAGE([37]DCF!$M$9:$Q$9)</f>
        <v>29288.111020052587</v>
      </c>
      <c r="E14" s="41">
        <f>AVERAGE('[37]Balance Sheet'!$M$30:$O$30)</f>
        <v>13817.666666666666</v>
      </c>
      <c r="F14" s="41">
        <f t="shared" ref="F14:F18" si="14">E14+H14-G14</f>
        <v>16162.666666666664</v>
      </c>
      <c r="G14" s="53">
        <v>8008</v>
      </c>
      <c r="H14" s="53">
        <f>'[37]Income Statement'!$O$24</f>
        <v>10353</v>
      </c>
      <c r="I14" s="42">
        <f>[37]Calc!R3</f>
        <v>0.2</v>
      </c>
      <c r="J14" s="42">
        <f>[37]WACC!$C$12</f>
        <v>7.8533419910911034E-2</v>
      </c>
      <c r="K14" s="41">
        <f t="shared" ref="K14:K18" si="15">C14/I14</f>
        <v>122687.15974836916</v>
      </c>
      <c r="L14" s="41">
        <f t="shared" ref="L14:L18" si="16">K14-F14</f>
        <v>106524.4930817025</v>
      </c>
      <c r="M14" s="41">
        <f t="shared" ref="M14:M18" si="17">L14*J14</f>
        <v>8365.7327459822791</v>
      </c>
      <c r="X14" s="1" t="s">
        <v>136</v>
      </c>
      <c r="Y14" s="56">
        <f t="shared" si="10"/>
        <v>2.933088193793683</v>
      </c>
      <c r="Z14" s="56">
        <f t="shared" si="11"/>
        <v>6.5907746090807526</v>
      </c>
      <c r="AA14" s="56">
        <f t="shared" si="12"/>
        <v>3.6371240538103926</v>
      </c>
      <c r="AB14" s="56">
        <f t="shared" si="13"/>
        <v>0.86826113914596914</v>
      </c>
    </row>
    <row r="15" spans="1:28" x14ac:dyDescent="0.3">
      <c r="A15" s="1" t="s">
        <v>148</v>
      </c>
      <c r="B15" s="1" t="s">
        <v>137</v>
      </c>
      <c r="C15" s="41">
        <f>AVERAGE([37]DCF!$V$6:$Z$6)</f>
        <v>46938.351809383952</v>
      </c>
      <c r="D15" s="41">
        <f>C15+AVERAGE([37]DCF!$V$9:$Z$9)</f>
        <v>59750.70188987429</v>
      </c>
      <c r="E15" s="41">
        <f>AVERAGE('[37]Balance Sheet'!$V$40:$W$40)</f>
        <v>80721</v>
      </c>
      <c r="F15" s="41">
        <f t="shared" si="14"/>
        <v>82427</v>
      </c>
      <c r="G15" s="53">
        <v>1785</v>
      </c>
      <c r="H15" s="53">
        <f>'[37]Income Statement'!$W$31</f>
        <v>3491</v>
      </c>
      <c r="I15" s="42">
        <f>[37]Calc!R4</f>
        <v>0.2</v>
      </c>
      <c r="J15" s="42">
        <f>[37]WACC!$D$12</f>
        <v>6.027889572665325E-2</v>
      </c>
      <c r="K15" s="41">
        <f t="shared" si="15"/>
        <v>234691.75904691976</v>
      </c>
      <c r="L15" s="41">
        <f t="shared" si="16"/>
        <v>152264.75904691976</v>
      </c>
      <c r="M15" s="41">
        <f t="shared" si="17"/>
        <v>9178.3515334332587</v>
      </c>
      <c r="X15" s="1" t="s">
        <v>137</v>
      </c>
      <c r="Y15" s="56">
        <f t="shared" si="10"/>
        <v>5.1140285527750065</v>
      </c>
      <c r="Z15" s="56">
        <f t="shared" si="11"/>
        <v>1.8472679952796991</v>
      </c>
      <c r="AA15" s="56">
        <f t="shared" si="12"/>
        <v>2.5483342325845291</v>
      </c>
      <c r="AB15" s="56">
        <f t="shared" si="13"/>
        <v>0.64878613405628305</v>
      </c>
    </row>
    <row r="16" spans="1:28" x14ac:dyDescent="0.3">
      <c r="A16" s="1" t="s">
        <v>148</v>
      </c>
      <c r="B16" s="1" t="s">
        <v>466</v>
      </c>
      <c r="C16" s="41">
        <f>AVERAGE([37]DCF!$AE$6:$AI$6)</f>
        <v>30233.065101158554</v>
      </c>
      <c r="D16" s="41">
        <f>C16+AVERAGE([37]DCF!$AE$9:$AI$9)</f>
        <v>42354.996136161433</v>
      </c>
      <c r="E16" s="41">
        <f>AVERAGE('[37]Balance Sheet'!$AD$43:$AE$43)</f>
        <v>91892.760000000009</v>
      </c>
      <c r="F16" s="41">
        <f t="shared" si="14"/>
        <v>90845.540000000052</v>
      </c>
      <c r="G16" s="53">
        <v>4221</v>
      </c>
      <c r="H16" s="53">
        <f>'[37]Income Statement'!$AE$35</f>
        <v>3173.7800000000407</v>
      </c>
      <c r="I16" s="42">
        <f>[37]Calc!R5</f>
        <v>0.2</v>
      </c>
      <c r="J16" s="42">
        <f>[37]WACC!$E$12</f>
        <v>3.1129456135936834E-2</v>
      </c>
      <c r="K16" s="41">
        <f t="shared" si="15"/>
        <v>151165.32550579277</v>
      </c>
      <c r="L16" s="41">
        <f t="shared" si="16"/>
        <v>60319.785505792723</v>
      </c>
      <c r="M16" s="41">
        <f t="shared" si="17"/>
        <v>1877.722117031693</v>
      </c>
      <c r="X16" s="1" t="s">
        <v>466</v>
      </c>
      <c r="Y16" s="56">
        <f t="shared" si="10"/>
        <v>16.100926131152487</v>
      </c>
      <c r="Z16" s="56">
        <f t="shared" si="11"/>
        <v>0.66398180368340254</v>
      </c>
      <c r="AA16" s="56">
        <f t="shared" si="12"/>
        <v>1.4241480582805079</v>
      </c>
      <c r="AB16" s="56">
        <f t="shared" si="13"/>
        <v>0.39903188978004894</v>
      </c>
    </row>
    <row r="17" spans="1:28" x14ac:dyDescent="0.3">
      <c r="A17" s="1" t="s">
        <v>148</v>
      </c>
      <c r="B17" s="1" t="s">
        <v>139</v>
      </c>
      <c r="C17" s="41">
        <f>AVERAGE([37]DCF!$AN$6:$AR$6)</f>
        <v>13888.971181569079</v>
      </c>
      <c r="D17" s="41">
        <f>C17+AVERAGE([37]DCF!$AN$9:$AR$9)</f>
        <v>20679.535517228796</v>
      </c>
      <c r="E17" s="41">
        <f>AVERAGE('[37]Balance Sheet'!$AJ$38:$AM$38)</f>
        <v>56241.3</v>
      </c>
      <c r="F17" s="41">
        <f t="shared" si="14"/>
        <v>58200.10000000002</v>
      </c>
      <c r="G17" s="53">
        <v>413</v>
      </c>
      <c r="H17" s="53">
        <f>'[37]Income Statement'!$AM$26</f>
        <v>2371.8000000000138</v>
      </c>
      <c r="I17" s="42">
        <f>[37]Calc!R6</f>
        <v>0.2</v>
      </c>
      <c r="J17" s="42">
        <f>[37]WACC!$F$12</f>
        <v>6.8345413517501744E-2</v>
      </c>
      <c r="K17" s="41">
        <f t="shared" si="15"/>
        <v>69444.855907845384</v>
      </c>
      <c r="L17" s="41">
        <f t="shared" si="16"/>
        <v>11244.755907845363</v>
      </c>
      <c r="M17" s="41">
        <f t="shared" si="17"/>
        <v>768.52749242506206</v>
      </c>
      <c r="X17" s="1" t="s">
        <v>139</v>
      </c>
      <c r="Y17" s="56">
        <f t="shared" si="10"/>
        <v>18.07218520933182</v>
      </c>
      <c r="Z17" s="56">
        <f t="shared" si="11"/>
        <v>0.19320853242254496</v>
      </c>
      <c r="AA17" s="56">
        <f t="shared" si="12"/>
        <v>0.54376249884708439</v>
      </c>
      <c r="AB17" s="56">
        <f t="shared" si="13"/>
        <v>0.16192352566426754</v>
      </c>
    </row>
    <row r="18" spans="1:28" x14ac:dyDescent="0.3">
      <c r="A18" s="1" t="s">
        <v>148</v>
      </c>
      <c r="B18" s="1" t="s">
        <v>140</v>
      </c>
      <c r="C18" s="41">
        <f>AVERAGE([37]DCF!$AW$6:$BA$6)</f>
        <v>16729.111309311473</v>
      </c>
      <c r="D18" s="41">
        <f>C18+AVERAGE([37]DCF!$AW$9:$BA$9)</f>
        <v>17320.966673507799</v>
      </c>
      <c r="E18" s="41">
        <f>AVERAGE('[37]Balance Sheet'!$AP$33:$AU$33)</f>
        <v>25604.26</v>
      </c>
      <c r="F18" s="41">
        <f t="shared" si="14"/>
        <v>27824.079999999998</v>
      </c>
      <c r="G18" s="53">
        <v>4319</v>
      </c>
      <c r="H18" s="53">
        <f>'[37]Income Statement'!$AU$34</f>
        <v>6538.82</v>
      </c>
      <c r="I18" s="42">
        <f>[37]Calc!R7</f>
        <v>0.2</v>
      </c>
      <c r="J18" s="42">
        <f>[37]WACC!$G$12</f>
        <v>3.3703539570861481E-2</v>
      </c>
      <c r="K18" s="41">
        <f t="shared" si="15"/>
        <v>83645.55654655736</v>
      </c>
      <c r="L18" s="41">
        <f t="shared" si="16"/>
        <v>55821.476546557358</v>
      </c>
      <c r="M18" s="41">
        <f t="shared" si="17"/>
        <v>1881.3813436908119</v>
      </c>
      <c r="X18" s="1" t="s">
        <v>140</v>
      </c>
      <c r="Y18" s="56">
        <f t="shared" si="10"/>
        <v>8.8919300520398643</v>
      </c>
      <c r="Z18" s="56">
        <f t="shared" si="11"/>
        <v>2.0062290126594431</v>
      </c>
      <c r="AA18" s="56">
        <f t="shared" si="12"/>
        <v>3.2227691213063534</v>
      </c>
      <c r="AB18" s="56">
        <f t="shared" si="13"/>
        <v>0.66735734510280842</v>
      </c>
    </row>
    <row r="19" spans="1:28" x14ac:dyDescent="0.3">
      <c r="A19" s="1" t="s">
        <v>40</v>
      </c>
      <c r="B19" s="1" t="s">
        <v>467</v>
      </c>
      <c r="C19" s="41">
        <f>AVERAGE([32]DCF!$D$5:$I$5)</f>
        <v>6108.7356862181614</v>
      </c>
      <c r="D19" s="41">
        <f>C19+AVERAGE([32]DCF!$D$8:$I$8)</f>
        <v>6203.9461412271176</v>
      </c>
      <c r="E19" s="53">
        <f>AVERAGE('[32]Balance Sheet '!$C$36:$F$36)</f>
        <v>13400.1525</v>
      </c>
      <c r="F19" s="41">
        <f>E19+H19-G19</f>
        <v>13783.4925</v>
      </c>
      <c r="G19" s="41">
        <f>-'[32]Cash Flow Statement'!$F$53</f>
        <v>1462.09</v>
      </c>
      <c r="H19" s="41">
        <f>'[32]Income Statement'!$B$30</f>
        <v>1845.43</v>
      </c>
      <c r="I19" s="52">
        <f>[32]Calc!$P$2</f>
        <v>0.25</v>
      </c>
      <c r="J19" s="52">
        <v>0.05</v>
      </c>
      <c r="K19" s="41">
        <f>C19/I19</f>
        <v>24434.942744872646</v>
      </c>
      <c r="L19" s="41">
        <f>MAX(0,K19-F19)</f>
        <v>10651.450244872645</v>
      </c>
      <c r="M19" s="41">
        <f>L19*J19</f>
        <v>532.57251224363233</v>
      </c>
      <c r="X19" s="1" t="s">
        <v>467</v>
      </c>
      <c r="Y19" s="56">
        <f>MAX(0,C19/M19)</f>
        <v>11.470242165678352</v>
      </c>
      <c r="Z19" s="56">
        <f>L19/E19</f>
        <v>0.79487530047681509</v>
      </c>
      <c r="AA19" s="56">
        <f t="shared" ref="AA19:AA28" si="18">L19/D19</f>
        <v>1.7168830938248325</v>
      </c>
      <c r="AB19" s="56">
        <f t="shared" ref="AB19:AB24" si="19">L19/K19</f>
        <v>0.43591058739467331</v>
      </c>
    </row>
    <row r="20" spans="1:28" x14ac:dyDescent="0.3">
      <c r="A20" s="1" t="s">
        <v>40</v>
      </c>
      <c r="B20" s="1" t="s">
        <v>468</v>
      </c>
      <c r="C20" s="41">
        <f>AVERAGE([32]DCF!$N$5:$S$5)</f>
        <v>9450.4704215761958</v>
      </c>
      <c r="D20" s="41">
        <f>C20+AVERAGE([32]DCF!$N$8:$S$8)</f>
        <v>9894.1826525983761</v>
      </c>
      <c r="E20" s="53">
        <f>AVERAGE('[32]Balance Sheet '!$K$9:$M$9)</f>
        <v>4759.57</v>
      </c>
      <c r="F20" s="41">
        <f t="shared" ref="F20:F23" si="20">E20+H20-G20</f>
        <v>8331.82</v>
      </c>
      <c r="G20" s="41">
        <f>-'[32]Cash Flow Statement'!$M$41</f>
        <v>447.75</v>
      </c>
      <c r="H20" s="41">
        <f>'[32]Income Statement'!$I$29</f>
        <v>4020</v>
      </c>
      <c r="I20" s="52">
        <f>[32]Calc!$P$2</f>
        <v>0.25</v>
      </c>
      <c r="J20" s="52">
        <v>0.05</v>
      </c>
      <c r="K20" s="41">
        <f t="shared" ref="K20:K23" si="21">C20/I20</f>
        <v>37801.881686304783</v>
      </c>
      <c r="L20" s="41">
        <f t="shared" ref="L20:L23" si="22">MAX(0,K20-F20)</f>
        <v>29470.061686304784</v>
      </c>
      <c r="M20" s="41">
        <f t="shared" ref="M20:M23" si="23">L20*J20</f>
        <v>1473.5030843152392</v>
      </c>
      <c r="X20" s="1" t="s">
        <v>468</v>
      </c>
      <c r="Y20" s="56">
        <f>MAX(0,C20/M20)</f>
        <v>6.4136074923575626</v>
      </c>
      <c r="Z20" s="56">
        <f>L20/E20</f>
        <v>6.1917487685452226</v>
      </c>
      <c r="AA20" s="56">
        <f t="shared" si="18"/>
        <v>2.9785241207938946</v>
      </c>
      <c r="AB20" s="56">
        <f t="shared" si="19"/>
        <v>0.77959245338259109</v>
      </c>
    </row>
    <row r="21" spans="1:28" x14ac:dyDescent="0.3">
      <c r="A21" s="1" t="s">
        <v>40</v>
      </c>
      <c r="B21" s="1" t="s">
        <v>469</v>
      </c>
      <c r="C21" s="41">
        <f>AVERAGE([32]DCF!$X$5:$AC$5)</f>
        <v>1925.0233898423237</v>
      </c>
      <c r="D21" s="41">
        <f>C21+AVERAGE([32]DCF!$X$8:$AC$8)</f>
        <v>2038.6261690808733</v>
      </c>
      <c r="E21" s="53">
        <f>AVERAGE('[32]Balance Sheet '!$P$31:$T$31)</f>
        <v>3034.0910599999997</v>
      </c>
      <c r="F21" s="41">
        <f t="shared" si="20"/>
        <v>3246.1846599999999</v>
      </c>
      <c r="G21" s="41">
        <f>-'[32]Cash Flow Statement'!$T$45</f>
        <v>145.17410000000001</v>
      </c>
      <c r="H21" s="41">
        <f>'[32]Income Statement'!$T$25</f>
        <v>357.2677000000001</v>
      </c>
      <c r="I21" s="52">
        <f>[32]Calc!$P$2</f>
        <v>0.25</v>
      </c>
      <c r="J21" s="52">
        <v>0.05</v>
      </c>
      <c r="K21" s="41">
        <f t="shared" si="21"/>
        <v>7700.0935593692948</v>
      </c>
      <c r="L21" s="41">
        <f t="shared" si="22"/>
        <v>4453.9088993692949</v>
      </c>
      <c r="M21" s="41">
        <f t="shared" si="23"/>
        <v>222.69544496846476</v>
      </c>
      <c r="X21" s="1" t="s">
        <v>469</v>
      </c>
      <c r="Y21" s="56">
        <f>MAX(0,C21/M21)</f>
        <v>8.6441974155103196</v>
      </c>
      <c r="Z21" s="56">
        <f>L21/E21</f>
        <v>1.4679549200376654</v>
      </c>
      <c r="AA21" s="56">
        <f t="shared" si="18"/>
        <v>2.1847599951968468</v>
      </c>
      <c r="AB21" s="56">
        <f t="shared" si="19"/>
        <v>0.57842269902680366</v>
      </c>
    </row>
    <row r="22" spans="1:28" x14ac:dyDescent="0.3">
      <c r="A22" s="1" t="s">
        <v>40</v>
      </c>
      <c r="B22" s="1" t="s">
        <v>470</v>
      </c>
      <c r="C22" s="41">
        <f>AVERAGE([32]DCF!$AH$5:$AM$5)</f>
        <v>850.74665583489434</v>
      </c>
      <c r="D22" s="41">
        <f>C22+AVERAGE([32]DCF!$AH$8:$AM$8)</f>
        <v>902.65666168124892</v>
      </c>
      <c r="E22" s="53">
        <f>AVERAGE('[32]Balance Sheet '!$AA$40:$AB$40)</f>
        <v>32063.489999999998</v>
      </c>
      <c r="F22" s="41">
        <f t="shared" si="20"/>
        <v>32668.192199999998</v>
      </c>
      <c r="G22" s="41">
        <f>-'[32]Cash Flow Statement'!$AA$42</f>
        <v>8.0185999999999993</v>
      </c>
      <c r="H22" s="41">
        <f>'[32]Income Statement'!$AA$22</f>
        <v>612.7207999999996</v>
      </c>
      <c r="I22" s="52">
        <f>[32]Calc!$P$2</f>
        <v>0.25</v>
      </c>
      <c r="J22" s="52">
        <f>[32]WACC!$E$9</f>
        <v>1.8060418717831303E-2</v>
      </c>
      <c r="K22" s="41">
        <f t="shared" si="21"/>
        <v>3402.9866233395774</v>
      </c>
      <c r="L22" s="41">
        <f t="shared" si="22"/>
        <v>0</v>
      </c>
      <c r="M22" s="41">
        <f t="shared" si="23"/>
        <v>0</v>
      </c>
      <c r="X22" s="1" t="s">
        <v>470</v>
      </c>
      <c r="Y22" s="56">
        <v>0</v>
      </c>
      <c r="Z22" s="56">
        <f>L22/E22</f>
        <v>0</v>
      </c>
      <c r="AA22" s="56">
        <f t="shared" si="18"/>
        <v>0</v>
      </c>
      <c r="AB22" s="56">
        <f t="shared" si="19"/>
        <v>0</v>
      </c>
    </row>
    <row r="23" spans="1:28" x14ac:dyDescent="0.3">
      <c r="A23" s="1" t="s">
        <v>40</v>
      </c>
      <c r="B23" s="1" t="s">
        <v>471</v>
      </c>
      <c r="C23" s="41">
        <f>AVERAGE([32]DCF!$AR$5:$AV$5)</f>
        <v>17822.976434992423</v>
      </c>
      <c r="D23" s="41">
        <f>C23+AVERAGE([32]DCF!$AR$8:$AV$8)</f>
        <v>19379.672723573876</v>
      </c>
      <c r="E23" s="53">
        <f>AVERAGE('[32]Balance Sheet '!$AE$29:$AI$29)</f>
        <v>1304.4991400000001</v>
      </c>
      <c r="F23" s="41">
        <f t="shared" si="20"/>
        <v>7127.1891400000004</v>
      </c>
      <c r="G23" s="41">
        <f>-'[32]Cash Flow Statement'!$AI$48</f>
        <v>2541.35</v>
      </c>
      <c r="H23" s="41">
        <f>'[32]Income Statement'!$AI$35</f>
        <v>8364.0400000000009</v>
      </c>
      <c r="I23" s="52">
        <f>[32]Calc!$P$2</f>
        <v>0.25</v>
      </c>
      <c r="J23" s="52">
        <f>[32]WACC!$F$9</f>
        <v>3.2401890403388894E-2</v>
      </c>
      <c r="K23" s="41">
        <f t="shared" si="21"/>
        <v>71291.90573996969</v>
      </c>
      <c r="L23" s="41">
        <f t="shared" si="22"/>
        <v>64164.716599969688</v>
      </c>
      <c r="M23" s="41">
        <f t="shared" si="23"/>
        <v>2079.0581150367261</v>
      </c>
      <c r="X23" s="1" t="s">
        <v>471</v>
      </c>
      <c r="Y23" s="56">
        <f>MAX(0,C23/M23)</f>
        <v>8.5726206045363877</v>
      </c>
      <c r="Z23" s="56">
        <f>L23/E23</f>
        <v>49.187243312379401</v>
      </c>
      <c r="AA23" s="56">
        <f t="shared" si="18"/>
        <v>3.3109288023176089</v>
      </c>
      <c r="AB23" s="56">
        <f t="shared" si="19"/>
        <v>0.90002807379009153</v>
      </c>
    </row>
    <row r="24" spans="1:28" x14ac:dyDescent="0.3">
      <c r="A24" s="1" t="s">
        <v>472</v>
      </c>
      <c r="B24" s="1" t="s">
        <v>44</v>
      </c>
      <c r="C24" s="41">
        <f>AVERAGE('[33]FCFF Projections (5y )'!$D$4:$I$4)</f>
        <v>35283.182700007666</v>
      </c>
      <c r="D24" s="41">
        <f>C24+AVERAGE('[33]FCFF Projections (5y )'!$D$7:$I$7)</f>
        <v>47266.583866059285</v>
      </c>
      <c r="E24" s="41">
        <f>'[33]Balance Sheet'!$F$37</f>
        <v>43145.03</v>
      </c>
      <c r="F24" s="41">
        <f>E24+H24-G24</f>
        <v>63946.329999999987</v>
      </c>
      <c r="G24" s="53">
        <v>0</v>
      </c>
      <c r="H24" s="41">
        <f>'[33]Income Statement'!$F$37</f>
        <v>20801.299999999992</v>
      </c>
      <c r="I24" s="42">
        <f>[33]Calc!P2</f>
        <v>0.15</v>
      </c>
      <c r="J24" s="42">
        <f>'[33]Weighted Avg Cost of Capital'!$B$4</f>
        <v>7.3746345430198812E-2</v>
      </c>
      <c r="K24" s="41">
        <f>MAX(0,C24/I24)</f>
        <v>235221.21800005113</v>
      </c>
      <c r="L24" s="41">
        <f>MAX(0,K24-F24)</f>
        <v>171274.88800005114</v>
      </c>
      <c r="M24" s="41">
        <f>J24*L24</f>
        <v>12630.897053970384</v>
      </c>
      <c r="X24" s="1" t="s">
        <v>44</v>
      </c>
      <c r="Y24" s="56">
        <f>MAX(0,C24/M24)</f>
        <v>2.7934027606469001</v>
      </c>
      <c r="Z24" s="56">
        <f>L24/F24</f>
        <v>2.6784162281095911</v>
      </c>
      <c r="AA24" s="56">
        <f t="shared" si="18"/>
        <v>3.6235935409548077</v>
      </c>
      <c r="AB24" s="56">
        <f t="shared" si="19"/>
        <v>0.72814387008239156</v>
      </c>
    </row>
    <row r="25" spans="1:28" x14ac:dyDescent="0.3">
      <c r="A25" s="1" t="s">
        <v>472</v>
      </c>
      <c r="B25" s="1" t="s">
        <v>45</v>
      </c>
      <c r="C25" s="41">
        <f>AVERAGE('[33]FCFF Projections (5y )'!$N$4:$S$4)</f>
        <v>-821.6340124369882</v>
      </c>
      <c r="D25" s="41">
        <f>C25+AVERAGE('[33]FCFF Projections (5y )'!$N$7:$S$7)</f>
        <v>312.66071984564599</v>
      </c>
      <c r="E25" s="41">
        <f>AVERAGE('[33]Balance Sheet'!$I$37:$M$37)</f>
        <v>13204.12</v>
      </c>
      <c r="F25" s="41">
        <f t="shared" ref="F25:F28" si="24">E25+H25-G25</f>
        <v>11138.900000000001</v>
      </c>
      <c r="G25" s="53">
        <v>0</v>
      </c>
      <c r="H25" s="41">
        <f>'[33]Income Statement'!$M$38</f>
        <v>-2065.2200000000003</v>
      </c>
      <c r="I25" s="42">
        <f>[33]Calc!P3</f>
        <v>0.06</v>
      </c>
      <c r="J25" s="42">
        <f>'[33]Weighted Avg Cost of Capital'!$C$4</f>
        <v>9.796888813337859E-2</v>
      </c>
      <c r="K25" s="41">
        <f t="shared" ref="K25:K28" si="25">MAX(0,C25/I25)</f>
        <v>0</v>
      </c>
      <c r="L25" s="41">
        <f t="shared" ref="L25:L28" si="26">MAX(0,K25-F25)</f>
        <v>0</v>
      </c>
      <c r="M25" s="41">
        <f t="shared" ref="M25:M28" si="27">J25*L25</f>
        <v>0</v>
      </c>
      <c r="X25" s="1" t="s">
        <v>45</v>
      </c>
      <c r="Y25" s="56">
        <v>0</v>
      </c>
      <c r="Z25" s="56">
        <f>L25/F25</f>
        <v>0</v>
      </c>
      <c r="AA25" s="56">
        <f t="shared" si="18"/>
        <v>0</v>
      </c>
      <c r="AB25" s="56">
        <v>0</v>
      </c>
    </row>
    <row r="26" spans="1:28" x14ac:dyDescent="0.3">
      <c r="A26" s="1" t="s">
        <v>472</v>
      </c>
      <c r="B26" s="1" t="s">
        <v>473</v>
      </c>
      <c r="C26" s="41">
        <f>AVERAGE('[33]FCFF Projections (5y )'!$X$4:$AC$4)</f>
        <v>6535.0215329851771</v>
      </c>
      <c r="D26" s="41">
        <f>C26+AVERAGE('[33]FCFF Projections (5y )'!$X$7:$AC$7)</f>
        <v>16068.822767776925</v>
      </c>
      <c r="E26" s="41">
        <f>AVERAGE('[33]Balance Sheet'!$S$45:$T$45)</f>
        <v>36268.445000000007</v>
      </c>
      <c r="F26" s="41">
        <f t="shared" si="24"/>
        <v>39661.775000000016</v>
      </c>
      <c r="G26" s="53">
        <f>ABS('[33]Cash Flow Statement'!$T$79+'[33]Cash Flow Statement'!$T$80)</f>
        <v>886.77</v>
      </c>
      <c r="H26" s="41">
        <f>'[33]Income Statement'!$T$44</f>
        <v>4280.1000000000031</v>
      </c>
      <c r="I26" s="42">
        <f>[33]Calc!P4</f>
        <v>0.14182221273427631</v>
      </c>
      <c r="J26" s="42">
        <f>'[33]Weighted Avg Cost of Capital'!$D$4</f>
        <v>7.0228947928458102E-2</v>
      </c>
      <c r="K26" s="41">
        <f t="shared" si="25"/>
        <v>46078.970331886245</v>
      </c>
      <c r="L26" s="41">
        <f t="shared" si="26"/>
        <v>6417.1953318862288</v>
      </c>
      <c r="M26" s="41">
        <f t="shared" si="27"/>
        <v>450.67287680978239</v>
      </c>
      <c r="X26" s="1" t="s">
        <v>473</v>
      </c>
      <c r="Y26" s="56">
        <f>MAX(0,C26/M26)</f>
        <v>14.50058760856701</v>
      </c>
      <c r="Z26" s="56">
        <f>L26/F26</f>
        <v>0.16179798639587428</v>
      </c>
      <c r="AA26" s="56">
        <f t="shared" si="18"/>
        <v>0.39935690527091611</v>
      </c>
      <c r="AB26" s="56">
        <f>L26/K26</f>
        <v>0.13926516338507647</v>
      </c>
    </row>
    <row r="27" spans="1:28" x14ac:dyDescent="0.3">
      <c r="A27" s="1" t="s">
        <v>472</v>
      </c>
      <c r="B27" s="1" t="s">
        <v>47</v>
      </c>
      <c r="C27" s="41">
        <f>AVERAGE('[33]FCFF Projections (5y )'!$AH$4:$AM$4)</f>
        <v>3976.879390122122</v>
      </c>
      <c r="D27" s="41">
        <f>C27+AVERAGE('[33]FCFF Projections (5y )'!$AH$7:$AM$7)</f>
        <v>6238.8599694301165</v>
      </c>
      <c r="E27" s="41">
        <f>AVERAGE('[33]Balance Sheet'!$Y$37:$AA$37)</f>
        <v>19055.126666666667</v>
      </c>
      <c r="F27" s="41">
        <f t="shared" si="24"/>
        <v>20433.956666666669</v>
      </c>
      <c r="G27" s="53">
        <f>-'[33]Cash Flow Statement'!$AA$55</f>
        <v>346.82</v>
      </c>
      <c r="H27" s="41">
        <f>'[33]Income Statement'!$AA$24</f>
        <v>1725.6499999999999</v>
      </c>
      <c r="I27" s="42">
        <f>[33]Calc!P5</f>
        <v>0.15</v>
      </c>
      <c r="J27" s="42">
        <f>'[33]Weighted Avg Cost of Capital'!$E$4</f>
        <v>4.9161080627619771E-2</v>
      </c>
      <c r="K27" s="41">
        <f t="shared" si="25"/>
        <v>26512.529267480815</v>
      </c>
      <c r="L27" s="41">
        <f t="shared" si="26"/>
        <v>6078.5726008141464</v>
      </c>
      <c r="M27" s="41">
        <f t="shared" si="27"/>
        <v>298.82919772946468</v>
      </c>
      <c r="X27" s="1" t="s">
        <v>47</v>
      </c>
      <c r="Y27" s="56">
        <f>MAX(0,C27/M27)</f>
        <v>13.308202211627462</v>
      </c>
      <c r="Z27" s="56">
        <f>L27/F27</f>
        <v>0.29747408688254434</v>
      </c>
      <c r="AA27" s="56">
        <f t="shared" si="18"/>
        <v>0.97430822788115701</v>
      </c>
      <c r="AB27" s="56">
        <f>L27/K27</f>
        <v>0.22927169790133434</v>
      </c>
    </row>
    <row r="28" spans="1:28" x14ac:dyDescent="0.3">
      <c r="A28" s="1" t="s">
        <v>472</v>
      </c>
      <c r="B28" s="1" t="s">
        <v>48</v>
      </c>
      <c r="C28" s="41">
        <f>AVERAGE('[33]FCFF Projections (5y )'!$AR$4:$AW$4)</f>
        <v>44966.204403525575</v>
      </c>
      <c r="D28" s="41">
        <f>C28+AVERAGE('[33]FCFF Projections (5y )'!$AR$7:$AW$7)</f>
        <v>72217.821694263286</v>
      </c>
      <c r="E28" s="41">
        <f>AVERAGE('[33]Balance Sheet'!$AG$38:$AH$38)</f>
        <v>158037.95000000001</v>
      </c>
      <c r="F28" s="41">
        <f t="shared" si="24"/>
        <v>171950.77000000002</v>
      </c>
      <c r="G28" s="53">
        <f>-'[33]Cash Flow Statement'!$AH$51</f>
        <v>7419.43</v>
      </c>
      <c r="H28" s="41">
        <f>'[33]Income Statement'!$AH$27</f>
        <v>21332.250000000007</v>
      </c>
      <c r="I28" s="42">
        <f>[33]Calc!P6</f>
        <v>0.15</v>
      </c>
      <c r="J28" s="42">
        <f>'[33]Weighted Avg Cost of Capital'!$F$4</f>
        <v>3.844514110984372E-2</v>
      </c>
      <c r="K28" s="41">
        <f t="shared" si="25"/>
        <v>299774.69602350384</v>
      </c>
      <c r="L28" s="41">
        <f t="shared" si="26"/>
        <v>127823.92602350382</v>
      </c>
      <c r="M28" s="41">
        <f t="shared" si="27"/>
        <v>4914.2088731878293</v>
      </c>
      <c r="X28" s="1" t="s">
        <v>48</v>
      </c>
      <c r="Y28" s="56">
        <f>MAX(0,C28/M28)</f>
        <v>9.1502428089419325</v>
      </c>
      <c r="Z28" s="56">
        <f>L28/F28</f>
        <v>0.74337513012302192</v>
      </c>
      <c r="AA28" s="56">
        <f t="shared" si="18"/>
        <v>1.7699775903606032</v>
      </c>
      <c r="AB28" s="56">
        <f>L28/K28</f>
        <v>0.42639998545268071</v>
      </c>
    </row>
    <row r="29" spans="1:28" x14ac:dyDescent="0.3">
      <c r="A29" s="1" t="s">
        <v>150</v>
      </c>
      <c r="B29" s="1" t="s">
        <v>474</v>
      </c>
      <c r="C29" s="41">
        <f>AVERAGE('[34]DCF Valuation'!$B$6:$F$6)</f>
        <v>4879.3645802032861</v>
      </c>
      <c r="D29" s="41">
        <f>C29+AVERAGE('[34]DCF Valuation'!$B$9:$F$9)</f>
        <v>6360.3095934489793</v>
      </c>
      <c r="E29" s="41">
        <f>'[34]Balance Sheet'!$G$35</f>
        <v>21426.7</v>
      </c>
      <c r="F29" s="41">
        <f>AVERAGE('[34]Balance Sheet Forecast'!$D$21:$H$21)</f>
        <v>30119.460515999508</v>
      </c>
      <c r="G29" s="42">
        <f>[34]Calc!M2</f>
        <v>0.18097548646389972</v>
      </c>
      <c r="H29" s="52">
        <f>'[34]WACC &amp; Key Assumptions'!$B$10</f>
        <v>7.8860419274769722E-2</v>
      </c>
      <c r="I29" s="41">
        <f>AVERAGE('[34]Balance Sheet Forecast'!$D$16:$H$16)-AVERAGE('[34]Balance Sheet Forecast'!$D$28:$H$32)</f>
        <v>39531.021887511728</v>
      </c>
      <c r="J29" s="41">
        <f>I29-F29</f>
        <v>9411.5613715122199</v>
      </c>
      <c r="K29" s="41">
        <f>H29*J29</f>
        <v>742.19967578768046</v>
      </c>
      <c r="X29" s="1" t="s">
        <v>474</v>
      </c>
      <c r="Y29" s="56">
        <f t="shared" ref="Y29:Y34" si="28">C29/K29</f>
        <v>6.5741938987307185</v>
      </c>
      <c r="Z29" s="56">
        <f t="shared" ref="Z29:Z34" si="29">J29/F29</f>
        <v>0.31247443381373924</v>
      </c>
      <c r="AA29" s="56">
        <f t="shared" ref="AA29:AA34" si="30">J29/D29</f>
        <v>1.4797332163211021</v>
      </c>
      <c r="AB29" s="56">
        <f t="shared" ref="AB29:AB34" si="31">J29/I29</f>
        <v>0.2380803966640041</v>
      </c>
    </row>
    <row r="30" spans="1:28" x14ac:dyDescent="0.3">
      <c r="A30" s="1" t="s">
        <v>150</v>
      </c>
      <c r="B30" s="1" t="s">
        <v>232</v>
      </c>
      <c r="C30" s="41">
        <f>AVERAGE('[34]DCF Valuation'!$I$6:$N$6)</f>
        <v>18616.444299216724</v>
      </c>
      <c r="D30" s="41">
        <f>C30+AVERAGE('[34]DCF Valuation'!$I$9:$N$9)</f>
        <v>20171.008967479695</v>
      </c>
      <c r="E30" s="41" t="e">
        <f>[34]!HUL[[#This Row],[2024]]</f>
        <v>#REF!</v>
      </c>
      <c r="F30" s="41">
        <f>AVERAGE('[34]Balance Sheet Forecast'!$M$22:$R$22)</f>
        <v>56553.277756266594</v>
      </c>
      <c r="G30" s="42">
        <f>[34]Calc!M3</f>
        <v>0.35058039879891528</v>
      </c>
      <c r="H30" s="52">
        <f>'[34]WACC &amp; Key Assumptions'!$C$10</f>
        <v>9.8634065680400437E-2</v>
      </c>
      <c r="I30" s="41">
        <f>AVERAGE('[34]Balance Sheet Forecast'!$M$17:$R$17)-AVERAGE('[34]Balance Sheet Forecast'!$M$29:$R$32)</f>
        <v>91531.720052976147</v>
      </c>
      <c r="J30" s="41">
        <f t="shared" ref="J30:J34" si="32">I30-F30</f>
        <v>34978.442296709552</v>
      </c>
      <c r="K30" s="41">
        <f t="shared" ref="K30:K34" si="33">H30*J30</f>
        <v>3450.0659748917469</v>
      </c>
      <c r="X30" s="1" t="s">
        <v>232</v>
      </c>
      <c r="Y30" s="56">
        <f t="shared" si="28"/>
        <v>5.3959676234309848</v>
      </c>
      <c r="Z30" s="56">
        <f t="shared" si="29"/>
        <v>0.61850424386469161</v>
      </c>
      <c r="AA30" s="56">
        <f t="shared" si="30"/>
        <v>1.7340948265455063</v>
      </c>
      <c r="AB30" s="56">
        <f t="shared" si="31"/>
        <v>0.38214558053169928</v>
      </c>
    </row>
    <row r="31" spans="1:28" x14ac:dyDescent="0.3">
      <c r="A31" s="1" t="s">
        <v>150</v>
      </c>
      <c r="B31" s="1" t="s">
        <v>52</v>
      </c>
      <c r="C31" s="41">
        <f>AVERAGE('[34]DCF Valuation'!$Q$6:$U$6)</f>
        <v>36151.520996205494</v>
      </c>
      <c r="D31" s="41">
        <f>C31+AVERAGE('[34]DCF Valuation'!$Q$9:$U$9)</f>
        <v>37934.662513314295</v>
      </c>
      <c r="E31" s="41">
        <f>'[34]Balance Sheet'!$V$40</f>
        <v>70397.94</v>
      </c>
      <c r="F31" s="41">
        <f>AVERAGE('[34]Balance Sheet Forecast'!$W$22:$AA$22)</f>
        <v>83882.319689221433</v>
      </c>
      <c r="G31" s="42">
        <f>[34]Calc!M4</f>
        <v>0.5394864438553657</v>
      </c>
      <c r="H31" s="52">
        <f>'[34]WACC &amp; Key Assumptions'!$D$10</f>
        <v>0.13168563906745248</v>
      </c>
      <c r="I31" s="41">
        <f>AVERAGE('[34]Balance Sheet Forecast'!$W$17:$AA$17)-AVERAGE('[34]Balance Sheet Forecast'!$W$29:$AA$32)</f>
        <v>102597.33633435614</v>
      </c>
      <c r="J31" s="41">
        <f t="shared" si="32"/>
        <v>18715.016645134703</v>
      </c>
      <c r="K31" s="41">
        <f t="shared" si="33"/>
        <v>2464.4989270725741</v>
      </c>
      <c r="X31" s="1" t="s">
        <v>52</v>
      </c>
      <c r="Y31" s="56">
        <f t="shared" si="28"/>
        <v>14.668913262278288</v>
      </c>
      <c r="Z31" s="56">
        <f t="shared" si="29"/>
        <v>0.22311038505459349</v>
      </c>
      <c r="AA31" s="56">
        <f t="shared" si="30"/>
        <v>0.49334870551612559</v>
      </c>
      <c r="AB31" s="56">
        <f t="shared" si="31"/>
        <v>0.18241230536574585</v>
      </c>
    </row>
    <row r="32" spans="1:28" x14ac:dyDescent="0.3">
      <c r="A32" s="1" t="s">
        <v>150</v>
      </c>
      <c r="B32" s="1" t="s">
        <v>233</v>
      </c>
      <c r="C32" s="41">
        <f>AVERAGE('[34]DCF Valuation'!$X$6:$AB$6)</f>
        <v>11223.515928347992</v>
      </c>
      <c r="D32" s="41">
        <f>C32+AVERAGE('[34]DCF Valuation'!$X$9:$AB$9)</f>
        <v>11991.811117490199</v>
      </c>
      <c r="E32" s="41" t="e">
        <f>[34]!Titan[[#This Row],[2025]]</f>
        <v>#REF!</v>
      </c>
      <c r="F32" s="41">
        <f>AVERAGE('[34]Balance Sheet Forecast'!$AF$23:$AJ$23)</f>
        <v>26387.896116477601</v>
      </c>
      <c r="G32" s="42">
        <f>[34]Calc!M5</f>
        <v>0.24500897314433989</v>
      </c>
      <c r="H32" s="52">
        <f>'[34]WACC &amp; Key Assumptions'!$E$10</f>
        <v>8.386030757488605E-2</v>
      </c>
      <c r="I32" s="41">
        <f>AVERAGE('[34]Balance Sheet Forecast'!$AF$18:$AJ$18)-AVERAGE('[34]Balance Sheet Forecast'!$AF$30:$AJ$33)</f>
        <v>60827.761648604406</v>
      </c>
      <c r="J32" s="41">
        <f t="shared" si="32"/>
        <v>34439.865532126802</v>
      </c>
      <c r="K32" s="41">
        <f t="shared" si="33"/>
        <v>2888.1377163618704</v>
      </c>
      <c r="X32" s="1" t="s">
        <v>233</v>
      </c>
      <c r="Y32" s="56">
        <f t="shared" si="28"/>
        <v>3.886073667735634</v>
      </c>
      <c r="Z32" s="56">
        <f t="shared" si="29"/>
        <v>1.3051387416453124</v>
      </c>
      <c r="AA32" s="56">
        <f t="shared" si="30"/>
        <v>2.8719486318372582</v>
      </c>
      <c r="AB32" s="56">
        <f t="shared" si="31"/>
        <v>0.5661866325294409</v>
      </c>
    </row>
    <row r="33" spans="1:28" x14ac:dyDescent="0.3">
      <c r="A33" s="1" t="s">
        <v>150</v>
      </c>
      <c r="B33" s="1" t="s">
        <v>234</v>
      </c>
      <c r="C33" s="41">
        <f>AVERAGE('[34]DCF Valuation'!$AE$6:$AI$6)</f>
        <v>5278.6513263146135</v>
      </c>
      <c r="D33" s="41">
        <f>C33+AVERAGE('[34]DCF Valuation'!$AE$9:$AI$9)</f>
        <v>6737.9288780762108</v>
      </c>
      <c r="E33" s="41">
        <f>'[34]Balance Sheet'!$AL$39</f>
        <v>5583.36</v>
      </c>
      <c r="F33" s="41">
        <f>AVERAGE('[34]Balance Sheet Forecast'!$AO$23:$AS$23)</f>
        <v>12564.034408519399</v>
      </c>
      <c r="G33" s="42">
        <f>[34]Calc!M6</f>
        <v>0.20512574307054271</v>
      </c>
      <c r="H33" s="52">
        <f>'[34]WACC &amp; Key Assumptions'!$F$10</f>
        <v>6.5374004943859546E-2</v>
      </c>
      <c r="I33" s="41">
        <f>AVERAGE('[34]Balance Sheet Forecast'!$AO$18:$AS$18)-AVERAGE('[34]Balance Sheet Forecast'!$AO$30:$AS$33)</f>
        <v>31340.961161587416</v>
      </c>
      <c r="J33" s="41">
        <f t="shared" si="32"/>
        <v>18776.926753068015</v>
      </c>
      <c r="K33" s="41">
        <f t="shared" si="33"/>
        <v>1227.522902385557</v>
      </c>
      <c r="X33" s="1" t="s">
        <v>234</v>
      </c>
      <c r="Y33" s="56">
        <f t="shared" si="28"/>
        <v>4.3002467131620357</v>
      </c>
      <c r="Z33" s="56">
        <f t="shared" si="29"/>
        <v>1.4944981956063244</v>
      </c>
      <c r="AA33" s="56">
        <f t="shared" si="30"/>
        <v>2.7867505123368317</v>
      </c>
      <c r="AB33" s="56">
        <f t="shared" si="31"/>
        <v>0.59911776975371378</v>
      </c>
    </row>
    <row r="34" spans="1:28" x14ac:dyDescent="0.3">
      <c r="A34" s="1" t="s">
        <v>150</v>
      </c>
      <c r="B34" s="1" t="s">
        <v>235</v>
      </c>
      <c r="C34" s="41">
        <f>AVERAGE('[34]DCF Valuation'!$AL$6:$AQ$6)</f>
        <v>7744.6021707842292</v>
      </c>
      <c r="D34" s="41">
        <f>C34+AVERAGE('[34]DCF Valuation'!$AL$9:$AQ$9)</f>
        <v>9583.9551619704562</v>
      </c>
      <c r="E34" s="41">
        <f>'[34]Balance Sheet'!$AS$35</f>
        <v>16739.636000000002</v>
      </c>
      <c r="F34" s="41">
        <f>AVERAGE('[34]Balance Sheet Forecast'!$AX$24:$BC$24)</f>
        <v>31896.386007657828</v>
      </c>
      <c r="G34" s="42">
        <f>[34]Calc!M7</f>
        <v>0.22872996409500093</v>
      </c>
      <c r="H34" s="52">
        <f>'[34]WACC &amp; Key Assumptions'!$G$10</f>
        <v>6.1236174673220449E-2</v>
      </c>
      <c r="I34" s="41">
        <f>AVERAGE('[34]Balance Sheet Forecast'!$AX$19:$BC$19)-AVERAGE('[34]Balance Sheet Forecast'!$AX$31:$BC$34)</f>
        <v>44661.678068548987</v>
      </c>
      <c r="J34" s="41">
        <f t="shared" si="32"/>
        <v>12765.292060891159</v>
      </c>
      <c r="K34" s="41">
        <f t="shared" si="33"/>
        <v>781.69765439540527</v>
      </c>
      <c r="X34" s="1" t="s">
        <v>235</v>
      </c>
      <c r="Y34" s="56">
        <f t="shared" si="28"/>
        <v>9.9074138539845045</v>
      </c>
      <c r="Z34" s="56">
        <f t="shared" si="29"/>
        <v>0.40021123577531353</v>
      </c>
      <c r="AA34" s="56">
        <f t="shared" si="30"/>
        <v>1.3319440507760705</v>
      </c>
      <c r="AB34" s="56">
        <f t="shared" si="31"/>
        <v>0.28582204281035628</v>
      </c>
    </row>
    <row r="35" spans="1:28" x14ac:dyDescent="0.3">
      <c r="A35" s="1" t="s">
        <v>146</v>
      </c>
      <c r="B35" s="1" t="s">
        <v>128</v>
      </c>
      <c r="C35" s="41">
        <f>AVERAGE([35]DCF!$D$5:$H$5)</f>
        <v>23874.114576730703</v>
      </c>
      <c r="D35" s="41">
        <f>C35+AVERAGE([35]DCF!$D$8:$H$8)</f>
        <v>31092.990794924393</v>
      </c>
      <c r="E35" s="41">
        <f>AVERAGE('[35]Balance Sheet'!$F$43:$G$43)</f>
        <v>59758.17</v>
      </c>
      <c r="F35" s="41">
        <f>E35+H35-G35</f>
        <v>68206.914999999994</v>
      </c>
      <c r="G35" s="53">
        <f>ABS(AVERAGE('[35]Cash Flow Statement'!$D$71:$G$71))</f>
        <v>1133.8800000000001</v>
      </c>
      <c r="H35" s="41">
        <f>AVERAGE('[35]Income Statement'!$F$30:$G$30)</f>
        <v>9582.6250000000036</v>
      </c>
      <c r="I35" s="52">
        <f>'[35]WACC &amp; Key Assumptions'!Z2</f>
        <v>0.15</v>
      </c>
      <c r="J35" s="52">
        <f>'[35]WACC &amp; Key Assumptions'!$B$10</f>
        <v>4.1239662475298422E-2</v>
      </c>
      <c r="K35" s="41">
        <f>C35/I35</f>
        <v>159160.76384487137</v>
      </c>
      <c r="L35" s="41">
        <f>K35-F35</f>
        <v>90953.848844871376</v>
      </c>
      <c r="M35" s="41">
        <f>J35*L35</f>
        <v>3750.906027191807</v>
      </c>
      <c r="X35" s="1" t="s">
        <v>128</v>
      </c>
      <c r="Y35" s="56">
        <f>C35/M35</f>
        <v>6.3648927495537793</v>
      </c>
      <c r="Z35" s="56">
        <f>L35/F35</f>
        <v>1.3334989398783303</v>
      </c>
      <c r="AA35" s="56">
        <f>L35/D35</f>
        <v>2.925220331642032</v>
      </c>
      <c r="AB35" s="56">
        <f>L35/K35</f>
        <v>0.57145898679853679</v>
      </c>
    </row>
    <row r="36" spans="1:28" x14ac:dyDescent="0.3">
      <c r="A36" s="1" t="s">
        <v>146</v>
      </c>
      <c r="B36" s="1" t="s">
        <v>129</v>
      </c>
      <c r="C36" s="41">
        <f>AVERAGE([35]DCF!$M$5:$Q$5)</f>
        <v>2102.3246303047708</v>
      </c>
      <c r="D36" s="41">
        <f>C36+AVERAGE([35]DCF!$M$8:$Q$8)</f>
        <v>2835.6735832600725</v>
      </c>
      <c r="E36" s="41">
        <f>AVERAGE('[35]Balance Sheet'!$N$40:$O$40)</f>
        <v>5790.8349999999991</v>
      </c>
      <c r="F36" s="41">
        <f t="shared" ref="F36:F39" si="34">E36+H36-G36</f>
        <v>5726.860499999997</v>
      </c>
      <c r="G36" s="53">
        <f>ABS(AVERAGE('[35]Cash Flow Statement'!$L$54:$O$54)+AVERAGE('[35]Cash Flow Statement'!$M$55:$O$55))</f>
        <v>607.03249999999991</v>
      </c>
      <c r="H36" s="41">
        <f>AVERAGE('[35]Income Statement'!$K$27:$O$27)</f>
        <v>543.05799999999817</v>
      </c>
      <c r="I36" s="52">
        <f>'[35]WACC &amp; Key Assumptions'!Z3</f>
        <v>0.15</v>
      </c>
      <c r="J36" s="52">
        <f>'[35]WACC &amp; Key Assumptions'!$C$10</f>
        <v>0.10679355678441853</v>
      </c>
      <c r="K36" s="41">
        <f t="shared" ref="K36:K39" si="35">C36/I36</f>
        <v>14015.497535365139</v>
      </c>
      <c r="L36" s="41">
        <f t="shared" ref="L36:L39" si="36">K36-F36</f>
        <v>8288.6370353651419</v>
      </c>
      <c r="M36" s="41">
        <f t="shared" ref="M36:M39" si="37">J36*L36</f>
        <v>885.17302990170174</v>
      </c>
      <c r="X36" s="1" t="s">
        <v>129</v>
      </c>
      <c r="Y36" s="56">
        <f>C36/M36</f>
        <v>2.3750437025156916</v>
      </c>
      <c r="Z36" s="56">
        <f>L36/F36</f>
        <v>1.4473265125569492</v>
      </c>
      <c r="AA36" s="56">
        <f>L36/D36</f>
        <v>2.9229870053788041</v>
      </c>
      <c r="AB36" s="56">
        <f>L36/K36</f>
        <v>0.59139085247958711</v>
      </c>
    </row>
    <row r="37" spans="1:28" x14ac:dyDescent="0.3">
      <c r="A37" s="1" t="s">
        <v>146</v>
      </c>
      <c r="B37" s="1" t="s">
        <v>475</v>
      </c>
      <c r="C37" s="41">
        <f>AVERAGE([35]DCF!$V$5:$Z$5)</f>
        <v>1847.1164627591547</v>
      </c>
      <c r="D37" s="41">
        <f>AVERAGE([35]DCF!$V$8:$Z$8)</f>
        <v>301.76866930717307</v>
      </c>
      <c r="E37" s="41">
        <f>AVERAGE('[35]Balance Sheet'!$V$36:$W$36)</f>
        <v>4721.5749999999998</v>
      </c>
      <c r="F37" s="41">
        <f t="shared" si="34"/>
        <v>5056.4941666666655</v>
      </c>
      <c r="G37" s="53">
        <f>ABS(AVERAGE('[35]Cash Flow Statement'!$T$48:$W$48))</f>
        <v>96.332499999999996</v>
      </c>
      <c r="H37" s="41">
        <f>AVERAGE('[35]Income Statement'!$R$24:$W$24)</f>
        <v>431.25166666666564</v>
      </c>
      <c r="I37" s="52">
        <f>'[35]WACC &amp; Key Assumptions'!Z4</f>
        <v>0.15</v>
      </c>
      <c r="J37" s="52">
        <f>'[35]WACC &amp; Key Assumptions'!$D$10</f>
        <v>0.13290619517236407</v>
      </c>
      <c r="K37" s="41">
        <f t="shared" si="35"/>
        <v>12314.109751727699</v>
      </c>
      <c r="L37" s="41">
        <f t="shared" si="36"/>
        <v>7257.6155850610339</v>
      </c>
      <c r="M37" s="41">
        <f t="shared" si="37"/>
        <v>964.582073434113</v>
      </c>
      <c r="X37" s="1" t="s">
        <v>475</v>
      </c>
      <c r="Y37" s="56">
        <f>C37/M37</f>
        <v>1.9149396548321032</v>
      </c>
      <c r="Z37" s="56">
        <f>L37/F37</f>
        <v>1.4353058355934758</v>
      </c>
      <c r="AA37" s="56">
        <f>L37/D37</f>
        <v>24.050262082288739</v>
      </c>
      <c r="AB37" s="56">
        <f>L37/K37</f>
        <v>0.58937395649269508</v>
      </c>
    </row>
    <row r="38" spans="1:28" x14ac:dyDescent="0.3">
      <c r="A38" s="1" t="s">
        <v>146</v>
      </c>
      <c r="B38" s="1" t="s">
        <v>131</v>
      </c>
      <c r="C38" s="41">
        <f>AVERAGE([35]DCF!$AE$5:$AI$5)</f>
        <v>49840.321183976994</v>
      </c>
      <c r="D38" s="41">
        <f>C38+AVERAGE([35]DCF!$AE$8:$AI$8)</f>
        <v>55943.75099731925</v>
      </c>
      <c r="E38" s="41">
        <f>AVERAGE('[35]Balance Sheet'!$AC$37:$AE$37)</f>
        <v>107173.52</v>
      </c>
      <c r="F38" s="41">
        <f t="shared" si="34"/>
        <v>118879.40000000001</v>
      </c>
      <c r="G38" s="53">
        <f>ABS(AVERAGE('[35]Cash Flow Statement'!$Z$65:$AE$65))</f>
        <v>3544.47</v>
      </c>
      <c r="H38" s="41">
        <f>AVERAGE('[35]Income Statement'!$AC$42:$AE$42)</f>
        <v>15250.350000000011</v>
      </c>
      <c r="I38" s="52">
        <f>'[35]WACC &amp; Key Assumptions'!Z5</f>
        <v>0.15</v>
      </c>
      <c r="J38" s="52">
        <f>'[35]WACC &amp; Key Assumptions'!$E$10</f>
        <v>8.1341709120711134E-2</v>
      </c>
      <c r="K38" s="41">
        <f t="shared" si="35"/>
        <v>332268.80789318</v>
      </c>
      <c r="L38" s="41">
        <f t="shared" si="36"/>
        <v>213389.40789317997</v>
      </c>
      <c r="M38" s="41">
        <f t="shared" si="37"/>
        <v>17357.459146287827</v>
      </c>
      <c r="X38" s="1" t="s">
        <v>131</v>
      </c>
      <c r="Y38" s="56">
        <f>C38/M38</f>
        <v>2.8714065096697148</v>
      </c>
      <c r="Z38" s="56">
        <f>L38/F38</f>
        <v>1.7950074436208456</v>
      </c>
      <c r="AA38" s="56">
        <f>L38/D38</f>
        <v>3.8143564578536271</v>
      </c>
      <c r="AB38" s="56">
        <f>L38/K38</f>
        <v>0.64221919970827301</v>
      </c>
    </row>
    <row r="39" spans="1:28" x14ac:dyDescent="0.3">
      <c r="A39" s="1" t="s">
        <v>146</v>
      </c>
      <c r="B39" s="1" t="s">
        <v>132</v>
      </c>
      <c r="C39" s="41">
        <f>AVERAGE([35]DCF!$AN$5:$AR$5)</f>
        <v>3349.6716868232697</v>
      </c>
      <c r="D39" s="41">
        <f>C39+AVERAGE([35]DCF!$AN$8:$AR$8)</f>
        <v>3387.2272955422818</v>
      </c>
      <c r="E39" s="41">
        <f>AVERAGE('[35]Balance Sheet'!$AL$36:$AM$36)</f>
        <v>8684.7849999999999</v>
      </c>
      <c r="F39" s="41">
        <f t="shared" si="34"/>
        <v>9514.6269999999986</v>
      </c>
      <c r="G39" s="53">
        <f>ABS(AVERAGE('[35]Cash Flow Statement'!$AI$51:$AM$51))</f>
        <v>442.77799999999996</v>
      </c>
      <c r="H39" s="41">
        <f>AVERAGE('[35]Income Statement'!$AJ$25:$AM$25)</f>
        <v>1272.6199999999997</v>
      </c>
      <c r="I39" s="52">
        <f>'[35]WACC &amp; Key Assumptions'!Z6</f>
        <v>0.15</v>
      </c>
      <c r="J39" s="52">
        <f>'[35]WACC &amp; Key Assumptions'!$F$10</f>
        <v>7.4953985222532202E-2</v>
      </c>
      <c r="K39" s="41">
        <f t="shared" si="35"/>
        <v>22331.144578821801</v>
      </c>
      <c r="L39" s="41">
        <f t="shared" si="36"/>
        <v>12816.517578821802</v>
      </c>
      <c r="M39" s="41">
        <f t="shared" si="37"/>
        <v>960.64906920733358</v>
      </c>
      <c r="X39" s="1" t="s">
        <v>132</v>
      </c>
      <c r="Y39" s="56">
        <f>C39/M39</f>
        <v>3.4868838103254558</v>
      </c>
      <c r="Z39" s="56">
        <f>L39/F39</f>
        <v>1.3470331079528188</v>
      </c>
      <c r="AA39" s="56">
        <f>L39/D39</f>
        <v>3.7837784301303961</v>
      </c>
      <c r="AB39" s="56">
        <f>L39/K39</f>
        <v>0.57393016885379933</v>
      </c>
    </row>
    <row r="40" spans="1:28" x14ac:dyDescent="0.3">
      <c r="A40" s="1" t="s">
        <v>147</v>
      </c>
      <c r="B40" s="1" t="s">
        <v>120</v>
      </c>
      <c r="C40" s="41">
        <f>AVERAGE([38]FCFF!$D$6:$H$6)</f>
        <v>25436.87193002582</v>
      </c>
      <c r="D40" s="41">
        <f>C40+AVERAGE([38]FCFF!$D$9:$H$9)</f>
        <v>33426.818208498094</v>
      </c>
      <c r="E40" s="41">
        <f>AVERAGE('[38]Balance Sheet'!$F$37:$G$37)</f>
        <v>78509.595000000001</v>
      </c>
      <c r="F40" s="41">
        <f>E40+H40-G40</f>
        <v>90920.344999999987</v>
      </c>
      <c r="G40" s="53">
        <f>ABS(AVERAGE('[38]Cash Flow Statement'!$F$8:$G$8))</f>
        <v>5944.8600000000006</v>
      </c>
      <c r="H40" s="41">
        <f>AVERAGE('[38]Income Statement'!$F$27:$G$27)</f>
        <v>18355.60999999999</v>
      </c>
      <c r="I40" s="42">
        <f>[38]Calc!R2</f>
        <v>0.12</v>
      </c>
      <c r="J40" s="42">
        <f>[38]WACC!$B$12</f>
        <v>4.9418253864072476E-2</v>
      </c>
      <c r="K40" s="41">
        <f>C40/I40</f>
        <v>211973.93275021517</v>
      </c>
      <c r="L40" s="41">
        <f>K40-F40</f>
        <v>121053.58775021519</v>
      </c>
      <c r="M40" s="41">
        <f>J40*L40</f>
        <v>5982.2569305969082</v>
      </c>
      <c r="X40" s="1" t="s">
        <v>120</v>
      </c>
      <c r="Y40" s="56">
        <f t="shared" ref="Y40:Y45" si="38">C40/M40</f>
        <v>4.2520527327949011</v>
      </c>
      <c r="Z40" s="56">
        <f t="shared" ref="Z40:Z45" si="39">L40/F40</f>
        <v>1.331424641538868</v>
      </c>
      <c r="AA40" s="56">
        <f t="shared" ref="AA40:AA45" si="40">L40/D40</f>
        <v>3.6214511053714276</v>
      </c>
      <c r="AB40" s="56">
        <f t="shared" ref="AB40:AB45" si="41">L40/K40</f>
        <v>0.57107770837493366</v>
      </c>
    </row>
    <row r="41" spans="1:28" x14ac:dyDescent="0.3">
      <c r="A41" s="1" t="s">
        <v>147</v>
      </c>
      <c r="B41" s="1" t="s">
        <v>121</v>
      </c>
      <c r="C41" s="41">
        <f>AVERAGE([38]FCFF!$M$6:$Q$6)</f>
        <v>18372.842111097842</v>
      </c>
      <c r="D41" s="41">
        <f>C41+AVERAGE([38]FCFF!$M$9:$Q$9)</f>
        <v>23598.520756750342</v>
      </c>
      <c r="E41" s="41">
        <f>AVERAGE('[38]Balance Sheet'!$N$35:$O$35)</f>
        <v>81218.13</v>
      </c>
      <c r="F41" s="41">
        <f t="shared" ref="F41:F45" si="42">E41+H41-G41</f>
        <v>88874.435000000012</v>
      </c>
      <c r="G41" s="53">
        <f>ABS(AVERAGE('[38]Cash Flow Statement'!$J$8:$O$8))</f>
        <v>3526.5349999999999</v>
      </c>
      <c r="H41" s="41">
        <f>AVERAGE('[38]Income Statement'!$N$27:$O$27)</f>
        <v>11182.840000000007</v>
      </c>
      <c r="I41" s="42">
        <f>[38]Calc!R3</f>
        <v>0.12</v>
      </c>
      <c r="J41" s="42">
        <f>[38]WACC!$C$12</f>
        <v>3.5516093395598851E-2</v>
      </c>
      <c r="K41" s="41">
        <f t="shared" ref="K41:K45" si="43">C41/I41</f>
        <v>153107.01759248201</v>
      </c>
      <c r="L41" s="41">
        <f t="shared" ref="L41:L45" si="44">K41-F41</f>
        <v>64232.582592481995</v>
      </c>
      <c r="M41" s="41">
        <f t="shared" ref="M41:M45" si="45">J41*L41</f>
        <v>2281.2904023951073</v>
      </c>
      <c r="X41" s="1" t="s">
        <v>121</v>
      </c>
      <c r="Y41" s="56">
        <f t="shared" si="38"/>
        <v>8.0537059603671466</v>
      </c>
      <c r="Z41" s="56">
        <f t="shared" si="39"/>
        <v>0.72273407524314481</v>
      </c>
      <c r="AA41" s="56">
        <f t="shared" si="40"/>
        <v>2.7218902089067725</v>
      </c>
      <c r="AB41" s="56">
        <f t="shared" si="41"/>
        <v>0.41952735806954938</v>
      </c>
    </row>
    <row r="42" spans="1:28" x14ac:dyDescent="0.3">
      <c r="A42" s="1" t="s">
        <v>147</v>
      </c>
      <c r="B42" s="1" t="s">
        <v>122</v>
      </c>
      <c r="C42" s="41">
        <f>AVERAGE([38]FCFF!$V$6:$Z$6)</f>
        <v>13117.527724118579</v>
      </c>
      <c r="D42" s="41">
        <f>C42+AVERAGE([38]FCFF!$V$9:$Z$9)</f>
        <v>20125.696403874044</v>
      </c>
      <c r="E42" s="41">
        <f>AVERAGE('[38]Balance Sheet'!$V$32:$W$32)</f>
        <v>49032.820000000007</v>
      </c>
      <c r="F42" s="41">
        <f t="shared" si="42"/>
        <v>58260.493333333347</v>
      </c>
      <c r="G42" s="53">
        <f>ABS(AVERAGE('[38]Cash Flow Statement'!$R$8:$W$8))</f>
        <v>2147.4816666666666</v>
      </c>
      <c r="H42" s="41">
        <f>AVERAGE('[38]Income Statement'!$V$30:$W$30)</f>
        <v>11375.155000000004</v>
      </c>
      <c r="I42" s="42">
        <f>[38]Calc!R4</f>
        <v>0.12</v>
      </c>
      <c r="J42" s="42">
        <f>[38]WACC!$D$12</f>
        <v>3.7917186172214463E-2</v>
      </c>
      <c r="K42" s="41">
        <f t="shared" si="43"/>
        <v>109312.73103432151</v>
      </c>
      <c r="L42" s="41">
        <f t="shared" si="44"/>
        <v>51052.23770098816</v>
      </c>
      <c r="M42" s="41">
        <f t="shared" si="45"/>
        <v>1935.7572014165141</v>
      </c>
      <c r="X42" s="1" t="s">
        <v>122</v>
      </c>
      <c r="Y42" s="56">
        <f t="shared" si="38"/>
        <v>6.776432351391831</v>
      </c>
      <c r="Z42" s="56">
        <f t="shared" si="39"/>
        <v>0.87627541031786915</v>
      </c>
      <c r="AA42" s="56">
        <f t="shared" si="40"/>
        <v>2.5366693741420541</v>
      </c>
      <c r="AB42" s="56">
        <f t="shared" si="41"/>
        <v>0.46702920344162852</v>
      </c>
    </row>
    <row r="43" spans="1:28" x14ac:dyDescent="0.3">
      <c r="A43" s="1" t="s">
        <v>147</v>
      </c>
      <c r="B43" s="1" t="s">
        <v>123</v>
      </c>
      <c r="C43" s="41">
        <f>AVERAGE([38]FCFF!$AE$6:$AI$6)</f>
        <v>43991.906391734898</v>
      </c>
      <c r="D43" s="41">
        <f>C43+AVERAGE([38]FCFF!$AE$9:$AI$9)</f>
        <v>62472.951545474083</v>
      </c>
      <c r="E43" s="41">
        <f>AVERAGE('[38]Balance Sheet'!$AD$37:$AE$37)</f>
        <v>189593.82</v>
      </c>
      <c r="F43" s="41">
        <f t="shared" si="42"/>
        <v>193123.81000000003</v>
      </c>
      <c r="G43" s="53">
        <f>ABS(AVERAGE('[38]Cash Flow Statement'!$AD$8:$AE$8))</f>
        <v>10258.84</v>
      </c>
      <c r="H43" s="41">
        <f>AVERAGE('[38]Income Statement'!$AE$32)</f>
        <v>13788.830000000002</v>
      </c>
      <c r="I43" s="42">
        <f>[38]Calc!R5</f>
        <v>0.12</v>
      </c>
      <c r="J43" s="42">
        <f>[38]WACC!$E$12</f>
        <v>5.2500650607832315E-2</v>
      </c>
      <c r="K43" s="41">
        <f t="shared" si="43"/>
        <v>366599.21993112419</v>
      </c>
      <c r="L43" s="41">
        <f t="shared" si="44"/>
        <v>173475.40993112416</v>
      </c>
      <c r="M43" s="41">
        <f t="shared" si="45"/>
        <v>9107.5718858444343</v>
      </c>
      <c r="X43" s="1" t="s">
        <v>123</v>
      </c>
      <c r="Y43" s="56">
        <f t="shared" si="38"/>
        <v>4.8302562903851367</v>
      </c>
      <c r="Z43" s="56">
        <f t="shared" si="39"/>
        <v>0.89826008471521013</v>
      </c>
      <c r="AA43" s="56">
        <f t="shared" si="40"/>
        <v>2.7768082928633739</v>
      </c>
      <c r="AB43" s="56">
        <f t="shared" si="41"/>
        <v>0.47320179776628091</v>
      </c>
    </row>
    <row r="44" spans="1:28" x14ac:dyDescent="0.3">
      <c r="A44" s="1" t="s">
        <v>147</v>
      </c>
      <c r="B44" s="1" t="s">
        <v>124</v>
      </c>
      <c r="C44" s="41">
        <f>AVERAGE([38]FCFF!$AN$6:$AR$6)</f>
        <v>84658.140749722123</v>
      </c>
      <c r="D44" s="41">
        <f>C44+AVERAGE([38]FCFF!$AN$9:$AR$9)</f>
        <v>127141.26221686912</v>
      </c>
      <c r="E44" s="41">
        <f>AVERAGE('[38]Balance Sheet'!$AL$53:$AM$53)</f>
        <v>366929.68550000002</v>
      </c>
      <c r="F44" s="41">
        <f t="shared" si="42"/>
        <v>395018.50675000006</v>
      </c>
      <c r="G44" s="53">
        <f>ABS(AVERAGE('[38]Cash Flow Statement'!$AK$8:$AM$8))</f>
        <v>15829.534</v>
      </c>
      <c r="H44" s="41">
        <f>AVERAGE('[38]Income Statement'!$AJ$29:$AM$29)</f>
        <v>43918.355250000015</v>
      </c>
      <c r="I44" s="42">
        <f>[38]Calc!R6</f>
        <v>0.12</v>
      </c>
      <c r="J44" s="42">
        <f>[38]WACC!$F$12</f>
        <v>6.923987559504502E-2</v>
      </c>
      <c r="K44" s="41">
        <f t="shared" si="43"/>
        <v>705484.50624768436</v>
      </c>
      <c r="L44" s="41">
        <f t="shared" si="44"/>
        <v>310465.9994976843</v>
      </c>
      <c r="M44" s="41">
        <f t="shared" si="45"/>
        <v>21496.62718171097</v>
      </c>
      <c r="X44" s="1" t="s">
        <v>124</v>
      </c>
      <c r="Y44" s="56">
        <f t="shared" si="38"/>
        <v>3.938205748934795</v>
      </c>
      <c r="Z44" s="56">
        <f t="shared" si="39"/>
        <v>0.78595304825597079</v>
      </c>
      <c r="AA44" s="56">
        <f t="shared" si="40"/>
        <v>2.4418980438318445</v>
      </c>
      <c r="AB44" s="56">
        <f t="shared" si="41"/>
        <v>0.44007486592297274</v>
      </c>
    </row>
    <row r="45" spans="1:28" x14ac:dyDescent="0.3">
      <c r="A45" s="1" t="s">
        <v>147</v>
      </c>
      <c r="B45" s="1" t="s">
        <v>476</v>
      </c>
      <c r="C45" s="41">
        <f>AVERAGE([38]FCFF!$AW$6:$BA$6)</f>
        <v>83573.202757470397</v>
      </c>
      <c r="D45" s="41">
        <f>C45+AVERAGE([38]FCFF!$AW$9:$BA$9)</f>
        <v>105311.33592872816</v>
      </c>
      <c r="E45" s="41">
        <f>AVERAGE('[38]Balance Sheet'!$AT$29:$AU$29)</f>
        <v>529091.5</v>
      </c>
      <c r="F45" s="41">
        <f t="shared" si="42"/>
        <v>563532.66666666663</v>
      </c>
      <c r="G45" s="53">
        <f>ABS(AVERAGE('[38]Cash Flow Statement'!$AP$8:$AU$8))</f>
        <v>5123.333333333333</v>
      </c>
      <c r="H45" s="41">
        <f>AVERAGE('[38]Income Statement'!$AR$28:$AU$28)</f>
        <v>39564.5</v>
      </c>
      <c r="I45" s="42">
        <f>[38]Calc!R7</f>
        <v>0.12</v>
      </c>
      <c r="J45" s="42">
        <f>[38]WACC!$G$12</f>
        <v>3.8657736213856923E-2</v>
      </c>
      <c r="K45" s="41">
        <f t="shared" si="43"/>
        <v>696443.35631225328</v>
      </c>
      <c r="L45" s="41">
        <f t="shared" si="44"/>
        <v>132910.68964558665</v>
      </c>
      <c r="M45" s="41">
        <f t="shared" si="45"/>
        <v>5138.0263803208936</v>
      </c>
      <c r="X45" s="1" t="s">
        <v>476</v>
      </c>
      <c r="Y45" s="56">
        <f t="shared" si="38"/>
        <v>16.26562352376456</v>
      </c>
      <c r="Z45" s="56">
        <f t="shared" si="39"/>
        <v>0.23585267990188086</v>
      </c>
      <c r="AA45" s="56">
        <f t="shared" si="40"/>
        <v>1.2620739113549655</v>
      </c>
      <c r="AB45" s="56">
        <f t="shared" si="41"/>
        <v>0.19084206696918449</v>
      </c>
    </row>
    <row r="46" spans="1:28" x14ac:dyDescent="0.3">
      <c r="A46" s="1" t="s">
        <v>145</v>
      </c>
      <c r="B46" s="1" t="s">
        <v>236</v>
      </c>
      <c r="C46" s="41">
        <f>AVERAGE('[39]Income Statement Forecast'!$B$16:$F$16)</f>
        <v>3794.9480952099461</v>
      </c>
      <c r="D46" s="41">
        <f>AVERAGE('[39]Income Statement Forecast'!$B$14:$F$14)</f>
        <v>4334.4304461340516</v>
      </c>
      <c r="E46" s="41">
        <f>AVERAGE('[39]Balance Sheet'!$D$33:$G$33)</f>
        <v>13258.817500000001</v>
      </c>
      <c r="F46" s="41">
        <f>AVERAGE('[39]Balance Sheet Forecast'!$B$21:$F$21)</f>
        <v>19534.903578940048</v>
      </c>
      <c r="G46" s="42">
        <f>[39]WACC!$B$11</f>
        <v>0.375</v>
      </c>
      <c r="H46" s="41">
        <f>AVERAGE('[39]Balance Sheet Forecast'!$B$16:$F$16)-AVERAGE('[39]Balance Sheet Forecast'!$B$31:$F$31)</f>
        <v>20672.954377473987</v>
      </c>
      <c r="I46" s="41">
        <f>H46-F46</f>
        <v>1138.0507985339391</v>
      </c>
      <c r="J46" s="41">
        <f>G46*I46</f>
        <v>426.76904945022716</v>
      </c>
      <c r="X46" s="1" t="s">
        <v>236</v>
      </c>
      <c r="Y46" s="53">
        <f t="shared" ref="Y46:Y51" si="46">C46/J46</f>
        <v>8.8922758107662165</v>
      </c>
      <c r="Z46" s="53">
        <f t="shared" ref="Z46:Z51" si="47">I46/F46</f>
        <v>5.8257303084968133E-2</v>
      </c>
      <c r="AA46" s="53">
        <f t="shared" ref="AA46:AA51" si="48">I46/D46</f>
        <v>0.26256063228537557</v>
      </c>
      <c r="AB46" s="53">
        <f t="shared" ref="AB46:AB51" si="49">I46/H46</f>
        <v>5.5050225417901624E-2</v>
      </c>
    </row>
    <row r="47" spans="1:28" x14ac:dyDescent="0.3">
      <c r="A47" s="1" t="s">
        <v>145</v>
      </c>
      <c r="B47" s="1" t="s">
        <v>88</v>
      </c>
      <c r="C47" s="41">
        <f>AVERAGE('[39]Income Statement Forecast'!$I$16:$M$16)</f>
        <v>14992.507390329047</v>
      </c>
      <c r="D47" s="41">
        <f>AVERAGE('[39]Income Statement Forecast'!$I$14:$M$14)</f>
        <v>18694.860121279751</v>
      </c>
      <c r="E47" s="41">
        <f>AVERAGE('[39]Balance Sheet'!$N$36:$O$36)</f>
        <v>69805.944999999992</v>
      </c>
      <c r="F47" s="41">
        <f>AVERAGE('[39]Balance Sheet Forecast'!$I$21:$M$21)</f>
        <v>93354.499848536143</v>
      </c>
      <c r="G47" s="42">
        <f>[39]WACC!$C$11</f>
        <v>8.9611934501049983E-2</v>
      </c>
      <c r="H47" s="41">
        <f>AVERAGE('[39]Balance Sheet Forecast'!$I$16:$M$16)-AVERAGE('[39]Balance Sheet Forecast'!$I$31:$M$31)</f>
        <v>100592.33672478795</v>
      </c>
      <c r="I47" s="41">
        <f t="shared" ref="I47:I51" si="50">H47-F47</f>
        <v>7237.8368762518076</v>
      </c>
      <c r="J47" s="41">
        <f t="shared" ref="J47:J51" si="51">G47*I47</f>
        <v>648.5965640839612</v>
      </c>
      <c r="X47" s="1" t="s">
        <v>88</v>
      </c>
      <c r="Y47" s="53">
        <f t="shared" si="46"/>
        <v>23.115304983928745</v>
      </c>
      <c r="Z47" s="53">
        <f t="shared" si="47"/>
        <v>7.7530669523107096E-2</v>
      </c>
      <c r="AA47" s="53">
        <f t="shared" si="48"/>
        <v>0.38715651410588586</v>
      </c>
      <c r="AB47" s="53">
        <f t="shared" si="49"/>
        <v>7.1952169637473598E-2</v>
      </c>
    </row>
    <row r="48" spans="1:28" x14ac:dyDescent="0.3">
      <c r="A48" s="1" t="s">
        <v>145</v>
      </c>
      <c r="B48" s="1" t="s">
        <v>89</v>
      </c>
      <c r="C48" s="41">
        <f>AVERAGE('[39]Income Statement Forecast'!$P$16:$T$16)</f>
        <v>4635.822428361118</v>
      </c>
      <c r="D48" s="41">
        <f>AVERAGE('[39]Income Statement Forecast'!$P$14:$T$14)</f>
        <v>5455.0158384522783</v>
      </c>
      <c r="E48" s="41">
        <f>AVERAGE('[39]Balance Sheet'!$V$38:$W$38)</f>
        <v>12071.985000000001</v>
      </c>
      <c r="F48" s="41">
        <f>AVERAGE('[39]Balance Sheet Forecast'!$P$21:$T$21)</f>
        <v>22559.056351854244</v>
      </c>
      <c r="G48" s="42">
        <f>[39]WACC!$D$11</f>
        <v>3.783814743668823E-2</v>
      </c>
      <c r="H48" s="41">
        <f>AVERAGE('[39]Balance Sheet Forecast'!$P$16:$T$16)-AVERAGE('[39]Balance Sheet Forecast'!$P$31:$T$31)</f>
        <v>28843.263190269459</v>
      </c>
      <c r="I48" s="41">
        <f t="shared" si="50"/>
        <v>6284.2068384152153</v>
      </c>
      <c r="J48" s="41">
        <f t="shared" si="51"/>
        <v>237.78274487459933</v>
      </c>
      <c r="X48" s="1" t="s">
        <v>89</v>
      </c>
      <c r="Y48" s="53">
        <f t="shared" si="46"/>
        <v>19.496042199386398</v>
      </c>
      <c r="Z48" s="53">
        <f t="shared" si="47"/>
        <v>0.27856691966189817</v>
      </c>
      <c r="AA48" s="53">
        <f t="shared" si="48"/>
        <v>1.152005241509656</v>
      </c>
      <c r="AB48" s="53">
        <f t="shared" si="49"/>
        <v>0.21787433678916227</v>
      </c>
    </row>
    <row r="49" spans="1:28" x14ac:dyDescent="0.3">
      <c r="A49" s="1" t="s">
        <v>145</v>
      </c>
      <c r="B49" s="1" t="s">
        <v>480</v>
      </c>
      <c r="C49" s="41">
        <f>AVERAGE('[39]Income Statement Forecast'!$W$16:$AA$16)</f>
        <v>6878.3586938854323</v>
      </c>
      <c r="D49" s="41">
        <f>AVERAGE('[39]Income Statement Forecast'!$W$14:$AA$14)</f>
        <v>10102.880327129853</v>
      </c>
      <c r="E49" s="41">
        <f>AVERAGE('[39]Balance Sheet'!$AD$35:$AE$35)</f>
        <v>31091.100000000002</v>
      </c>
      <c r="F49" s="41">
        <f>AVERAGE('[39]Balance Sheet Forecast'!$W$21:$AA$21)</f>
        <v>45131.388228483942</v>
      </c>
      <c r="G49" s="42">
        <f>[39]WACC!$E$11</f>
        <v>4.5369499208826922E-2</v>
      </c>
      <c r="H49" s="41">
        <f>AVERAGE('[39]Balance Sheet Forecast'!$W$16:$AA$16)-AVERAGE('[39]Balance Sheet Forecast'!$W$31:$AA$31)</f>
        <v>46787.797574004508</v>
      </c>
      <c r="I49" s="41">
        <f t="shared" si="50"/>
        <v>1656.4093455205657</v>
      </c>
      <c r="J49" s="41">
        <f t="shared" si="51"/>
        <v>75.150462491088831</v>
      </c>
      <c r="X49" s="1" t="s">
        <v>480</v>
      </c>
      <c r="Y49" s="53">
        <f t="shared" si="46"/>
        <v>91.527829182701993</v>
      </c>
      <c r="Z49" s="53">
        <f t="shared" si="47"/>
        <v>3.6701936513336628E-2</v>
      </c>
      <c r="AA49" s="53">
        <f t="shared" si="48"/>
        <v>0.16395416870103005</v>
      </c>
      <c r="AB49" s="53">
        <f t="shared" si="49"/>
        <v>3.5402592799984103E-2</v>
      </c>
    </row>
    <row r="50" spans="1:28" x14ac:dyDescent="0.3">
      <c r="A50" s="1" t="s">
        <v>145</v>
      </c>
      <c r="B50" s="1" t="s">
        <v>481</v>
      </c>
      <c r="C50" s="41">
        <f>AVERAGE('[39]Income Statement Forecast'!$AD$16:$AH$16)</f>
        <v>2685.1153170712141</v>
      </c>
      <c r="D50" s="41">
        <f>AVERAGE('[39]Income Statement Forecast'!$AD$14:$AH$14)</f>
        <v>3531.9842167202369</v>
      </c>
      <c r="E50" s="41">
        <f>AVERAGE('[39]Balance Sheet'!$AL$36:$AM$36)</f>
        <v>7223.42</v>
      </c>
      <c r="F50" s="41">
        <f>AVERAGE('[39]Balance Sheet Forecast'!$AD$21:$AH$21)</f>
        <v>9047.01735966868</v>
      </c>
      <c r="G50" s="42">
        <f>[39]WACC!$F$11</f>
        <v>5.9092314322116472E-2</v>
      </c>
      <c r="H50" s="41">
        <f>AVERAGE('[39]Balance Sheet Forecast'!$AD$16:$AH$16)-AVERAGE('[39]Balance Sheet Forecast'!$AD$31:$AH$31)</f>
        <v>12135.111017874871</v>
      </c>
      <c r="I50" s="41">
        <f t="shared" si="50"/>
        <v>3088.0936582061913</v>
      </c>
      <c r="J50" s="41">
        <f t="shared" si="51"/>
        <v>182.48260110685476</v>
      </c>
      <c r="X50" s="1" t="s">
        <v>481</v>
      </c>
      <c r="Y50" s="53">
        <f t="shared" si="46"/>
        <v>14.714363455937995</v>
      </c>
      <c r="Z50" s="53">
        <f t="shared" si="47"/>
        <v>0.34133831465526043</v>
      </c>
      <c r="AA50" s="53">
        <f t="shared" si="48"/>
        <v>0.87432260982008647</v>
      </c>
      <c r="AB50" s="53">
        <f t="shared" si="49"/>
        <v>0.25447592969338861</v>
      </c>
    </row>
    <row r="51" spans="1:28" x14ac:dyDescent="0.3">
      <c r="A51" s="1" t="s">
        <v>145</v>
      </c>
      <c r="B51" s="1" t="s">
        <v>92</v>
      </c>
      <c r="C51" s="41">
        <f>AVERAGE('[39]Income Statement Forecast'!$AK$16:$AO$16)</f>
        <v>3351.8916930235623</v>
      </c>
      <c r="D51" s="41">
        <f>AVERAGE('[39]Income Statement Forecast'!$AK$14:$AO$14)</f>
        <v>5376.6945823934457</v>
      </c>
      <c r="E51" s="41">
        <f>AVERAGE('[39]Balance Sheet'!$AT$38:$AU$38)</f>
        <v>29045.79</v>
      </c>
      <c r="F51" s="41">
        <f>AVERAGE('[39]Balance Sheet Forecast'!$AK$21:$AO$21)</f>
        <v>37171.252839785782</v>
      </c>
      <c r="G51" s="42">
        <f>[39]WACC!$G$11</f>
        <v>0.10613546635021336</v>
      </c>
      <c r="H51" s="41">
        <f>AVERAGE('[39]Balance Sheet Forecast'!$AK$16:$AO$16)-AVERAGE('[39]Balance Sheet Forecast'!$AK$31:$AO$31)</f>
        <v>42870.823861565594</v>
      </c>
      <c r="I51" s="41">
        <f t="shared" si="50"/>
        <v>5699.5710217798114</v>
      </c>
      <c r="J51" s="41">
        <f t="shared" si="51"/>
        <v>604.92662839276238</v>
      </c>
      <c r="X51" s="1" t="s">
        <v>92</v>
      </c>
      <c r="Y51" s="53">
        <f t="shared" si="46"/>
        <v>5.5409888335206006</v>
      </c>
      <c r="Z51" s="53">
        <f t="shared" si="47"/>
        <v>0.15333276621979627</v>
      </c>
      <c r="AA51" s="53">
        <f t="shared" si="48"/>
        <v>1.0600511028548392</v>
      </c>
      <c r="AB51" s="53">
        <f t="shared" si="49"/>
        <v>0.13294755053423574</v>
      </c>
    </row>
    <row r="52" spans="1:28" x14ac:dyDescent="0.3">
      <c r="A52" s="1" t="s">
        <v>149</v>
      </c>
      <c r="B52" s="1" t="s">
        <v>482</v>
      </c>
      <c r="C52" s="41">
        <f>AVERAGE([40]DCF!$D$7:$H$7)</f>
        <v>68303.783567562961</v>
      </c>
      <c r="D52" s="41">
        <f>AVERAGE([40]DCF!$D$5:$H$5)</f>
        <v>161377.01194327627</v>
      </c>
      <c r="E52" s="41">
        <f>AVERAGE('[40]Balance Sheet'!$F$37:$G$37)</f>
        <v>129515.8</v>
      </c>
      <c r="F52" s="41">
        <f>E52+H52-G52</f>
        <v>160062.20000000004</v>
      </c>
      <c r="G52" s="53">
        <f>-'[40]Cash Flow Statement'!$G$58</f>
        <v>6934.9</v>
      </c>
      <c r="H52" s="41">
        <f>'[40]Income Statement'!$G$25</f>
        <v>37481.300000000017</v>
      </c>
      <c r="I52" s="42">
        <f>[40]Calc!$N$2</f>
        <v>0.71821561807794176</v>
      </c>
      <c r="J52" s="42">
        <f>[40]WACC!$B$14</f>
        <v>7.6368023905400664E-2</v>
      </c>
      <c r="K52" s="41">
        <f>D52/I52</f>
        <v>224691.59383521427</v>
      </c>
      <c r="L52" s="41">
        <f>K52-F52</f>
        <v>64629.393835214229</v>
      </c>
      <c r="M52" s="41">
        <f>L52*J52</f>
        <v>4935.6190933991948</v>
      </c>
      <c r="X52" s="1" t="s">
        <v>482</v>
      </c>
      <c r="Y52" s="53">
        <f t="shared" ref="Y52:Y57" si="52">C52/M52</f>
        <v>13.838949537031974</v>
      </c>
      <c r="Z52" s="53">
        <f t="shared" ref="Z52:Z57" si="53">L52/F52</f>
        <v>0.40377674326114604</v>
      </c>
      <c r="AA52" s="53">
        <f t="shared" ref="AA52:AA57" si="54">L52/D52</f>
        <v>0.40048699041429359</v>
      </c>
      <c r="AB52" s="53">
        <f t="shared" ref="AB52:AB57" si="55">L52/K52</f>
        <v>0.2876360113525766</v>
      </c>
    </row>
    <row r="53" spans="1:28" x14ac:dyDescent="0.3">
      <c r="A53" s="1" t="s">
        <v>149</v>
      </c>
      <c r="B53" s="1" t="s">
        <v>107</v>
      </c>
      <c r="C53" s="41">
        <f>AVERAGE([40]DCF!$M$7:$Q$7)</f>
        <v>22374.33652387646</v>
      </c>
      <c r="D53" s="41">
        <f>AVERAGE([40]DCF!$M$5:$Q$5)</f>
        <v>36195.491816599024</v>
      </c>
      <c r="E53" s="41">
        <f>AVERAGE('[40]Balance Sheet'!$N$29:$O$29)</f>
        <v>29768.550000000003</v>
      </c>
      <c r="F53" s="41">
        <f t="shared" ref="F53:F57" si="56">E53+H53-G53</f>
        <v>37060.25</v>
      </c>
      <c r="G53" s="53">
        <f>-'[40]Cash Flow Statement'!$O$42</f>
        <v>2640</v>
      </c>
      <c r="H53" s="41">
        <f>'[40]Income Statement'!$O$26</f>
        <v>9931.7000000000007</v>
      </c>
      <c r="I53" s="42">
        <f>[40]Calc!O3</f>
        <v>0.15</v>
      </c>
      <c r="J53" s="42">
        <f>[40]WACC!$C$14</f>
        <v>6.586491647680541E-2</v>
      </c>
      <c r="K53" s="41">
        <f t="shared" ref="K53:K57" si="57">D53/I53</f>
        <v>241303.27877732684</v>
      </c>
      <c r="L53" s="41">
        <f t="shared" ref="L53:L57" si="58">K53-F53</f>
        <v>204243.02877732684</v>
      </c>
      <c r="M53" s="41">
        <f t="shared" ref="M53:M57" si="59">L53*J53</f>
        <v>13452.450031388396</v>
      </c>
      <c r="X53" s="1" t="s">
        <v>107</v>
      </c>
      <c r="Y53" s="53">
        <f t="shared" si="52"/>
        <v>1.6632164751900778</v>
      </c>
      <c r="Z53" s="53">
        <f t="shared" si="53"/>
        <v>5.511107690242965</v>
      </c>
      <c r="AA53" s="53">
        <f t="shared" si="54"/>
        <v>5.6427753437421808</v>
      </c>
      <c r="AB53" s="53">
        <f t="shared" si="55"/>
        <v>0.84641630156132708</v>
      </c>
    </row>
    <row r="54" spans="1:28" x14ac:dyDescent="0.3">
      <c r="A54" s="1" t="s">
        <v>149</v>
      </c>
      <c r="B54" s="1" t="s">
        <v>108</v>
      </c>
      <c r="C54" s="41">
        <f>AVERAGE([40]DCF!$V$7:$Z$7)</f>
        <v>898.72120812360413</v>
      </c>
      <c r="D54" s="41">
        <f>AVERAGE([40]DCF!$V$5:$Z$5)</f>
        <v>1389.0963795864482</v>
      </c>
      <c r="E54" s="41">
        <f>AVERAGE('[40]Balance Sheet'!$R$30:$W$30)</f>
        <v>1630.7666666666667</v>
      </c>
      <c r="F54" s="41">
        <f t="shared" si="56"/>
        <v>1839.116666666667</v>
      </c>
      <c r="G54" s="53">
        <f>-'[40]Cash Flow Statement'!$W$39</f>
        <v>91.46</v>
      </c>
      <c r="H54" s="41">
        <f>'[40]Income Statement'!$W$25</f>
        <v>299.8100000000004</v>
      </c>
      <c r="I54" s="42">
        <f>[40]Calc!O4</f>
        <v>0.15</v>
      </c>
      <c r="J54" s="42">
        <f>[40]WACC!$D$14</f>
        <v>5.2368657386618764E-2</v>
      </c>
      <c r="K54" s="41">
        <f t="shared" si="57"/>
        <v>9260.6425305763223</v>
      </c>
      <c r="L54" s="41">
        <f t="shared" si="58"/>
        <v>7421.5258639096555</v>
      </c>
      <c r="M54" s="41">
        <f t="shared" si="59"/>
        <v>388.65534525301456</v>
      </c>
      <c r="X54" s="1" t="s">
        <v>108</v>
      </c>
      <c r="Y54" s="53">
        <f t="shared" si="52"/>
        <v>2.3123860744499392</v>
      </c>
      <c r="Z54" s="53">
        <f t="shared" si="53"/>
        <v>4.0353752420507965</v>
      </c>
      <c r="AA54" s="53">
        <f t="shared" si="54"/>
        <v>5.3427004583505857</v>
      </c>
      <c r="AB54" s="53">
        <f t="shared" si="55"/>
        <v>0.80140506875258777</v>
      </c>
    </row>
    <row r="55" spans="1:28" x14ac:dyDescent="0.3">
      <c r="A55" s="1" t="s">
        <v>149</v>
      </c>
      <c r="B55" s="1" t="s">
        <v>483</v>
      </c>
      <c r="C55" s="41">
        <f>AVERAGE([40]DCF!$AE$7:$AI$7)</f>
        <v>2897.7266499157063</v>
      </c>
      <c r="D55" s="41">
        <f>AVERAGE([40]DCF!$AE$5:$AI$5)</f>
        <v>6261.6761640875111</v>
      </c>
      <c r="E55" s="41">
        <f>AVERAGE('[40]Balance Sheet'!$AC$36:$AE$36)</f>
        <v>2121.06</v>
      </c>
      <c r="F55" s="41">
        <f t="shared" si="56"/>
        <v>3230.8999999999983</v>
      </c>
      <c r="G55" s="53">
        <f>ABS(AVERAGE('[40]Cash Flow Statement'!$AB$57:$AE$57))</f>
        <v>515.85</v>
      </c>
      <c r="H55" s="41">
        <f>'[40]Income Statement'!$AE$23</f>
        <v>1625.6899999999985</v>
      </c>
      <c r="I55" s="42">
        <f>[40]Calc!O5</f>
        <v>0.15</v>
      </c>
      <c r="J55" s="42">
        <f>[40]WACC!$E$14</f>
        <v>0.15732173319133921</v>
      </c>
      <c r="K55" s="41">
        <f t="shared" si="57"/>
        <v>41744.507760583409</v>
      </c>
      <c r="L55" s="41">
        <f t="shared" si="58"/>
        <v>38513.607760583407</v>
      </c>
      <c r="M55" s="41">
        <f t="shared" si="59"/>
        <v>6059.0275243463939</v>
      </c>
      <c r="X55" s="1" t="s">
        <v>483</v>
      </c>
      <c r="Y55" s="53">
        <f t="shared" si="52"/>
        <v>0.47824946136522017</v>
      </c>
      <c r="Z55" s="53">
        <f t="shared" si="53"/>
        <v>11.920396100338428</v>
      </c>
      <c r="AA55" s="53">
        <f t="shared" si="54"/>
        <v>6.1506866135093139</v>
      </c>
      <c r="AB55" s="53">
        <f t="shared" si="55"/>
        <v>0.92260299202639717</v>
      </c>
    </row>
    <row r="56" spans="1:28" x14ac:dyDescent="0.3">
      <c r="A56" s="1" t="s">
        <v>149</v>
      </c>
      <c r="B56" s="1" t="s">
        <v>110</v>
      </c>
      <c r="C56" s="41">
        <f>AVERAGE([40]DCF!$AN$7:$AR$7)</f>
        <v>4337.1429029642668</v>
      </c>
      <c r="D56" s="41">
        <f>AVERAGE([40]DCF!$AN$5:$AR$5)</f>
        <v>19904.227115642199</v>
      </c>
      <c r="E56" s="41">
        <f>AVERAGE('[40]Balance Sheet'!$AK$33:$AM$33)</f>
        <v>-82948.700000000012</v>
      </c>
      <c r="F56" s="41">
        <f t="shared" si="56"/>
        <v>-110332.10000000002</v>
      </c>
      <c r="G56" s="53">
        <f>0</f>
        <v>0</v>
      </c>
      <c r="H56" s="41">
        <f>'[40]Income Statement'!$AM$32</f>
        <v>-27383.400000000012</v>
      </c>
      <c r="I56" s="42">
        <f>[40]Calc!O6</f>
        <v>5.3363931554523306E-2</v>
      </c>
      <c r="J56" s="42">
        <f>[40]WACC!$F$14</f>
        <v>7.8924892176648928E-2</v>
      </c>
      <c r="K56" s="41">
        <f t="shared" si="57"/>
        <v>372990.26769243076</v>
      </c>
      <c r="L56" s="41">
        <f t="shared" si="58"/>
        <v>483322.36769243079</v>
      </c>
      <c r="M56" s="41">
        <f t="shared" si="59"/>
        <v>38146.165756687769</v>
      </c>
      <c r="X56" s="1" t="s">
        <v>110</v>
      </c>
      <c r="Y56" s="53">
        <f t="shared" si="52"/>
        <v>0.11369800389974662</v>
      </c>
      <c r="Z56" s="53">
        <f t="shared" si="53"/>
        <v>-4.3806142336856704</v>
      </c>
      <c r="AA56" s="53">
        <f t="shared" si="54"/>
        <v>24.282398150119615</v>
      </c>
      <c r="AB56" s="53">
        <f t="shared" si="55"/>
        <v>1.2958042328626662</v>
      </c>
    </row>
    <row r="57" spans="1:28" x14ac:dyDescent="0.3">
      <c r="A57" s="1" t="s">
        <v>149</v>
      </c>
      <c r="B57" s="1" t="s">
        <v>484</v>
      </c>
      <c r="C57" s="41">
        <f>AVERAGE([40]DCF!$AW$7:$BA$7)</f>
        <v>52283.611317618648</v>
      </c>
      <c r="D57" s="41">
        <f>AVERAGE([40]DCF!$AW$5:$BA$5)</f>
        <v>84218.47819241455</v>
      </c>
      <c r="E57" s="41">
        <f>AVERAGE('[40]Balance Sheet'!$AS$26:$AU$26)</f>
        <v>238088.33333333334</v>
      </c>
      <c r="F57" s="41">
        <f t="shared" si="56"/>
        <v>262883.33333333337</v>
      </c>
      <c r="G57" s="53">
        <v>0</v>
      </c>
      <c r="H57" s="41">
        <f>'[40]Income Statement'!$AU$23</f>
        <v>24795</v>
      </c>
      <c r="I57" s="42">
        <f>[40]Calc!O7</f>
        <v>0.15</v>
      </c>
      <c r="J57" s="42">
        <f>[40]WACC!$H$15</f>
        <v>4.3692039022040226E-2</v>
      </c>
      <c r="K57" s="41">
        <f t="shared" si="57"/>
        <v>561456.52128276369</v>
      </c>
      <c r="L57" s="41">
        <f t="shared" si="58"/>
        <v>298573.18794943031</v>
      </c>
      <c r="M57" s="41">
        <f t="shared" si="59"/>
        <v>13045.271378821461</v>
      </c>
      <c r="X57" s="1" t="s">
        <v>484</v>
      </c>
      <c r="Y57" s="53">
        <f t="shared" si="52"/>
        <v>4.0078592310850087</v>
      </c>
      <c r="Z57" s="53">
        <f t="shared" si="53"/>
        <v>1.1357630937022645</v>
      </c>
      <c r="AA57" s="53">
        <f t="shared" si="54"/>
        <v>3.5452218367954602</v>
      </c>
      <c r="AB57" s="53">
        <f t="shared" si="55"/>
        <v>0.53178327551931903</v>
      </c>
    </row>
    <row r="58" spans="1:28" x14ac:dyDescent="0.3">
      <c r="Y58" s="227">
        <f>AVERAGE(Y52:Y57)</f>
        <v>3.7357264638369947</v>
      </c>
      <c r="Z58" s="227">
        <f t="shared" ref="Z58:AB58" si="60">AVERAGE(Z52:Z57)</f>
        <v>3.1043007726516549</v>
      </c>
      <c r="AA58" s="227">
        <f t="shared" si="60"/>
        <v>7.5607115654885746</v>
      </c>
      <c r="AB58" s="227">
        <f t="shared" si="60"/>
        <v>0.78094131367914565</v>
      </c>
    </row>
    <row r="59" spans="1:28" x14ac:dyDescent="0.3">
      <c r="A59" s="1" t="s">
        <v>8</v>
      </c>
      <c r="B59" s="1" t="s">
        <v>9</v>
      </c>
      <c r="C59" s="1" t="s">
        <v>487</v>
      </c>
      <c r="D59" s="1" t="s">
        <v>488</v>
      </c>
      <c r="E59" s="1" t="s">
        <v>62</v>
      </c>
      <c r="F59" s="1" t="s">
        <v>489</v>
      </c>
      <c r="G59" s="53" t="s">
        <v>490</v>
      </c>
      <c r="H59" s="1" t="s">
        <v>491</v>
      </c>
      <c r="I59" s="1" t="s">
        <v>492</v>
      </c>
      <c r="J59" s="1" t="s">
        <v>493</v>
      </c>
      <c r="K59" s="1" t="s">
        <v>494</v>
      </c>
      <c r="L59" s="1" t="s">
        <v>495</v>
      </c>
      <c r="M59" s="1" t="s">
        <v>461</v>
      </c>
      <c r="N59" s="1" t="s">
        <v>501</v>
      </c>
      <c r="O59" s="1" t="s">
        <v>502</v>
      </c>
      <c r="P59" s="1" t="s">
        <v>503</v>
      </c>
      <c r="Q59" s="1" t="s">
        <v>504</v>
      </c>
      <c r="R59" s="1" t="s">
        <v>505</v>
      </c>
      <c r="S59" s="1" t="s">
        <v>506</v>
      </c>
    </row>
    <row r="60" spans="1:28" x14ac:dyDescent="0.3">
      <c r="A60" s="1" t="s">
        <v>486</v>
      </c>
      <c r="B60" s="1" t="s">
        <v>3</v>
      </c>
      <c r="C60" s="41">
        <f>AVERAGE('[31]Balance Sheet-Banks'!$B$79:$F$79)</f>
        <v>1197432.246</v>
      </c>
      <c r="D60" s="41">
        <f>AVERAGE('[31]Balance Sheet-Banks'!$B$9:$F$9)</f>
        <v>119288.298</v>
      </c>
      <c r="E60" s="41">
        <f>AVERAGE('[31]Balance Sheet-Banks'!$D$13:$F$13)</f>
        <v>944613.76000000013</v>
      </c>
      <c r="F60" s="41">
        <f>AVERAGE('[31]Income Statement-Banks'!$D$5:$F$5)-AVERAGE('[31]Income Statement-Banks'!$D$9:$F$9)</f>
        <v>43116.976666666669</v>
      </c>
      <c r="G60" s="53">
        <f>AVERAGE('[31]Balance Sheet-Banks'!$D$84:$F$84)</f>
        <v>870668</v>
      </c>
      <c r="H60" s="41">
        <f>AVERAGE('[31]Income Statement-Banks'!$B$9:$F$9)</f>
        <v>42465.173999999999</v>
      </c>
      <c r="I60" s="52">
        <f>H60/E60</f>
        <v>4.4955066079071293E-2</v>
      </c>
      <c r="J60" s="53">
        <f>C60/D60</f>
        <v>10.038136733244363</v>
      </c>
      <c r="K60" s="53">
        <f>E60/F60</f>
        <v>21.90816316511988</v>
      </c>
      <c r="L60" s="53">
        <f>G60/D60</f>
        <v>7.2988550813257476</v>
      </c>
      <c r="M60" s="41">
        <f>AVERAGE('[31]Financial Projections'!$D$21:$I$21)</f>
        <v>310930.61833723565</v>
      </c>
      <c r="N60" s="41">
        <f>AVERAGE('[41]Financial Projections'!$I$6)</f>
        <v>117817.47810780611</v>
      </c>
      <c r="O60" s="53">
        <f>L60*M60</f>
        <v>2269437.5235904893</v>
      </c>
      <c r="P60" s="53">
        <f>N60*K60</f>
        <v>2581164.5340887555</v>
      </c>
      <c r="Q60" s="53">
        <f>M60*J60</f>
        <v>3121164.0614213883</v>
      </c>
      <c r="R60" s="41">
        <f>P60*I60</f>
        <v>116036.42219091527</v>
      </c>
      <c r="S60" s="52">
        <f>R60/P60</f>
        <v>4.4955066079071293E-2</v>
      </c>
      <c r="Y60" s="227"/>
      <c r="Z60" s="227"/>
      <c r="AA60" s="227"/>
      <c r="AB60" s="227"/>
    </row>
    <row r="61" spans="1:28" x14ac:dyDescent="0.3">
      <c r="A61" s="1" t="s">
        <v>486</v>
      </c>
      <c r="B61" s="1" t="s">
        <v>1</v>
      </c>
      <c r="C61" s="41">
        <f>AVERAGE('[31]Balance Sheet-Banks'!$G$79:$K$79)</f>
        <v>2412718.0558000002</v>
      </c>
      <c r="D61" s="41">
        <f>AVERAGE('[31]Balance Sheet-Banks'!$J$9:$K$9)</f>
        <v>380038.20500000002</v>
      </c>
      <c r="E61" s="41">
        <f>AVERAGE('[31]Balance Sheet-Banks'!$I$13:$K$13)</f>
        <v>1939184.5200000003</v>
      </c>
      <c r="F61" s="41">
        <f>AVERAGE('[31]Income Statement-Banks'!$I$5:$K$5)-AVERAGE('[31]Income Statement-Banks'!$I$9:$K$9)</f>
        <v>99945.55333333333</v>
      </c>
      <c r="G61" s="53">
        <f>AVERAGE('[31]Balance Sheet-Banks'!$I$84:$K$84)</f>
        <v>1802724.6233333333</v>
      </c>
      <c r="H61" s="41">
        <f>AVERAGE('[31]Income Statement-Banks'!$G$9:$K$9)</f>
        <v>82377.564299999998</v>
      </c>
      <c r="I61" s="52">
        <f t="shared" ref="I61:I63" si="61">H61/E61</f>
        <v>4.2480518718249663E-2</v>
      </c>
      <c r="J61" s="53">
        <f t="shared" ref="J61:J63" si="62">C61/D61</f>
        <v>6.3486197546901897</v>
      </c>
      <c r="K61" s="53">
        <f t="shared" ref="K61:K63" si="63">E61/F61</f>
        <v>19.402409165043398</v>
      </c>
      <c r="L61" s="53">
        <f t="shared" ref="L61:L63" si="64">G61/D61</f>
        <v>4.7435352541288136</v>
      </c>
      <c r="M61" s="41">
        <f>AVERAGE('[31]Financial Projections'!$M$21:$R$21)</f>
        <v>860561.30872422142</v>
      </c>
      <c r="N61" s="41">
        <f>AVERAGE('[41]Financial Projections'!$P$6:$R$6)</f>
        <v>281511.968648337</v>
      </c>
      <c r="O61" s="53">
        <f t="shared" ref="O61:O63" si="65">L61*M61</f>
        <v>4082102.9062725739</v>
      </c>
      <c r="P61" s="53">
        <f t="shared" ref="P61:P63" si="66">N61*K61</f>
        <v>5462010.4005719032</v>
      </c>
      <c r="Q61" s="53">
        <f t="shared" ref="Q61:Q63" si="67">M61*J61</f>
        <v>5463376.524688635</v>
      </c>
      <c r="R61" s="41">
        <f t="shared" ref="R61:R63" si="68">P61*I61</f>
        <v>232029.03506076906</v>
      </c>
      <c r="S61" s="52">
        <f t="shared" ref="S61:S63" si="69">R61/P61</f>
        <v>4.2480518718249663E-2</v>
      </c>
    </row>
    <row r="62" spans="1:28" x14ac:dyDescent="0.3">
      <c r="A62" s="1" t="s">
        <v>486</v>
      </c>
      <c r="B62" s="1" t="s">
        <v>2</v>
      </c>
      <c r="C62" s="41">
        <f>AVERAGE('[31]Balance Sheet-Banks'!$L$79:$P$79)</f>
        <v>1668315.1049599999</v>
      </c>
      <c r="D62" s="41">
        <f>AVERAGE('[31]Balance Sheet-Banks'!$L$9:$P$9)</f>
        <v>187798.53599999999</v>
      </c>
      <c r="E62" s="41">
        <f>AVERAGE('[31]Balance Sheet-Banks'!$N$13:$P$13)</f>
        <v>1239661.23</v>
      </c>
      <c r="F62" s="41">
        <f>AVERAGE('[31]Income Statement-Banks'!$N$5:$P$5)-AVERAGE('[31]Income Statement-Banks'!$N$9:$P$9)</f>
        <v>67799.092966666663</v>
      </c>
      <c r="G62" s="53">
        <f>AVERAGE('[31]Balance Sheet-Banks'!$M$84:$N$84)</f>
        <v>834495.5</v>
      </c>
      <c r="H62" s="41">
        <f>AVERAGE('[31]Income Statement-Banks'!$L$9:$P$9)</f>
        <v>49670.872179999991</v>
      </c>
      <c r="I62" s="52">
        <f t="shared" si="61"/>
        <v>4.0068101653868766E-2</v>
      </c>
      <c r="J62" s="53">
        <f t="shared" si="62"/>
        <v>8.8835362644147562</v>
      </c>
      <c r="K62" s="53">
        <f t="shared" si="63"/>
        <v>18.284333547197715</v>
      </c>
      <c r="L62" s="53">
        <f t="shared" si="64"/>
        <v>4.4435676537968325</v>
      </c>
      <c r="M62" s="41">
        <f>AVERAGE('[31]Financial Projections'!$V$21:$AA$21)</f>
        <v>544797.06970557885</v>
      </c>
      <c r="N62" s="41">
        <f>AVERAGE('[41]Financial Projections'!$Y$6:$AA$6)</f>
        <v>182969.48775467894</v>
      </c>
      <c r="O62" s="53">
        <f t="shared" si="65"/>
        <v>2420842.6368270083</v>
      </c>
      <c r="P62" s="53">
        <f t="shared" si="66"/>
        <v>3345475.1430664575</v>
      </c>
      <c r="Q62" s="53">
        <f t="shared" si="67"/>
        <v>4839724.5254764035</v>
      </c>
      <c r="R62" s="41">
        <f t="shared" si="68"/>
        <v>134046.83811287797</v>
      </c>
      <c r="S62" s="52">
        <f t="shared" si="69"/>
        <v>4.0068101653868766E-2</v>
      </c>
    </row>
    <row r="63" spans="1:28" x14ac:dyDescent="0.3">
      <c r="A63" s="1" t="s">
        <v>486</v>
      </c>
      <c r="B63" s="1" t="s">
        <v>4</v>
      </c>
      <c r="C63" s="41">
        <f>AVERAGE('[31]Balance Sheet-Banks'!$Q$79:$U$79)</f>
        <v>5418438.2157400008</v>
      </c>
      <c r="D63" s="41">
        <f>AVERAGE('[31]Balance Sheet-Banks'!$Q$9:$U$9)</f>
        <v>332662.38200000004</v>
      </c>
      <c r="E63" s="41">
        <f>AVERAGE('[31]Balance Sheet-Banks'!$Q$13:$U$13)</f>
        <v>4102395.0794399991</v>
      </c>
      <c r="F63" s="41">
        <f>AVERAGE('[31]Income Statement-Banks'!$Q$5:$U$5)-AVERAGE('[31]Income Statement-Banks'!$Q$9:$U$9)</f>
        <v>140985.54610000004</v>
      </c>
      <c r="G63" s="53">
        <f>AVERAGE('[31]Balance Sheet-Banks'!$Q$84:$U$84)</f>
        <v>2703203.1340000001</v>
      </c>
      <c r="H63" s="41">
        <f>AVERAGE('[31]Income Statement-Banks'!$Q$9:$U$9)</f>
        <v>184609.03492000001</v>
      </c>
      <c r="I63" s="52">
        <f t="shared" si="61"/>
        <v>4.5000306246759693E-2</v>
      </c>
      <c r="J63" s="53">
        <f t="shared" si="62"/>
        <v>16.288100214889944</v>
      </c>
      <c r="K63" s="53">
        <f t="shared" si="63"/>
        <v>29.097983395618439</v>
      </c>
      <c r="L63" s="53">
        <f t="shared" si="64"/>
        <v>8.1259657847336637</v>
      </c>
      <c r="M63" s="41">
        <f>AVERAGE('[31]Financial Projections'!$AE$21:$AJ$21)</f>
        <v>643411.67644454597</v>
      </c>
      <c r="N63" s="41">
        <f>AVERAGE('[41]Financial Projections'!$AG$6:$AJ$6)</f>
        <v>283477.89799485385</v>
      </c>
      <c r="O63" s="53">
        <f t="shared" si="65"/>
        <v>5228341.2682865076</v>
      </c>
      <c r="P63" s="53">
        <f t="shared" si="66"/>
        <v>8248635.168879075</v>
      </c>
      <c r="Q63" s="53">
        <f t="shared" si="67"/>
        <v>10479953.865359109</v>
      </c>
      <c r="R63" s="41">
        <f t="shared" si="68"/>
        <v>371191.10871735075</v>
      </c>
      <c r="S63" s="52">
        <f t="shared" si="69"/>
        <v>4.5000306246759693E-2</v>
      </c>
    </row>
    <row r="64" spans="1:28" x14ac:dyDescent="0.3">
      <c r="C64" s="41"/>
      <c r="D64" s="41"/>
    </row>
    <row r="65" spans="1:19" x14ac:dyDescent="0.3">
      <c r="C65" s="41"/>
      <c r="D65" s="41"/>
    </row>
    <row r="66" spans="1:19" x14ac:dyDescent="0.3">
      <c r="A66" s="1" t="s">
        <v>8</v>
      </c>
      <c r="B66" s="1" t="s">
        <v>9</v>
      </c>
      <c r="C66" s="41" t="s">
        <v>496</v>
      </c>
      <c r="D66" s="41" t="s">
        <v>488</v>
      </c>
      <c r="E66" s="1" t="s">
        <v>497</v>
      </c>
      <c r="F66" s="1" t="s">
        <v>489</v>
      </c>
      <c r="G66" s="53" t="s">
        <v>487</v>
      </c>
      <c r="H66" s="1" t="s">
        <v>498</v>
      </c>
      <c r="I66" s="1" t="s">
        <v>499</v>
      </c>
      <c r="J66" s="1" t="s">
        <v>512</v>
      </c>
      <c r="K66" s="1" t="s">
        <v>500</v>
      </c>
      <c r="L66" s="1" t="s">
        <v>507</v>
      </c>
      <c r="M66" s="1" t="s">
        <v>461</v>
      </c>
      <c r="N66" s="1" t="s">
        <v>508</v>
      </c>
      <c r="O66" s="1" t="s">
        <v>501</v>
      </c>
      <c r="P66" s="1" t="s">
        <v>505</v>
      </c>
      <c r="Q66" s="1" t="s">
        <v>499</v>
      </c>
      <c r="R66" s="1" t="s">
        <v>498</v>
      </c>
      <c r="S66" s="1" t="s">
        <v>509</v>
      </c>
    </row>
    <row r="67" spans="1:19" x14ac:dyDescent="0.3">
      <c r="A67" s="1" t="s">
        <v>486</v>
      </c>
      <c r="B67" s="1" t="s">
        <v>231</v>
      </c>
      <c r="C67" s="41">
        <f>AVERAGE('[31]Balance Sheet-NBFCs'!$D$27:$F$27)</f>
        <v>62632.236666666664</v>
      </c>
      <c r="D67" s="41">
        <f>AVERAGE('[31]Balance Sheet-NBFCs'!$E$9:$F$9)</f>
        <v>11368.345000000001</v>
      </c>
      <c r="E67" s="41">
        <f>AVERAGE('[31]Balance Sheet-NBFCs'!$B$13:$F$13)</f>
        <v>27698.594000000001</v>
      </c>
      <c r="F67" s="41">
        <f>AVERAGE('[31]Income Statement-NBFCs'!$B$6:$F$6)-AVERAGE('[31]Income Statement-NBFCs'!$B$17:$F$17)</f>
        <v>1498.5439999999999</v>
      </c>
      <c r="G67" s="53">
        <f>AVERAGE('[31]Balance Sheet-NBFCs'!$E$37:$F$37)</f>
        <v>73240.615000000005</v>
      </c>
      <c r="H67" s="53">
        <f>E67/F67</f>
        <v>18.483670816472525</v>
      </c>
      <c r="I67" s="53">
        <f>C67/D67</f>
        <v>5.5093539707553436</v>
      </c>
      <c r="J67" s="41">
        <f>AVERAGE('[31]Income Statement-NBFCs'!$B$17:$F$17)</f>
        <v>2728.2280000000001</v>
      </c>
      <c r="K67" s="52">
        <f>J67/E67</f>
        <v>9.8496985081625438E-2</v>
      </c>
      <c r="L67" s="41">
        <f>AVERAGE('[31]Financial Projections'!$AN$5:$AS$5)</f>
        <v>175053.57019162504</v>
      </c>
      <c r="M67" s="41">
        <f>AVERAGE('[31]Financial Projections'!$AN$21:$AS$21)</f>
        <v>20137.247164671498</v>
      </c>
      <c r="N67" s="41">
        <f>O67*H67</f>
        <v>89412.054055336688</v>
      </c>
      <c r="O67" s="41">
        <f>AVERAGE('[31]Financial Projections'!$AN$6:$AS$6)</f>
        <v>4837.3537347166593</v>
      </c>
      <c r="P67" s="41">
        <f>N67*S67</f>
        <v>6661.198027122583</v>
      </c>
      <c r="Q67" s="53">
        <f>L67/M67</f>
        <v>8.6930238656819263</v>
      </c>
      <c r="R67" s="53">
        <f>N67/O67</f>
        <v>18.483670816472525</v>
      </c>
      <c r="S67" s="52">
        <v>7.4499999999999997E-2</v>
      </c>
    </row>
    <row r="68" spans="1:19" x14ac:dyDescent="0.3">
      <c r="A68" s="1" t="s">
        <v>486</v>
      </c>
      <c r="B68" s="1" t="s">
        <v>510</v>
      </c>
      <c r="C68" s="41">
        <f>AVERAGE('[31]Balance Sheet-NBFCs'!$I$27:$K$27)</f>
        <v>253328.5</v>
      </c>
      <c r="D68" s="41">
        <f>AVERAGE('[31]Balance Sheet-NBFCs'!$J$9:$K$9)</f>
        <v>65533.665000000001</v>
      </c>
      <c r="E68" s="41">
        <f>AVERAGE('[31]Balance Sheet-NBFCs'!$J$13:$K$13)</f>
        <v>96583.434999999998</v>
      </c>
      <c r="F68" s="41">
        <f>AVERAGE('[31]Income Statement-NBFCs'!$G$6:$K$6)-AVERAGE('[31]Income Statement-NBFCs'!$G$17:$K$17)</f>
        <v>19495.734000000004</v>
      </c>
      <c r="G68" s="53">
        <f>AVERAGE('[31]Balance Sheet-NBFCs'!$J$37:$K$37)</f>
        <v>325483.96500000003</v>
      </c>
      <c r="H68" s="53">
        <f>E68/F68</f>
        <v>4.954080467039609</v>
      </c>
      <c r="I68" s="53">
        <f>C68/D68</f>
        <v>3.8656238743857831</v>
      </c>
      <c r="J68" s="41">
        <f>AVERAGE('[31]Income Statement-NBFCs'!$G$17:$K$17)</f>
        <v>11984.005999999999</v>
      </c>
      <c r="K68" s="52">
        <f>J68/E68</f>
        <v>0.12407931028752497</v>
      </c>
      <c r="L68" s="41">
        <f>AVERAGE('[31]Financial Projections'!$AW$5:$BB$5)</f>
        <v>610157.38483059069</v>
      </c>
      <c r="M68" s="41">
        <f>AVERAGE('[31]Financial Projections'!$AW$21:$BB$21)</f>
        <v>153275.81697522028</v>
      </c>
      <c r="N68" s="41">
        <f t="shared" ref="N68:N69" si="70">O68*H68</f>
        <v>256730.14488584746</v>
      </c>
      <c r="O68" s="41">
        <f>AVERAGE('[31]Financial Projections'!$AW$6:$BB$6)</f>
        <v>51821.956989580496</v>
      </c>
      <c r="P68" s="41">
        <f>N68*S68</f>
        <v>24902.824053927205</v>
      </c>
      <c r="Q68" s="53">
        <f t="shared" ref="Q68:Q69" si="71">L68/M68</f>
        <v>3.9807805097475573</v>
      </c>
      <c r="R68" s="53">
        <f t="shared" ref="R68:R69" si="72">N68/O68</f>
        <v>4.954080467039609</v>
      </c>
      <c r="S68" s="52">
        <v>9.7000000000000003E-2</v>
      </c>
    </row>
    <row r="69" spans="1:19" x14ac:dyDescent="0.3">
      <c r="A69" s="1" t="s">
        <v>486</v>
      </c>
      <c r="B69" s="1" t="s">
        <v>511</v>
      </c>
      <c r="C69" s="41">
        <f>AVERAGE('[31]Balance Sheet-NBFCs'!$M$27:$P$27)</f>
        <v>705194.28249999997</v>
      </c>
      <c r="D69" s="41">
        <f>AVERAGE('[31]Balance Sheet-NBFCs'!$N$9:$P$9)</f>
        <v>223482.46666666667</v>
      </c>
      <c r="E69" s="41">
        <f>AVERAGE('[31]Balance Sheet-NBFCs'!$L$13:$P$13)</f>
        <v>393234.51400000002</v>
      </c>
      <c r="F69" s="41">
        <f>AVERAGE('[31]Income Statement-NBFCs'!$L$6:$P$6)-AVERAGE('[31]Income Statement-NBFCs'!$L$17:$P$17)</f>
        <v>74973.052000000011</v>
      </c>
      <c r="G69" s="53">
        <f>AVERAGE('[31]Balance Sheet-NBFCs'!$L$37:$P$37)</f>
        <v>752915.88199999998</v>
      </c>
      <c r="H69" s="53">
        <f>E69/F69</f>
        <v>5.2450114209036061</v>
      </c>
      <c r="I69" s="53">
        <f>C69/D69</f>
        <v>3.155479232971893</v>
      </c>
      <c r="J69" s="41">
        <f>AVERAGE('[31]Income Statement-NBFCs'!$L$17:$P$17)</f>
        <v>42335.754000000001</v>
      </c>
      <c r="K69" s="52">
        <f>J69/E69</f>
        <v>0.10766032098596513</v>
      </c>
      <c r="L69" s="41">
        <f>AVERAGE('[31]Financial Projections'!$BF$5:$BK$5)</f>
        <v>1400302.8310539396</v>
      </c>
      <c r="M69" s="41">
        <f>AVERAGE('[31]Financial Projections'!$BF$21:$BK$21)</f>
        <v>456530.18175792298</v>
      </c>
      <c r="N69" s="41">
        <f t="shared" si="70"/>
        <v>842961.59987172461</v>
      </c>
      <c r="O69" s="41">
        <f>AVERAGE('[31]Financial Projections'!$BF$6:$BK$6)</f>
        <v>160716.8282822347</v>
      </c>
      <c r="P69" s="41">
        <f>N69*S69</f>
        <v>75023.582388583483</v>
      </c>
      <c r="Q69" s="53">
        <f t="shared" si="71"/>
        <v>3.0672732866464809</v>
      </c>
      <c r="R69" s="53">
        <f t="shared" si="72"/>
        <v>5.2450114209036061</v>
      </c>
      <c r="S69" s="52">
        <v>8.8999999999999996E-2</v>
      </c>
    </row>
    <row r="72" spans="1:19" x14ac:dyDescent="0.3">
      <c r="M72" s="155" t="s">
        <v>518</v>
      </c>
      <c r="N72" s="155" t="s">
        <v>519</v>
      </c>
      <c r="O72" s="155" t="s">
        <v>495</v>
      </c>
      <c r="P72" s="155" t="s">
        <v>520</v>
      </c>
    </row>
    <row r="73" spans="1:19" x14ac:dyDescent="0.3">
      <c r="M73" s="160">
        <f>Q60/M60</f>
        <v>10.038136733244363</v>
      </c>
      <c r="N73" s="160">
        <f>P60/N60</f>
        <v>21.90816316511988</v>
      </c>
      <c r="O73" s="160">
        <f>O60/M60</f>
        <v>7.2988550813257485</v>
      </c>
      <c r="P73" s="160">
        <f>S60</f>
        <v>4.4955066079071293E-2</v>
      </c>
    </row>
    <row r="74" spans="1:19" x14ac:dyDescent="0.3">
      <c r="M74" s="160">
        <f t="shared" ref="M74:M76" si="73">Q61/M61</f>
        <v>6.3486197546901897</v>
      </c>
      <c r="N74" s="160">
        <f t="shared" ref="N74:N76" si="74">P61/N61</f>
        <v>19.402409165043398</v>
      </c>
      <c r="O74" s="160">
        <f t="shared" ref="O74:O76" si="75">O61/M61</f>
        <v>4.7435352541288136</v>
      </c>
      <c r="P74" s="160">
        <f t="shared" ref="P74:P76" si="76">S61</f>
        <v>4.2480518718249663E-2</v>
      </c>
    </row>
    <row r="75" spans="1:19" x14ac:dyDescent="0.3">
      <c r="M75" s="160">
        <f t="shared" si="73"/>
        <v>8.8835362644147562</v>
      </c>
      <c r="N75" s="160">
        <f t="shared" si="74"/>
        <v>18.284333547197715</v>
      </c>
      <c r="O75" s="160">
        <f t="shared" si="75"/>
        <v>4.4435676537968325</v>
      </c>
      <c r="P75" s="160">
        <f t="shared" si="76"/>
        <v>4.0068101653868766E-2</v>
      </c>
    </row>
    <row r="76" spans="1:19" x14ac:dyDescent="0.3">
      <c r="M76" s="160">
        <f t="shared" si="73"/>
        <v>16.288100214889944</v>
      </c>
      <c r="N76" s="160">
        <f t="shared" si="74"/>
        <v>29.097983395618439</v>
      </c>
      <c r="O76" s="160">
        <f t="shared" si="75"/>
        <v>8.1259657847336637</v>
      </c>
      <c r="P76" s="160">
        <f t="shared" si="76"/>
        <v>4.5000306246759693E-2</v>
      </c>
    </row>
    <row r="78" spans="1:19" x14ac:dyDescent="0.3">
      <c r="M78" s="155" t="s">
        <v>521</v>
      </c>
      <c r="N78" s="155" t="s">
        <v>522</v>
      </c>
      <c r="O78" s="155" t="s">
        <v>298</v>
      </c>
    </row>
    <row r="79" spans="1:19" x14ac:dyDescent="0.3">
      <c r="M79" s="53">
        <f>N67/O67</f>
        <v>18.483670816472525</v>
      </c>
      <c r="N79" s="41">
        <f>Q67</f>
        <v>8.6930238656819263</v>
      </c>
      <c r="O79" s="42">
        <f>S67</f>
        <v>7.4499999999999997E-2</v>
      </c>
    </row>
    <row r="80" spans="1:19" x14ac:dyDescent="0.3">
      <c r="M80" s="53">
        <f t="shared" ref="M80:M81" si="77">N68/O68</f>
        <v>4.954080467039609</v>
      </c>
      <c r="N80" s="41">
        <f t="shared" ref="N80:N81" si="78">Q68</f>
        <v>3.9807805097475573</v>
      </c>
      <c r="O80" s="42">
        <f t="shared" ref="O80:O81" si="79">S68</f>
        <v>9.7000000000000003E-2</v>
      </c>
    </row>
    <row r="81" spans="13:15" x14ac:dyDescent="0.3">
      <c r="M81" s="53">
        <f t="shared" si="77"/>
        <v>5.2450114209036061</v>
      </c>
      <c r="N81" s="41">
        <f t="shared" si="78"/>
        <v>3.0672732866464809</v>
      </c>
      <c r="O81" s="42">
        <f t="shared" si="79"/>
        <v>8.8999999999999996E-2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C4EB-580E-4EEA-AF80-FD30B9340C79}">
  <dimension ref="A1:G63"/>
  <sheetViews>
    <sheetView topLeftCell="A40" workbookViewId="0">
      <selection activeCell="F31" sqref="F31"/>
    </sheetView>
  </sheetViews>
  <sheetFormatPr defaultRowHeight="14.4" x14ac:dyDescent="0.3"/>
  <cols>
    <col min="1" max="1" width="14.77734375" bestFit="1" customWidth="1"/>
    <col min="2" max="2" width="19" bestFit="1" customWidth="1"/>
    <col min="3" max="6" width="8.88671875" style="228"/>
    <col min="7" max="7" width="8.88671875" style="232"/>
  </cols>
  <sheetData>
    <row r="1" spans="1:7" x14ac:dyDescent="0.3">
      <c r="A1" s="230" t="s">
        <v>514</v>
      </c>
      <c r="G1"/>
    </row>
    <row r="2" spans="1:7" x14ac:dyDescent="0.3">
      <c r="A2" s="230" t="s">
        <v>8</v>
      </c>
      <c r="B2" s="230" t="s">
        <v>9</v>
      </c>
      <c r="C2" s="230" t="s">
        <v>119</v>
      </c>
      <c r="D2" s="230" t="s">
        <v>462</v>
      </c>
      <c r="E2" s="230" t="s">
        <v>328</v>
      </c>
      <c r="F2" s="230" t="s">
        <v>513</v>
      </c>
      <c r="G2" s="230" t="s">
        <v>298</v>
      </c>
    </row>
    <row r="3" spans="1:7" x14ac:dyDescent="0.3">
      <c r="A3" t="s">
        <v>147</v>
      </c>
      <c r="B3" t="s">
        <v>120</v>
      </c>
      <c r="C3" s="228">
        <f>AVERAGE('[38]Financial Ratios'!$C$7:$H$7)</f>
        <v>0.93866481046038563</v>
      </c>
      <c r="D3" s="228">
        <v>1.56</v>
      </c>
      <c r="E3" s="228">
        <f>AVERAGE('[38]Financial Ratios'!$C$9:$H$9)</f>
        <v>6.7810085294211291</v>
      </c>
      <c r="F3" s="228">
        <f>AVERAGE('[38]Financial Ratios'!$C$8:$H$8)</f>
        <v>0.47427298248688632</v>
      </c>
      <c r="G3" s="229">
        <f>[38]WACC!$B$12</f>
        <v>4.9418253864072476E-2</v>
      </c>
    </row>
    <row r="4" spans="1:7" x14ac:dyDescent="0.3">
      <c r="A4" t="s">
        <v>147</v>
      </c>
      <c r="B4" t="s">
        <v>121</v>
      </c>
      <c r="C4" s="228">
        <f>AVERAGE('[38]Financial Ratios'!$L$7:$Q$7)</f>
        <v>0.17656491214103873</v>
      </c>
      <c r="D4" s="228">
        <v>1.75</v>
      </c>
      <c r="E4" s="228">
        <f>AVERAGE('[38]Financial Ratios'!$L$9:$Q$9)</f>
        <v>38.191306892999009</v>
      </c>
      <c r="F4" s="228">
        <f>AVERAGE('[38]Financial Ratios'!$L$8:$Q$8)</f>
        <v>0.14829030413934458</v>
      </c>
      <c r="G4" s="229">
        <f>[38]WACC!$C$12</f>
        <v>3.5516093395598851E-2</v>
      </c>
    </row>
    <row r="5" spans="1:7" x14ac:dyDescent="0.3">
      <c r="A5" t="s">
        <v>147</v>
      </c>
      <c r="B5" t="s">
        <v>122</v>
      </c>
      <c r="C5" s="228">
        <f>AVERAGE('[38]Financial Ratios'!$U$7:$Z$7)</f>
        <v>1.3656593678053923</v>
      </c>
      <c r="D5" s="228">
        <v>2.35</v>
      </c>
      <c r="E5" s="228">
        <f>AVERAGE('[38]Financial Ratios'!$U$9:$Z$9)</f>
        <v>5.8457986812408684</v>
      </c>
      <c r="F5" s="228">
        <f>AVERAGE('[38]Financial Ratios'!$U$8:$Z$8)</f>
        <v>0.57023240950005138</v>
      </c>
      <c r="G5" s="229">
        <f>[38]WACC!$D$12</f>
        <v>3.7917186172214463E-2</v>
      </c>
    </row>
    <row r="6" spans="1:7" x14ac:dyDescent="0.3">
      <c r="A6" t="s">
        <v>147</v>
      </c>
      <c r="B6" t="s">
        <v>123</v>
      </c>
      <c r="C6" s="228">
        <f>AVERAGE('[38]Financial Ratios'!$AD$7:$AI$7)</f>
        <v>0.92756631619949559</v>
      </c>
      <c r="D6" s="228">
        <v>2.7</v>
      </c>
      <c r="E6" s="228">
        <f>AVERAGE('[38]Financial Ratios'!$AD$9:$AI$9)</f>
        <v>5.2008754311933201</v>
      </c>
      <c r="F6" s="228">
        <f>AVERAGE('[38]Financial Ratios'!$AD$8:$AI$8)</f>
        <v>0.47546265755725453</v>
      </c>
      <c r="G6" s="229">
        <f>[38]WACC!$E$12</f>
        <v>5.2500650607832315E-2</v>
      </c>
    </row>
    <row r="7" spans="1:7" x14ac:dyDescent="0.3">
      <c r="A7" t="s">
        <v>147</v>
      </c>
      <c r="B7" t="s">
        <v>124</v>
      </c>
      <c r="C7" s="228">
        <f>AVERAGE('[38]Financial Ratios'!$AM$7:$AR$7)</f>
        <v>0.42965862309106634</v>
      </c>
      <c r="D7" s="228">
        <v>2.09</v>
      </c>
      <c r="E7" s="228">
        <f>AVERAGE('[38]Financial Ratios'!$AM$9:$AR$9)</f>
        <v>6.7071901161233534</v>
      </c>
      <c r="F7" s="228">
        <f>AVERAGE('[38]Financial Ratios'!$AM$8:$AR$8)</f>
        <v>0.30025454854048217</v>
      </c>
      <c r="G7" s="229">
        <f>[38]WACC!$F$12</f>
        <v>6.923987559504502E-2</v>
      </c>
    </row>
    <row r="8" spans="1:7" x14ac:dyDescent="0.3">
      <c r="A8" t="s">
        <v>147</v>
      </c>
      <c r="B8" t="s">
        <v>578</v>
      </c>
      <c r="C8" s="228">
        <v>0.35649999999999998</v>
      </c>
      <c r="D8" s="228">
        <v>2.19</v>
      </c>
      <c r="E8" s="228">
        <f>AVERAGE('[38]Financial Ratios'!$AV$9:$BA$9)</f>
        <v>4.8435665805317321</v>
      </c>
      <c r="F8" s="228">
        <f>AVERAGE('[38]Financial Ratios'!$AV$8:$BA$8)</f>
        <v>0.30765150439194994</v>
      </c>
      <c r="G8" s="229">
        <f>[38]WACC!$G$12</f>
        <v>3.8657736213856923E-2</v>
      </c>
    </row>
    <row r="9" spans="1:7" x14ac:dyDescent="0.3">
      <c r="A9" t="s">
        <v>27</v>
      </c>
      <c r="B9" t="s">
        <v>93</v>
      </c>
      <c r="C9" s="228">
        <f>AVERAGE('[36]Financial Ratios'!$C$18:$G$18)</f>
        <v>8.9015868429340728E-2</v>
      </c>
      <c r="D9" s="228">
        <v>0.16</v>
      </c>
      <c r="E9" s="228">
        <f>AVERAGE('[36]Financial Ratios'!$C$19:$G$19)</f>
        <v>68.245943167998291</v>
      </c>
      <c r="F9" s="228">
        <f>AVERAGE('[36]Financial Ratios'!$C$26:$G$26)</f>
        <v>8.0675913098646287E-2</v>
      </c>
      <c r="G9" s="229">
        <f>[36]WACC!$B$9</f>
        <v>7.4096110998582126E-2</v>
      </c>
    </row>
    <row r="10" spans="1:7" x14ac:dyDescent="0.3">
      <c r="A10" t="s">
        <v>27</v>
      </c>
      <c r="B10" t="s">
        <v>29</v>
      </c>
      <c r="C10" s="228">
        <f>AVERAGE('[36]Financial Ratios'!$K$18:$O$18)</f>
        <v>0.10324625592438449</v>
      </c>
      <c r="D10" s="228">
        <v>0.22</v>
      </c>
      <c r="E10" s="228">
        <f>AVERAGE('[36]Financial Ratios'!$K$19:$O$19)</f>
        <v>125.85832387993119</v>
      </c>
      <c r="F10" s="228">
        <f>AVERAGE('[36]Financial Ratios'!$K$26:$O$26)</f>
        <v>9.2348286769710936E-2</v>
      </c>
      <c r="G10" s="229">
        <f>[36]WACC!$C$9</f>
        <v>2.3735364755328732E-2</v>
      </c>
    </row>
    <row r="11" spans="1:7" x14ac:dyDescent="0.3">
      <c r="A11" t="s">
        <v>27</v>
      </c>
      <c r="B11" t="s">
        <v>515</v>
      </c>
      <c r="C11" s="228">
        <f>AVERAGE('[36]Financial Ratios'!$S$18:$W$18)</f>
        <v>5.7550375450411903E-2</v>
      </c>
      <c r="D11" s="228">
        <v>0.27</v>
      </c>
      <c r="E11" s="228">
        <f>AVERAGE('[36]Financial Ratios'!$S$19:$W$19)</f>
        <v>13.560582924785971</v>
      </c>
      <c r="F11" s="228">
        <f>AVERAGE('[36]Financial Ratios'!$S$26:$W$26)</f>
        <v>9.0658635311325869E-2</v>
      </c>
      <c r="G11" s="229">
        <f>[36]WACC!$D$9</f>
        <v>5.1000000000000004E-2</v>
      </c>
    </row>
    <row r="12" spans="1:7" x14ac:dyDescent="0.3">
      <c r="A12" t="s">
        <v>27</v>
      </c>
      <c r="B12" t="s">
        <v>31</v>
      </c>
      <c r="C12" s="228">
        <f>AVERAGE('[36]Financial Ratios'!$AA$18:$AE$18)</f>
        <v>0.17434663120736951</v>
      </c>
      <c r="D12" s="228">
        <v>0.94</v>
      </c>
      <c r="E12" s="228">
        <f>AVERAGE('[36]Financial Ratios'!$AA$19:$AE$19)</f>
        <v>20.771697901631065</v>
      </c>
      <c r="F12" s="228">
        <f>AVERAGE('[36]Financial Ratios'!$AA$27:$AE$27)</f>
        <v>0.18249950745049112</v>
      </c>
      <c r="G12" s="229">
        <f>[36]WACC!$E$9</f>
        <v>5.1716893245673821E-2</v>
      </c>
    </row>
    <row r="13" spans="1:7" x14ac:dyDescent="0.3">
      <c r="A13" t="s">
        <v>27</v>
      </c>
      <c r="B13" t="s">
        <v>242</v>
      </c>
      <c r="C13" s="228">
        <f>AVERAGE('[36]Financial Ratios'!$AI$18:$AM$18)</f>
        <v>4.9596208592548822E-3</v>
      </c>
      <c r="D13" s="228">
        <v>0.38</v>
      </c>
      <c r="E13" s="228">
        <f>AVERAGE('[36]Financial Ratios'!$AI$19:$AM$19)</f>
        <v>34.156853067515115</v>
      </c>
      <c r="F13" s="228">
        <f>AVERAGE('[36]Financial Ratios'!$AI$27:$AM$27)</f>
        <v>0.10190526534027766</v>
      </c>
      <c r="G13" s="229">
        <f>[36]WACC!$F$9</f>
        <v>7.6719144165187311E-2</v>
      </c>
    </row>
    <row r="14" spans="1:7" x14ac:dyDescent="0.3">
      <c r="A14" t="s">
        <v>516</v>
      </c>
      <c r="B14" t="s">
        <v>98</v>
      </c>
      <c r="C14" s="228">
        <f>AVERAGE('[19]Financial Ratios'!$C$5:$H$5)</f>
        <v>6.4325318002472478E-3</v>
      </c>
      <c r="D14" s="228">
        <v>0.01</v>
      </c>
      <c r="E14" s="228">
        <f>AVERAGE('[19]Financial Ratios'!$C$6:$H$6)</f>
        <v>65.174369131062591</v>
      </c>
      <c r="F14" s="228">
        <f>AVERAGE('[19]Financial Ratios'!$C$27:$H$27)</f>
        <v>6.1508054670173862E-3</v>
      </c>
      <c r="G14" s="229">
        <f>'[19]Key Assumptions-WACC'!$B$9</f>
        <v>4.3500000000000004E-2</v>
      </c>
    </row>
    <row r="15" spans="1:7" x14ac:dyDescent="0.3">
      <c r="A15" t="s">
        <v>516</v>
      </c>
      <c r="B15" t="s">
        <v>35</v>
      </c>
      <c r="C15" s="228">
        <f>AVERAGE('[19]Financial Ratios'!$L$5:$Q$5)</f>
        <v>1.3026874158488801</v>
      </c>
      <c r="D15" s="228">
        <v>4.17</v>
      </c>
      <c r="E15" s="228">
        <f>AVERAGE('[19]Financial Ratios'!$L$6:$Q$6)</f>
        <v>3.1309647546053707</v>
      </c>
      <c r="F15" s="228">
        <f>AVERAGE('[19]Financial Ratios'!$L$27:$Q$27)</f>
        <v>0.60830319670464139</v>
      </c>
      <c r="G15" s="229">
        <f>'[19]Key Assumptions-WACC'!$C$9</f>
        <v>5.8164847313804391E-2</v>
      </c>
    </row>
    <row r="16" spans="1:7" x14ac:dyDescent="0.3">
      <c r="A16" t="s">
        <v>516</v>
      </c>
      <c r="B16" t="s">
        <v>517</v>
      </c>
      <c r="C16" s="228">
        <f>AVERAGE('[19]Financial Ratios'!$U$5:$Z$5)</f>
        <v>1.7327744026862375</v>
      </c>
      <c r="D16" s="228">
        <v>1.83</v>
      </c>
      <c r="E16" s="228">
        <f>AVERAGE('[19]Financial Ratios'!$U$6:$Z$6)</f>
        <v>2.5455294203565346</v>
      </c>
      <c r="F16" s="228">
        <f>AVERAGE('[19]Financial Ratios'!$U$27:$Z$27)</f>
        <v>0.57214791394737252</v>
      </c>
      <c r="G16" s="229">
        <f>'[19]Key Assumptions-WACC'!$D$9</f>
        <v>5.5659517307368844E-2</v>
      </c>
    </row>
    <row r="17" spans="1:7" x14ac:dyDescent="0.3">
      <c r="A17" t="s">
        <v>516</v>
      </c>
      <c r="B17" t="s">
        <v>457</v>
      </c>
      <c r="C17" s="228">
        <f>AVERAGE('[19]Financial Ratios'!$AD$5:$AH$5)</f>
        <v>2.9540223551221909</v>
      </c>
      <c r="D17" s="228">
        <v>4.43</v>
      </c>
      <c r="E17" s="228">
        <f>AVERAGE('[19]Financial Ratios'!$AD$6:$AH$6)</f>
        <v>2.2134576065158851</v>
      </c>
      <c r="F17" s="228">
        <f>AVERAGE('[19]Financial Ratios'!$AD$28:$AH$28)</f>
        <v>1.1023124980890486</v>
      </c>
      <c r="G17" s="229">
        <f>'[19]Key Assumptions-WACC'!$E$9</f>
        <v>5.5595924955285744E-2</v>
      </c>
    </row>
    <row r="18" spans="1:7" x14ac:dyDescent="0.3">
      <c r="A18" t="s">
        <v>516</v>
      </c>
      <c r="B18" t="s">
        <v>458</v>
      </c>
      <c r="C18" s="228">
        <f>AVERAGE('[19]Financial Ratios'!$AM$5:$AR$5)</f>
        <v>3.9874228805799217E-2</v>
      </c>
      <c r="D18" s="228">
        <v>1.1000000000000001</v>
      </c>
      <c r="E18" s="228">
        <f>AVERAGE('[19]Financial Ratios'!$AM$6:$AR$6)</f>
        <v>12.218762456698345</v>
      </c>
      <c r="F18" s="228">
        <f>AVERAGE('[19]Financial Ratios'!$AM$27:$AR$27)</f>
        <v>3.3810417591859154E-2</v>
      </c>
      <c r="G18" s="229">
        <f>'[19]Key Assumptions-WACC'!$F$9</f>
        <v>6.9000000000000006E-2</v>
      </c>
    </row>
    <row r="19" spans="1:7" x14ac:dyDescent="0.3">
      <c r="A19" t="s">
        <v>516</v>
      </c>
      <c r="B19" t="s">
        <v>39</v>
      </c>
      <c r="C19" s="228">
        <f>AVERAGE('[19]Financial Ratios'!$AV$5:$AZ$5)</f>
        <v>0.60077962432986864</v>
      </c>
      <c r="D19" s="228">
        <v>1.73</v>
      </c>
      <c r="E19" s="228">
        <f>AVERAGE('[19]Financial Ratios'!$AV$6:$AZ$6)</f>
        <v>3.5926415673057086</v>
      </c>
      <c r="F19" s="228">
        <f>AVERAGE('[19]Financial Ratios'!$AV$27:$AZ$27)</f>
        <v>0.37964296709298989</v>
      </c>
      <c r="G19" s="229">
        <f>'[19]Key Assumptions-WACC'!$G$9</f>
        <v>5.0646613522968398E-2</v>
      </c>
    </row>
    <row r="20" spans="1:7" x14ac:dyDescent="0.3">
      <c r="A20" t="s">
        <v>148</v>
      </c>
      <c r="B20" t="s">
        <v>135</v>
      </c>
      <c r="C20" s="228">
        <f>AVERAGE('[37]Financial Ratios'!$B$9:$G$9)</f>
        <v>0.11120267370321375</v>
      </c>
      <c r="D20" s="228">
        <v>0.32</v>
      </c>
      <c r="E20" s="228">
        <f>AVERAGE('[37]Financial Ratios'!$B$10:$G$10)</f>
        <v>48.776188853761006</v>
      </c>
      <c r="F20" s="228">
        <f>AVERAGE('[37]Financial Ratios'!$B$11:$G$11)</f>
        <v>2.960107422259171E-2</v>
      </c>
      <c r="G20" s="229">
        <f>[37]WACC!$B$12</f>
        <v>7.4558263184213117E-2</v>
      </c>
    </row>
    <row r="21" spans="1:7" x14ac:dyDescent="0.3">
      <c r="A21" t="s">
        <v>148</v>
      </c>
      <c r="B21" t="s">
        <v>136</v>
      </c>
      <c r="C21" s="228">
        <f>AVERAGE('[37]Financial Ratios'!$J$9:$O$9)</f>
        <v>0.42820454672847169</v>
      </c>
      <c r="D21" s="228">
        <v>0.68</v>
      </c>
      <c r="E21" s="228">
        <f>AVERAGE('[37]Financial Ratios'!$J$10:$O$10)</f>
        <v>46.62103024378127</v>
      </c>
      <c r="F21" s="228">
        <f>AVERAGE('[37]Financial Ratios'!$J$11:$O$11)</f>
        <v>0.18638776123985898</v>
      </c>
      <c r="G21" s="229">
        <f>[37]WACC!$C$12</f>
        <v>7.8533419910911034E-2</v>
      </c>
    </row>
    <row r="22" spans="1:7" x14ac:dyDescent="0.3">
      <c r="A22" t="s">
        <v>148</v>
      </c>
      <c r="B22" t="s">
        <v>137</v>
      </c>
      <c r="C22" s="228">
        <f>AVERAGE('[37]Financial Ratios'!$R$9:$W$9)</f>
        <v>1.1728290941476411</v>
      </c>
      <c r="D22" s="228">
        <v>3.77</v>
      </c>
      <c r="E22" s="228">
        <f>AVERAGE('[37]Financial Ratios'!$R$10:$W$10)</f>
        <v>3.1628131830638146</v>
      </c>
      <c r="F22" s="228">
        <f>AVERAGE('[37]Financial Ratios'!$R$11:$W$11)</f>
        <v>0.37567913129652269</v>
      </c>
      <c r="G22" s="229">
        <f>[37]WACC!$D$12</f>
        <v>6.027889572665325E-2</v>
      </c>
    </row>
    <row r="23" spans="1:7" x14ac:dyDescent="0.3">
      <c r="A23" t="s">
        <v>148</v>
      </c>
      <c r="B23" t="s">
        <v>466</v>
      </c>
      <c r="C23" s="228">
        <f>AVERAGE('[37]Financial Ratios'!$Z$9:$AE$9)</f>
        <v>0.95501274607284692</v>
      </c>
      <c r="D23" s="228">
        <v>3.85</v>
      </c>
      <c r="E23" s="228">
        <f>AVERAGE('[37]Financial Ratios'!$Z$10:$AE$10)</f>
        <v>3.7787691281046647</v>
      </c>
      <c r="F23" s="228">
        <f>AVERAGE('[37]Financial Ratios'!$Z$11:$AE$11)</f>
        <v>0.31913113864629222</v>
      </c>
      <c r="G23" s="229">
        <f>[37]WACC!$E$12</f>
        <v>3.1129456135936834E-2</v>
      </c>
    </row>
    <row r="24" spans="1:7" x14ac:dyDescent="0.3">
      <c r="A24" t="s">
        <v>148</v>
      </c>
      <c r="B24" t="s">
        <v>139</v>
      </c>
      <c r="C24" s="228">
        <f>AVERAGE('[37]Financial Ratios'!$AH$9:$AM$9)</f>
        <v>0.62910039786944805</v>
      </c>
      <c r="D24" s="228">
        <v>3.19</v>
      </c>
      <c r="E24" s="228">
        <f>AVERAGE('[37]Financial Ratios'!$AH$10:$AM$10)</f>
        <v>3.8205163725399021</v>
      </c>
      <c r="F24" s="228">
        <f>AVERAGE('[37]Financial Ratios'!$AH$11:$AM$11)</f>
        <v>0.24098778291906212</v>
      </c>
      <c r="G24" s="229">
        <f>[37]WACC!$F$12</f>
        <v>6.8345413517501744E-2</v>
      </c>
    </row>
    <row r="25" spans="1:7" x14ac:dyDescent="0.3">
      <c r="A25" t="s">
        <v>148</v>
      </c>
      <c r="B25" t="s">
        <v>140</v>
      </c>
      <c r="C25" s="228">
        <f>AVERAGE('[37]Financial Ratios'!$AP$9:$AU$9)</f>
        <v>7.7098433714174949E-2</v>
      </c>
      <c r="D25" s="228">
        <v>0.41</v>
      </c>
      <c r="E25" s="228">
        <f>AVERAGE('[37]Financial Ratios'!$AP$10:$AU$10)</f>
        <v>289.83620972952366</v>
      </c>
      <c r="F25" s="228">
        <f>AVERAGE('[37]Financial Ratios'!$AP$11:$AU$11)</f>
        <v>5.7471384003128012E-2</v>
      </c>
      <c r="G25" s="229">
        <f>[37]WACC!$G$12</f>
        <v>3.3703539570861481E-2</v>
      </c>
    </row>
    <row r="26" spans="1:7" x14ac:dyDescent="0.3">
      <c r="A26" t="s">
        <v>40</v>
      </c>
      <c r="B26" t="s">
        <v>467</v>
      </c>
      <c r="C26" s="228">
        <f>AVERAGE('[42]Ratio Analysis'!$I$14:$M$14)</f>
        <v>0</v>
      </c>
      <c r="D26" s="228">
        <v>0.01</v>
      </c>
      <c r="E26" s="228">
        <f>AVERAGE('[42]Ratio Analysis'!$I$15:$M$15)</f>
        <v>192.93627480773966</v>
      </c>
      <c r="F26" s="228">
        <f>AVERAGE('[42]Ratio Analysis'!$C$31:$G$31)</f>
        <v>8.9492474986555774E-5</v>
      </c>
      <c r="G26" s="231">
        <f>[42]WACC!$B$9</f>
        <v>0.15190986764952252</v>
      </c>
    </row>
    <row r="27" spans="1:7" x14ac:dyDescent="0.3">
      <c r="A27" t="s">
        <v>40</v>
      </c>
      <c r="B27" t="s">
        <v>468</v>
      </c>
      <c r="C27" s="228">
        <f>AVERAGE('[42]Ratio Analysis'!$C$14:$G$14)</f>
        <v>2.5510740483987615E-3</v>
      </c>
      <c r="D27" s="228">
        <v>9.7999999999999997E-4</v>
      </c>
      <c r="E27" s="228">
        <f>AVERAGE('[42]Ratio Analysis'!$C$15:$G$15)</f>
        <v>570.31515388656453</v>
      </c>
      <c r="F27" s="228">
        <f>AVERAGE('[42]Ratio Analysis'!$I$31:$M$31)</f>
        <v>0</v>
      </c>
      <c r="G27" s="231">
        <f>[42]WACC!$C$9</f>
        <v>0</v>
      </c>
    </row>
    <row r="28" spans="1:7" x14ac:dyDescent="0.3">
      <c r="A28" t="s">
        <v>40</v>
      </c>
      <c r="B28" t="s">
        <v>469</v>
      </c>
      <c r="C28" s="228">
        <f>AVERAGE('[42]Ratio Analysis'!$O$14:$S$14)</f>
        <v>2.3745600622752791E-3</v>
      </c>
      <c r="D28" s="228">
        <v>4.4000000000000003E-3</v>
      </c>
      <c r="E28" s="228">
        <f>AVERAGE('[42]Ratio Analysis'!$O$15:$S$15)</f>
        <v>168.32986066839436</v>
      </c>
      <c r="F28" s="228">
        <f>AVERAGE('[42]Ratio Analysis'!$O$31:$S$31)</f>
        <v>1.6882079299193303E-3</v>
      </c>
      <c r="G28" s="231">
        <f>[42]WACC!$D$9</f>
        <v>0.34412507010656201</v>
      </c>
    </row>
    <row r="29" spans="1:7" x14ac:dyDescent="0.3">
      <c r="A29" t="s">
        <v>40</v>
      </c>
      <c r="B29" t="s">
        <v>470</v>
      </c>
      <c r="C29" s="228">
        <f>AVERAGE('[42]Ratio Analysis'!$U$14:$Y$14)</f>
        <v>5.3781037994610384E-2</v>
      </c>
      <c r="D29" s="228">
        <v>0.02</v>
      </c>
      <c r="E29" s="228">
        <f>AVERAGE('[42]Ratio Analysis'!$U$15:$Y$15)</f>
        <v>140.11735285906082</v>
      </c>
      <c r="F29" s="228">
        <f>AVERAGE('[42]Ratio Analysis'!$U$31:$Y$31)</f>
        <v>5.3254190761894228E-2</v>
      </c>
      <c r="G29" s="231">
        <f>[42]WACC!$E$9</f>
        <v>1.8060418717831303E-2</v>
      </c>
    </row>
    <row r="30" spans="1:7" x14ac:dyDescent="0.3">
      <c r="A30" t="s">
        <v>40</v>
      </c>
      <c r="B30" t="s">
        <v>471</v>
      </c>
      <c r="C30" s="228">
        <f>AVERAGE('[42]Ratio Analysis'!$AA$14:$AF$14)</f>
        <v>7.4178361711487589E-2</v>
      </c>
      <c r="D30" s="228">
        <v>6.1999999999999998E-3</v>
      </c>
      <c r="E30" s="228">
        <f>AVERAGE('[42]Ratio Analysis'!$AA$15:$AF$15)</f>
        <v>299.96327786730996</v>
      </c>
      <c r="F30" s="228">
        <f>AVERAGE('[42]Ratio Analysis'!$AA$31:$AF$31)</f>
        <v>4.6606379142873043E-2</v>
      </c>
      <c r="G30" s="231">
        <f>[42]WACC!$F$9</f>
        <v>3.2401890403388894E-2</v>
      </c>
    </row>
    <row r="31" spans="1:7" x14ac:dyDescent="0.3">
      <c r="A31" t="s">
        <v>472</v>
      </c>
      <c r="B31" t="s">
        <v>44</v>
      </c>
      <c r="C31" s="228">
        <f>AVERAGE('[43]Financial Ratio'!$B$13:$F$13)</f>
        <v>3.3799532117651809</v>
      </c>
      <c r="D31" s="228">
        <v>2.34</v>
      </c>
      <c r="E31" s="228">
        <f>AVERAGE('[43]Financial Ratio'!$B$14:$F$14)</f>
        <v>2.0511888799711118</v>
      </c>
      <c r="F31" s="228">
        <f>AVERAGE('[43]Financial Ratio'!$B$29:$F$29)</f>
        <v>0.72344312916284093</v>
      </c>
      <c r="G31" s="229">
        <f>'[43]Weighted Avg Cost of Capital'!$B$4</f>
        <v>7.3746345430198812E-2</v>
      </c>
    </row>
    <row r="32" spans="1:7" x14ac:dyDescent="0.3">
      <c r="A32" t="s">
        <v>472</v>
      </c>
      <c r="B32" t="s">
        <v>45</v>
      </c>
      <c r="C32" s="228">
        <f>AVERAGE('[43]Financial Ratio'!$I$13:$M$13)</f>
        <v>1.6359264686370867</v>
      </c>
      <c r="D32" s="228">
        <v>4.79</v>
      </c>
      <c r="E32" s="228">
        <f>AVERAGE('[43]Financial Ratio'!$I$14:$M$14)</f>
        <v>-0.29499539968169219</v>
      </c>
      <c r="F32" s="228">
        <f>AVERAGE('[43]Financial Ratio'!$I$29:$M$29)</f>
        <v>0.67558530832312269</v>
      </c>
      <c r="G32" s="229">
        <f>'[43]Weighted Avg Cost of Capital'!$C$4</f>
        <v>9.796888813337859E-2</v>
      </c>
    </row>
    <row r="33" spans="1:7" x14ac:dyDescent="0.3">
      <c r="A33" t="s">
        <v>472</v>
      </c>
      <c r="B33" t="s">
        <v>473</v>
      </c>
      <c r="C33" s="228">
        <f>AVERAGE('[43]Financial Ratio'!$P$13:$T$13)</f>
        <v>1.6217983220022574</v>
      </c>
      <c r="D33" s="228">
        <v>4.4400000000000004</v>
      </c>
      <c r="E33" s="228">
        <f>AVERAGE('[43]Financial Ratio'!$P$14:$T$14)</f>
        <v>0.4087533323461317</v>
      </c>
      <c r="F33" s="228">
        <f>AVERAGE('[43]Financial Ratio'!$P$29:$T$29)</f>
        <v>0.59874117540994631</v>
      </c>
      <c r="G33" s="229">
        <f>'[43]Weighted Avg Cost of Capital'!$D$4</f>
        <v>7.0228947928458102E-2</v>
      </c>
    </row>
    <row r="34" spans="1:7" x14ac:dyDescent="0.3">
      <c r="A34" t="s">
        <v>472</v>
      </c>
      <c r="B34" t="s">
        <v>47</v>
      </c>
      <c r="C34" s="228">
        <f>AVERAGE('[43]Financial Ratio'!$W$13:$AA$13)</f>
        <v>0.90788707798112589</v>
      </c>
      <c r="D34" s="228">
        <v>8.75</v>
      </c>
      <c r="E34" s="228">
        <f>AVERAGE('[43]Financial Ratio'!$W$14:$AA$14)</f>
        <v>1.6647887341407404</v>
      </c>
      <c r="F34" s="228">
        <f>AVERAGE('[43]Financial Ratio'!$W$29:$AA$29)</f>
        <v>0.45997222622734696</v>
      </c>
      <c r="G34" s="229">
        <f>'[43]Weighted Avg Cost of Capital'!$E$4</f>
        <v>4.9161080627619771E-2</v>
      </c>
    </row>
    <row r="35" spans="1:7" x14ac:dyDescent="0.3">
      <c r="A35" t="s">
        <v>472</v>
      </c>
      <c r="B35" t="s">
        <v>48</v>
      </c>
      <c r="C35" s="228">
        <f>AVERAGE('[43]Financial Ratio'!$AD$13:$AH$13)</f>
        <v>1.4976036734813274</v>
      </c>
      <c r="D35" s="228">
        <v>4.6900000000000004</v>
      </c>
      <c r="E35" s="228">
        <f>AVERAGE('[43]Financial Ratio'!$AD$14:$AH$14)</f>
        <v>2.011555207866679</v>
      </c>
      <c r="F35" s="228">
        <f>AVERAGE('[43]Financial Ratio'!$AD$29:$AH$29)</f>
        <v>0.61101905805080559</v>
      </c>
      <c r="G35" s="229">
        <f>'[43]Weighted Avg Cost of Capital'!$F$4</f>
        <v>3.844514110984372E-2</v>
      </c>
    </row>
    <row r="36" spans="1:7" x14ac:dyDescent="0.3">
      <c r="A36" t="s">
        <v>523</v>
      </c>
      <c r="B36" t="s">
        <v>50</v>
      </c>
      <c r="C36" s="228">
        <f>AVERAGE('[44]Financial Ratio'!$B$20:$G$20)</f>
        <v>5.6106087134407926E-5</v>
      </c>
      <c r="D36" s="228">
        <v>0.36</v>
      </c>
      <c r="E36" s="228">
        <f>AVERAGE('[44]Financial Ratio'!$B$21:$G$21)</f>
        <v>43.842566014348925</v>
      </c>
      <c r="F36" s="228">
        <f>AVERAGE('[44]Financial Ratio'!$B$39:$F$39)</f>
        <v>3.45043610067697E-2</v>
      </c>
      <c r="G36" s="232">
        <f>'[44]WACC &amp; Key Assumptions'!$B$10</f>
        <v>7.8860419274769722E-2</v>
      </c>
    </row>
    <row r="37" spans="1:7" x14ac:dyDescent="0.3">
      <c r="A37" t="s">
        <v>523</v>
      </c>
      <c r="B37" t="s">
        <v>232</v>
      </c>
      <c r="C37" s="228">
        <f>AVERAGE('[44]Financial Ratio'!$J$20:$N$20)</f>
        <v>2.5616580526583747E-3</v>
      </c>
      <c r="D37" s="228">
        <v>0.12</v>
      </c>
      <c r="E37" s="228">
        <f>AVERAGE('[44]Financial Ratio'!$J$21:$N$21)</f>
        <v>89.773980623664812</v>
      </c>
      <c r="F37" s="228">
        <f>AVERAGE('[44]Financial Ratio'!$J$39:$N$39)</f>
        <v>1.3531995741941447E-2</v>
      </c>
      <c r="G37" s="232">
        <f>'[44]WACC &amp; Key Assumptions'!$C$10</f>
        <v>9.8634065680400437E-2</v>
      </c>
    </row>
    <row r="38" spans="1:7" x14ac:dyDescent="0.3">
      <c r="A38" t="s">
        <v>523</v>
      </c>
      <c r="B38" t="s">
        <v>52</v>
      </c>
      <c r="C38" s="228">
        <f>AVERAGE('[44]Financial Ratio'!$Q$20:$V$20)</f>
        <v>3.9356930689076586E-4</v>
      </c>
      <c r="D38" s="228">
        <v>1.4E-2</v>
      </c>
      <c r="E38" s="228">
        <f>AVERAGE('[44]Financial Ratio'!$Q$21:$V$21)</f>
        <v>529.15722736880628</v>
      </c>
      <c r="F38" s="228">
        <f>AVERAGE('[44]Financial Ratio'!$Q$39:$V$39)</f>
        <v>4.02635629423657E-3</v>
      </c>
      <c r="G38" s="232">
        <f>'[44]WACC &amp; Key Assumptions'!$D$10</f>
        <v>0.13168563906745248</v>
      </c>
    </row>
    <row r="39" spans="1:7" x14ac:dyDescent="0.3">
      <c r="A39" t="s">
        <v>523</v>
      </c>
      <c r="B39" t="s">
        <v>233</v>
      </c>
      <c r="C39" s="228">
        <f>AVERAGE('[44]Financial Ratio'!$Y$20:$AD$20)</f>
        <v>0.34826324994676949</v>
      </c>
      <c r="D39" s="228">
        <v>3.55</v>
      </c>
      <c r="E39" s="228">
        <f>AVERAGE('[44]Financial Ratio'!$Y$21:$AD$21)</f>
        <v>10.976936717503619</v>
      </c>
      <c r="F39" s="228">
        <f>AVERAGE('[44]Financial Ratio'!$Y$39:$AD$39)</f>
        <v>0.814502597595537</v>
      </c>
      <c r="G39" s="232">
        <f>'[44]WACC &amp; Key Assumptions'!$E$10</f>
        <v>8.386030757488605E-2</v>
      </c>
    </row>
    <row r="40" spans="1:7" x14ac:dyDescent="0.3">
      <c r="A40" t="s">
        <v>523</v>
      </c>
      <c r="B40" t="s">
        <v>234</v>
      </c>
      <c r="C40" s="228">
        <f>AVERAGE('[44]Financial Ratio'!$AG$20:$AL$20)</f>
        <v>0.12096519625356229</v>
      </c>
      <c r="D40" s="228">
        <v>0.98</v>
      </c>
      <c r="E40" s="228">
        <f>AVERAGE('[44]Financial Ratio'!$AG$21:$AL$21)</f>
        <v>4.3044063871653178</v>
      </c>
      <c r="F40" s="228">
        <f>AVERAGE('[44]Financial Ratio'!$AG$39:$AL$39)</f>
        <v>0.4909344000741887</v>
      </c>
      <c r="G40" s="232">
        <f>'[44]WACC &amp; Key Assumptions'!$F$10</f>
        <v>6.5374004943859546E-2</v>
      </c>
    </row>
    <row r="41" spans="1:7" x14ac:dyDescent="0.3">
      <c r="A41" t="s">
        <v>523</v>
      </c>
      <c r="B41" t="s">
        <v>235</v>
      </c>
      <c r="C41" s="228">
        <f>AVERAGE('[44]Financial Ratio'!$AO$20:$AS$20)</f>
        <v>0.62594777513247324</v>
      </c>
      <c r="D41" s="228">
        <v>0.41</v>
      </c>
      <c r="E41" s="228">
        <f>AVERAGE('[44]Financial Ratio'!$AO$21:$AS$21)</f>
        <v>8.138840412100496</v>
      </c>
      <c r="F41" s="228">
        <f>AVERAGE('[44]Financial Ratio'!$AO$39:$AS$39)</f>
        <v>0.40693842728325186</v>
      </c>
      <c r="G41" s="232">
        <f>'[44]WACC &amp; Key Assumptions'!$G$10</f>
        <v>6.1236174673220449E-2</v>
      </c>
    </row>
    <row r="42" spans="1:7" x14ac:dyDescent="0.3">
      <c r="A42" t="s">
        <v>146</v>
      </c>
      <c r="B42" t="s">
        <v>128</v>
      </c>
      <c r="C42" s="228">
        <f>AVERAGE('[45]Ratio Analysis'!$B$14:$G$14)</f>
        <v>0.96653595557190475</v>
      </c>
      <c r="D42" s="228">
        <v>2.68</v>
      </c>
      <c r="E42" s="228">
        <f>AVERAGE('[45]Ratio Analysis'!$B$15:$G$15)</f>
        <v>4.248617875771532</v>
      </c>
      <c r="F42" s="228">
        <f>AVERAGE('[45]Ratio Analysis'!$B$32:$G$32)</f>
        <v>0.47391007290424025</v>
      </c>
      <c r="G42" s="232">
        <f>'[45]WACC &amp; Key Assumptions'!$B$10</f>
        <v>4.1239662475298422E-2</v>
      </c>
    </row>
    <row r="43" spans="1:7" x14ac:dyDescent="0.3">
      <c r="A43" t="s">
        <v>146</v>
      </c>
      <c r="B43" t="s">
        <v>129</v>
      </c>
      <c r="C43" s="228">
        <f>AVERAGE('[45]Ratio Analysis'!$J$14:$O$14)</f>
        <v>0.75375862924538639</v>
      </c>
      <c r="D43" s="228">
        <v>2.31</v>
      </c>
      <c r="E43" s="228">
        <f>AVERAGE('[45]Ratio Analysis'!$J$15:$O$15)</f>
        <v>2.3906562373797486</v>
      </c>
      <c r="F43" s="228">
        <f>AVERAGE('[45]Ratio Analysis'!$J$32:$O$32)</f>
        <v>0.45085939730865227</v>
      </c>
      <c r="G43" s="232">
        <f>'[45]WACC &amp; Key Assumptions'!$C$10</f>
        <v>0.10679355678441853</v>
      </c>
    </row>
    <row r="44" spans="1:7" x14ac:dyDescent="0.3">
      <c r="A44" t="s">
        <v>146</v>
      </c>
      <c r="B44" t="s">
        <v>130</v>
      </c>
      <c r="C44" s="228">
        <f>AVERAGE('[45]Ratio Analysis'!$R$14:$W$14)</f>
        <v>0.75676351020956822</v>
      </c>
      <c r="D44" s="228">
        <v>2.57</v>
      </c>
      <c r="E44" s="228">
        <f>AVERAGE('[45]Ratio Analysis'!$R$15:$W$15)</f>
        <v>2.4819765673633385</v>
      </c>
      <c r="F44" s="228">
        <f>AVERAGE('[45]Ratio Analysis'!$R$32:$W$32)</f>
        <v>0.66662318394759446</v>
      </c>
      <c r="G44" s="232">
        <f>'[45]WACC &amp; Key Assumptions'!$D$10</f>
        <v>0.13290619517236407</v>
      </c>
    </row>
    <row r="45" spans="1:7" x14ac:dyDescent="0.3">
      <c r="A45" t="s">
        <v>146</v>
      </c>
      <c r="B45" t="s">
        <v>131</v>
      </c>
      <c r="C45" s="228">
        <f>AVERAGE('[45]Ratio Analysis'!$Z$14:$AE$14)</f>
        <v>0.92698217486787637</v>
      </c>
      <c r="D45" s="228">
        <v>4.25</v>
      </c>
      <c r="E45" s="228">
        <f>AVERAGE('[45]Ratio Analysis'!$Z$15:$AE$15)</f>
        <v>6.0860934959066739</v>
      </c>
      <c r="F45" s="228">
        <f>AVERAGE('[45]Ratio Analysis'!$Z$32:$AE$32)</f>
        <v>0.47154871499083811</v>
      </c>
      <c r="G45" s="232">
        <f>'[45]WACC &amp; Key Assumptions'!$E$10</f>
        <v>8.1341709120711134E-2</v>
      </c>
    </row>
    <row r="46" spans="1:7" x14ac:dyDescent="0.3">
      <c r="A46" t="s">
        <v>146</v>
      </c>
      <c r="B46" t="s">
        <v>132</v>
      </c>
      <c r="C46" s="228">
        <f>AVERAGE('[45]Ratio Analysis'!$AH$14:$AM$14)</f>
        <v>0.85066529565876314</v>
      </c>
      <c r="D46" s="228">
        <v>5.38</v>
      </c>
      <c r="E46" s="228">
        <f>AVERAGE('[45]Ratio Analysis'!$AH$15:$AM$15)</f>
        <v>9.1526027484222876</v>
      </c>
      <c r="F46" s="228">
        <f>AVERAGE('[45]Ratio Analysis'!$AH$32:$AM$32)</f>
        <v>0.44943120627601035</v>
      </c>
      <c r="G46" s="232">
        <f>'[45]WACC &amp; Key Assumptions'!$F$10</f>
        <v>7.4953985222532202E-2</v>
      </c>
    </row>
    <row r="47" spans="1:7" x14ac:dyDescent="0.3">
      <c r="A47" t="s">
        <v>145</v>
      </c>
      <c r="B47" t="s">
        <v>236</v>
      </c>
      <c r="C47" s="228">
        <f>AVERAGE('[46]Ratio Analysis'!$B$16:$G$16)</f>
        <v>1.1487668381589937E-3</v>
      </c>
      <c r="D47" s="228">
        <v>1.2999999999999999E-3</v>
      </c>
      <c r="E47" s="228">
        <f>AVERAGE('[46]Ratio Analysis'!$B$18:$G$18)</f>
        <v>2281.2215968279011</v>
      </c>
      <c r="F47" s="228">
        <f>AVERAGE('[46]Ratio Analysis'!$B$17:$G$17)</f>
        <v>9.8860137352500062E-4</v>
      </c>
      <c r="G47" s="232">
        <f>[46]WACC!$B$11</f>
        <v>0.375</v>
      </c>
    </row>
    <row r="48" spans="1:7" x14ac:dyDescent="0.3">
      <c r="A48" t="s">
        <v>145</v>
      </c>
      <c r="B48" t="s">
        <v>237</v>
      </c>
      <c r="C48" s="228">
        <f>AVERAGE('[46]Ratio Analysis'!$J$16:$O$16)</f>
        <v>0.14012965185091805</v>
      </c>
      <c r="D48" s="228">
        <v>0.154</v>
      </c>
      <c r="E48" s="228">
        <f>AVERAGE('[46]Ratio Analysis'!$J$18:$O$18)</f>
        <v>51.889155332146963</v>
      </c>
      <c r="F48" s="228">
        <f>AVERAGE('[46]Ratio Analysis'!$J$17:$O$17)</f>
        <v>9.0217238635180219E-2</v>
      </c>
      <c r="G48" s="232">
        <f>[46]WACC!$C$11</f>
        <v>8.9611934501049983E-2</v>
      </c>
    </row>
    <row r="49" spans="1:7" x14ac:dyDescent="0.3">
      <c r="A49" t="s">
        <v>145</v>
      </c>
      <c r="B49" t="s">
        <v>238</v>
      </c>
      <c r="C49" s="228">
        <f>AVERAGE('[46]Ratio Analysis'!$R$16:$W$16)</f>
        <v>0.14016113020085841</v>
      </c>
      <c r="D49" s="228">
        <v>2.74</v>
      </c>
      <c r="E49" s="228">
        <f>AVERAGE('[46]Ratio Analysis'!$R$18:$W$18)</f>
        <v>50.958194752035865</v>
      </c>
      <c r="F49" s="228">
        <f>AVERAGE('[46]Ratio Analysis'!$R$17:$W$17)</f>
        <v>8.2104171086758548E-2</v>
      </c>
      <c r="G49" s="232">
        <f>[46]WACC!$D$11</f>
        <v>3.783814743668823E-2</v>
      </c>
    </row>
    <row r="50" spans="1:7" x14ac:dyDescent="0.3">
      <c r="A50" t="s">
        <v>145</v>
      </c>
      <c r="B50" t="s">
        <v>480</v>
      </c>
      <c r="C50" s="228">
        <f>AVERAGE('[46]Ratio Analysis'!$Z$16:$AE$16)</f>
        <v>0.15081245171493496</v>
      </c>
      <c r="D50" s="228">
        <v>0.66</v>
      </c>
      <c r="E50" s="228">
        <f>AVERAGE('[46]Ratio Analysis'!$Z$18:$AE$18)</f>
        <v>32.705593382253994</v>
      </c>
      <c r="F50" s="228">
        <f>AVERAGE('[46]Ratio Analysis'!$Z$17:$AE$17)</f>
        <v>9.9162802618109266E-2</v>
      </c>
      <c r="G50" s="232">
        <f>[46]WACC!$E$11</f>
        <v>4.5369499208826922E-2</v>
      </c>
    </row>
    <row r="51" spans="1:7" x14ac:dyDescent="0.3">
      <c r="A51" t="s">
        <v>145</v>
      </c>
      <c r="B51" t="s">
        <v>240</v>
      </c>
      <c r="C51" s="228">
        <f>AVERAGE('[46]Ratio Analysis'!$AH$16:$AM$16)</f>
        <v>0.68134011120495896</v>
      </c>
      <c r="D51" s="228">
        <v>0.86</v>
      </c>
      <c r="E51" s="228">
        <f>AVERAGE('[46]Ratio Analysis'!$AH$18:$AM$18)</f>
        <v>7.0385038163285047</v>
      </c>
      <c r="F51" s="228">
        <f>AVERAGE('[46]Ratio Analysis'!$AH$17:$AM$17)</f>
        <v>0.28596375942228519</v>
      </c>
      <c r="G51" s="232">
        <f>[46]WACC!$F$11</f>
        <v>5.9092314322116472E-2</v>
      </c>
    </row>
    <row r="52" spans="1:7" x14ac:dyDescent="0.3">
      <c r="A52" t="s">
        <v>145</v>
      </c>
      <c r="B52" t="s">
        <v>92</v>
      </c>
      <c r="C52" s="228">
        <f>AVERAGE('[46]Ratio Analysis'!$AP$16:$AU$16)</f>
        <v>6.2810465105387334E-2</v>
      </c>
      <c r="D52" s="228">
        <v>6.6000000000000003E-2</v>
      </c>
      <c r="E52" s="228">
        <f>AVERAGE('[46]Ratio Analysis'!$AP$18:$AU$18)</f>
        <v>47.700490951177152</v>
      </c>
      <c r="F52" s="228">
        <f>AVERAGE('[46]Ratio Analysis'!$AP$17:$AU$17)</f>
        <v>4.586439017912175E-2</v>
      </c>
      <c r="G52" s="232">
        <f>[46]WACC!$G$11</f>
        <v>0.10613546635021336</v>
      </c>
    </row>
    <row r="53" spans="1:7" x14ac:dyDescent="0.3">
      <c r="A53" t="s">
        <v>149</v>
      </c>
      <c r="B53" t="s">
        <v>482</v>
      </c>
      <c r="C53" s="228">
        <f>AVERAGE('[47]Ratio Analysis'!$C$9:$H$9)</f>
        <v>1.2759629533653301</v>
      </c>
      <c r="D53" s="228">
        <f>AVERAGE('[47]Ratio Analysis'!$C$10:$H$10)</f>
        <v>3.6303047439882659</v>
      </c>
      <c r="E53" s="228">
        <f>AVERAGE('[47]Ratio Analysis'!$C$21:$H$21)</f>
        <v>4.8996509401363859</v>
      </c>
      <c r="F53" s="228">
        <f>AVERAGE('[47]Ratio Analysis'!$C$22:$H$22)</f>
        <v>0.47643067576763592</v>
      </c>
      <c r="G53" s="232">
        <f>[47]WACC!$B$14</f>
        <v>7.6368023905400664E-2</v>
      </c>
    </row>
    <row r="54" spans="1:7" x14ac:dyDescent="0.3">
      <c r="A54" t="s">
        <v>149</v>
      </c>
      <c r="B54" t="s">
        <v>107</v>
      </c>
      <c r="C54" s="228">
        <f>AVERAGE('[47]Ratio Analysis'!$L$9:$Q$9)</f>
        <v>0.21960565092125348</v>
      </c>
      <c r="D54" s="228">
        <f>AVERAGE('[47]Ratio Analysis'!$L$10:$Q$10)</f>
        <v>1.5660344261237771</v>
      </c>
      <c r="E54" s="228">
        <f>AVERAGE('[47]Ratio Analysis'!$L$21:$Q$21)</f>
        <v>12.69067910456822</v>
      </c>
      <c r="F54" s="228">
        <f>AVERAGE('[47]Ratio Analysis'!$L$22:$Q$22)</f>
        <v>0.12938627580226769</v>
      </c>
      <c r="G54" s="232">
        <f>[47]WACC!$C$14</f>
        <v>6.586491647680541E-2</v>
      </c>
    </row>
    <row r="55" spans="1:7" x14ac:dyDescent="0.3">
      <c r="A55" t="s">
        <v>149</v>
      </c>
      <c r="B55" t="s">
        <v>108</v>
      </c>
      <c r="C55" s="228">
        <f>AVERAGE('[47]Ratio Analysis'!$U$9:$Z$9)</f>
        <v>2.4275382830535611E-2</v>
      </c>
      <c r="D55" s="228">
        <f>AVERAGE('[47]Ratio Analysis'!$U$10:$Z$10)</f>
        <v>-0.40450258032193193</v>
      </c>
      <c r="E55" s="228">
        <f>AVERAGE('[47]Ratio Analysis'!$U$21:$Z$21)</f>
        <v>94.431162381818069</v>
      </c>
      <c r="F55" s="228">
        <f>AVERAGE('[47]Ratio Analysis'!$U$22:$Z$22)</f>
        <v>0</v>
      </c>
      <c r="G55" s="232">
        <f>[47]WACC!$D$14</f>
        <v>5.2368657386618764E-2</v>
      </c>
    </row>
    <row r="56" spans="1:7" x14ac:dyDescent="0.3">
      <c r="A56" t="s">
        <v>149</v>
      </c>
      <c r="B56" t="s">
        <v>524</v>
      </c>
      <c r="C56" s="228">
        <f>AVERAGE('[47]Ratio Analysis'!$AD$9:$AI$9)</f>
        <v>15.870608218820196</v>
      </c>
      <c r="D56" s="228">
        <f>AVERAGE('[47]Ratio Analysis'!$AD$10:$AI$10)</f>
        <v>2.2658236461032497</v>
      </c>
      <c r="E56" s="228">
        <f>AVERAGE('[47]Ratio Analysis'!$AD$21:$AI$21)</f>
        <v>8.1405780931139393</v>
      </c>
      <c r="F56" s="228">
        <f>AVERAGE('[47]Ratio Analysis'!$AD$22:$AI$22)</f>
        <v>0.77810229079041004</v>
      </c>
      <c r="G56" s="232">
        <f>[47]WACC!$E$14</f>
        <v>0.15732173319133921</v>
      </c>
    </row>
    <row r="57" spans="1:7" x14ac:dyDescent="0.3">
      <c r="A57" t="s">
        <v>149</v>
      </c>
      <c r="B57" t="s">
        <v>110</v>
      </c>
      <c r="C57" s="228">
        <f>AVERAGE('[47]Ratio Analysis'!$AM$9:$AR$9)</f>
        <v>-5.2706201657833018E-2</v>
      </c>
      <c r="D57" s="228">
        <f>AVERAGE('[47]Ratio Analysis'!$AM$10:$AR$10)</f>
        <v>11.415133598656331</v>
      </c>
      <c r="E57" s="228">
        <f>AVERAGE('[47]Ratio Analysis'!$AM$21:$AR$21)</f>
        <v>1.9535429076866697</v>
      </c>
      <c r="F57" s="228">
        <f>AVERAGE('[47]Ratio Analysis'!$AM$22:$AR$22)</f>
        <v>1.2744787751662143</v>
      </c>
      <c r="G57" s="232">
        <f>[47]WACC!$F$14</f>
        <v>7.8924892176648928E-2</v>
      </c>
    </row>
    <row r="58" spans="1:7" x14ac:dyDescent="0.3">
      <c r="A58" t="s">
        <v>149</v>
      </c>
      <c r="B58" t="s">
        <v>111</v>
      </c>
      <c r="C58" s="228">
        <f>AVERAGE('[47]Ratio Analysis'!$AV$9:$BA$9)</f>
        <v>0.21399977822770991</v>
      </c>
      <c r="D58" s="228">
        <f>AVERAGE('[47]Ratio Analysis'!$AV$10:$BA$10)</f>
        <v>0.99429852883398429</v>
      </c>
      <c r="E58" s="228">
        <f>AVERAGE('[47]Ratio Analysis'!$AV$21:$BA$21)</f>
        <v>8.6145824336756061</v>
      </c>
      <c r="F58" s="228">
        <f>AVERAGE('[47]Ratio Analysis'!$AV$22:$BA$22)</f>
        <v>0.11559786238766318</v>
      </c>
      <c r="G58" s="232">
        <f>[47]WACC!$H$15</f>
        <v>4.3692039022040226E-2</v>
      </c>
    </row>
    <row r="59" spans="1:7" x14ac:dyDescent="0.3">
      <c r="A59" t="s">
        <v>486</v>
      </c>
      <c r="B59" t="s">
        <v>230</v>
      </c>
      <c r="D59" s="228">
        <v>0</v>
      </c>
    </row>
    <row r="60" spans="1:7" x14ac:dyDescent="0.3">
      <c r="A60" t="s">
        <v>486</v>
      </c>
      <c r="B60" t="s">
        <v>6</v>
      </c>
      <c r="D60" s="228">
        <v>9.02</v>
      </c>
    </row>
    <row r="61" spans="1:7" x14ac:dyDescent="0.3">
      <c r="A61" t="s">
        <v>486</v>
      </c>
      <c r="B61" t="s">
        <v>7</v>
      </c>
      <c r="D61" s="228">
        <v>0</v>
      </c>
    </row>
    <row r="63" spans="1:7" x14ac:dyDescent="0.3">
      <c r="B63" s="230" t="s">
        <v>155</v>
      </c>
      <c r="C63" s="233">
        <f>AVERAGE(C3:C61)</f>
        <v>0.8551936874970768</v>
      </c>
      <c r="D63" s="233">
        <f t="shared" ref="D63:G63" si="0">AVERAGE(D3:D61)</f>
        <v>2.0465080061590446</v>
      </c>
      <c r="E63" s="233">
        <f t="shared" si="0"/>
        <v>98.309557961351402</v>
      </c>
      <c r="F63" s="233">
        <f t="shared" si="0"/>
        <v>0.31359615732041018</v>
      </c>
      <c r="G63" s="234">
        <f t="shared" si="0"/>
        <v>7.6074182039881449E-2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2A8A-5889-4D04-8E04-CA14A8B49D42}">
  <dimension ref="A1:AO21"/>
  <sheetViews>
    <sheetView workbookViewId="0">
      <selection activeCell="D6" sqref="D6"/>
    </sheetView>
  </sheetViews>
  <sheetFormatPr defaultRowHeight="14.4" x14ac:dyDescent="0.3"/>
  <cols>
    <col min="1" max="1" width="20.44140625" style="1" bestFit="1" customWidth="1"/>
    <col min="2" max="3" width="12.5546875" style="1" customWidth="1"/>
    <col min="4" max="4" width="15.44140625" style="1" customWidth="1"/>
    <col min="5" max="5" width="14.88671875" style="1" customWidth="1"/>
    <col min="6" max="6" width="10.5546875" style="1" bestFit="1" customWidth="1"/>
    <col min="7" max="7" width="11.21875" style="1" customWidth="1"/>
    <col min="8" max="8" width="14.21875" style="1" customWidth="1"/>
    <col min="9" max="9" width="12.21875" style="1" customWidth="1"/>
    <col min="10" max="10" width="10.21875" style="1" bestFit="1" customWidth="1"/>
    <col min="11" max="11" width="14.5546875" style="1" bestFit="1" customWidth="1"/>
    <col min="12" max="12" width="13.109375" style="1" bestFit="1" customWidth="1"/>
    <col min="13" max="13" width="15.21875" style="1" bestFit="1" customWidth="1"/>
    <col min="14" max="14" width="16" style="1" customWidth="1"/>
    <col min="15" max="15" width="14.44140625" style="1" bestFit="1" customWidth="1"/>
    <col min="16" max="17" width="14.77734375" style="1" bestFit="1" customWidth="1"/>
    <col min="18" max="18" width="15.44140625" style="1" customWidth="1"/>
    <col min="19" max="19" width="15.77734375" style="1" customWidth="1"/>
    <col min="20" max="20" width="7.44140625" style="1" customWidth="1"/>
    <col min="21" max="21" width="10.88671875" style="1" bestFit="1" customWidth="1"/>
    <col min="22" max="22" width="15.33203125" style="1" customWidth="1"/>
    <col min="23" max="23" width="11.5546875" style="1" bestFit="1" customWidth="1"/>
    <col min="24" max="24" width="10.5546875" style="1" bestFit="1" customWidth="1"/>
    <col min="25" max="25" width="10.77734375" style="1" bestFit="1" customWidth="1"/>
    <col min="26" max="26" width="18.77734375" style="1" bestFit="1" customWidth="1"/>
    <col min="27" max="27" width="11.109375" style="1" bestFit="1" customWidth="1"/>
    <col min="28" max="28" width="10.88671875" style="1" bestFit="1" customWidth="1"/>
    <col min="29" max="29" width="11.109375" style="1" bestFit="1" customWidth="1"/>
    <col min="30" max="30" width="7" style="1" bestFit="1" customWidth="1"/>
    <col min="31" max="31" width="8.6640625" style="1" bestFit="1" customWidth="1"/>
    <col min="32" max="32" width="18.77734375" style="1" bestFit="1" customWidth="1"/>
    <col min="33" max="34" width="8.88671875" style="1"/>
    <col min="35" max="35" width="11.5546875" style="1" customWidth="1"/>
    <col min="36" max="36" width="8.88671875" style="1"/>
    <col min="37" max="37" width="17.6640625" style="1" customWidth="1"/>
    <col min="38" max="16384" width="8.88671875" style="1"/>
  </cols>
  <sheetData>
    <row r="1" spans="1:41" ht="28.8" x14ac:dyDescent="0.3">
      <c r="A1" s="3" t="s">
        <v>8</v>
      </c>
      <c r="B1" s="3" t="s">
        <v>119</v>
      </c>
      <c r="C1" s="3" t="s">
        <v>328</v>
      </c>
      <c r="D1" s="3" t="s">
        <v>78</v>
      </c>
      <c r="E1" s="3" t="s">
        <v>329</v>
      </c>
      <c r="F1" s="3" t="s">
        <v>337</v>
      </c>
      <c r="G1" s="3" t="s">
        <v>338</v>
      </c>
      <c r="H1" s="3" t="s">
        <v>339</v>
      </c>
      <c r="I1" s="3" t="s">
        <v>340</v>
      </c>
      <c r="J1" s="103" t="s">
        <v>341</v>
      </c>
      <c r="K1" s="3" t="s">
        <v>342</v>
      </c>
      <c r="L1" s="3" t="s">
        <v>343</v>
      </c>
      <c r="M1" s="3" t="s">
        <v>344</v>
      </c>
      <c r="N1" s="3" t="s">
        <v>345</v>
      </c>
      <c r="O1" s="1" t="s">
        <v>330</v>
      </c>
      <c r="Q1" s="1" t="s">
        <v>8</v>
      </c>
      <c r="R1" s="132" t="s">
        <v>78</v>
      </c>
      <c r="S1" s="132" t="s">
        <v>367</v>
      </c>
      <c r="T1" s="132" t="s">
        <v>105</v>
      </c>
      <c r="U1" s="132" t="s">
        <v>368</v>
      </c>
      <c r="V1" s="132" t="s">
        <v>141</v>
      </c>
      <c r="W1" s="132" t="s">
        <v>302</v>
      </c>
      <c r="X1" s="132" t="s">
        <v>177</v>
      </c>
      <c r="Y1" s="132" t="s">
        <v>330</v>
      </c>
    </row>
    <row r="2" spans="1:41" x14ac:dyDescent="0.3">
      <c r="A2" s="1" t="str">
        <f>Table164[[#This Row],[Sector]]</f>
        <v>Automotive</v>
      </c>
      <c r="B2" s="180">
        <f>'USI-2'!B2</f>
        <v>1.0666065109443317</v>
      </c>
      <c r="C2" s="180">
        <f>'USI-2'!C2</f>
        <v>15.513183836630738</v>
      </c>
      <c r="D2" s="180">
        <f>'USI-2'!D2</f>
        <v>0.12772039862401249</v>
      </c>
      <c r="E2" s="180">
        <f>'USI-2'!E2</f>
        <v>0.78300500713870191</v>
      </c>
      <c r="F2" s="180">
        <f>(B2-MIN($B$2:$B$11))/(MAX($B$2:$B$11)-MIN($B$2:$B$11))</f>
        <v>0.35838473083800498</v>
      </c>
      <c r="G2" s="180">
        <f>(C2-MIN($C$2,$C$3:$C$11))/(MAX($C$2,$C$3:$C$11)-MIN($C$2,$C$3:$C$11))</f>
        <v>3.4923682249120645E-2</v>
      </c>
      <c r="H2" s="188">
        <f>(D2-MIN($D$2:$D$11))/(MAX($D$2:$D$11)-MIN($D$2:$D$11))</f>
        <v>0.1388395647778479</v>
      </c>
      <c r="I2" s="180">
        <f>(E2-MIN($E$2:$E$11))/(MAX($E$2:$E$11)-MIN($E$2:$E$11))</f>
        <v>0.16425476431996272</v>
      </c>
      <c r="J2" s="180">
        <f>F2+G2+H2+I2</f>
        <v>0.69640274218493614</v>
      </c>
      <c r="K2" s="188">
        <f>F2/J2</f>
        <v>0.51462280248005199</v>
      </c>
      <c r="L2" s="188">
        <f t="shared" ref="L2:N2" si="0">G2/$J$2</f>
        <v>5.0148685715321814E-2</v>
      </c>
      <c r="M2" s="188">
        <f t="shared" si="0"/>
        <v>0.19936676920921395</v>
      </c>
      <c r="N2" s="188">
        <f t="shared" si="0"/>
        <v>0.23586174259541234</v>
      </c>
      <c r="O2" s="180">
        <f>(F2*K2)+(G2*L2)+(H2*M2)+(I2*N2)</f>
        <v>0.25260574172532424</v>
      </c>
      <c r="Q2" s="1" t="str">
        <f>Table168[[#This Row],[Sector]]</f>
        <v>Automotive</v>
      </c>
      <c r="R2" s="148">
        <f>'[19]Valuation-FCFF'!$C$33</f>
        <v>0.14154823851860587</v>
      </c>
      <c r="S2" s="148">
        <f>'[19]5b'!$C$15</f>
        <v>7.1946331082550899E-2</v>
      </c>
      <c r="T2" s="148">
        <f>Table5[[#This Row],[Incremental ROCE (Forecast)]]</f>
        <v>0.18333333333333335</v>
      </c>
      <c r="U2" s="148">
        <f>AVERAGE('[19]Valuation-FCFF'!$D$6:$H$6,'[19]Valuation-FCFF'!$M$6:$Q$6,'[19]Valuation-FCFF'!$V$6:$Z$6,'[19]Valuation-FCFF'!$AE$6:$AJ$6,'[19]Valuation-FCFF'!$AO$6:$AS$6,'[19]Valuation-FCFF'!$AX$6:$BC$6)/AVERAGE('[19]Valuation-FCFF'!$D$3:$H$3,'[19]Valuation-FCFF'!$M$3:$Q$3,'[19]Valuation-FCFF'!$V$3:$Z$3,'[19]Valuation-FCFF'!$AE$3:$AJ$3,'[19]Valuation-FCFF'!$AO$3:$AS$3,'[19]Valuation-FCFF'!$AX$3:$BC$3)</f>
        <v>7.8758987363634972E-2</v>
      </c>
      <c r="V2" s="148">
        <f>'[19]5b'!$C$8</f>
        <v>9.1680897524922852E-2</v>
      </c>
      <c r="W2" s="148">
        <f>Table164[[#This Row],[WACC-IndiaF]]</f>
        <v>0.10099963882616349</v>
      </c>
      <c r="X2" s="148">
        <f>Table164[[#This Row],[Ke-India]]</f>
        <v>0.13007617502499999</v>
      </c>
      <c r="Y2" s="183">
        <f>'USI-4'!X11</f>
        <v>0.33921405494643692</v>
      </c>
    </row>
    <row r="3" spans="1:41" x14ac:dyDescent="0.3">
      <c r="A3" s="1" t="str">
        <f>'USI-2'!A4</f>
        <v>Defence</v>
      </c>
      <c r="B3" s="180">
        <f>'USI-2'!B4</f>
        <v>2.8407828107513369E-2</v>
      </c>
      <c r="C3" s="180">
        <f>'USI-2'!C4</f>
        <v>275.31818762740988</v>
      </c>
      <c r="D3" s="180">
        <f>'USI-2'!D4</f>
        <v>0.20012700159578906</v>
      </c>
      <c r="E3" s="180">
        <f>'USI-2'!E4</f>
        <v>1.167486795764116</v>
      </c>
      <c r="F3" s="180">
        <f t="shared" ref="F3:F11" si="1">(B3-MIN($B$2:$B$11))/(MAX($B$2:$B$11)-MIN($B$2:$B$11))</f>
        <v>0</v>
      </c>
      <c r="G3" s="180">
        <f t="shared" ref="G3:G11" si="2">(C3-MIN($C$2,$C$3:$C$11))/(MAX($C$2,$C$3:$C$11)-MIN($C$2,$C$3:$C$11))</f>
        <v>0.66743636289439801</v>
      </c>
      <c r="H3" s="188">
        <f t="shared" ref="H3:H10" si="3">(D3-MIN($D$2:$D$11))/(MAX($D$2:$D$11)-MIN($D$2:$D$11))</f>
        <v>0.37113058958678141</v>
      </c>
      <c r="I3" s="180">
        <f t="shared" ref="I3:I11" si="4">(E3-MIN($E$2:$E$11))/(MAX($E$2:$E$11)-MIN($E$2:$E$11))</f>
        <v>0.33931908455323401</v>
      </c>
      <c r="J3" s="180">
        <f t="shared" ref="J3:J11" si="5">F3+G3+H3+I3</f>
        <v>1.3778860370344135</v>
      </c>
      <c r="K3" s="188">
        <f t="shared" ref="K3:K11" si="6">F3/J3</f>
        <v>0</v>
      </c>
      <c r="L3" s="188">
        <f t="shared" ref="L3:L11" si="7">G3/$J$2</f>
        <v>0.95840570759434796</v>
      </c>
      <c r="M3" s="188">
        <f t="shared" ref="M3:M11" si="8">H3/$J$2</f>
        <v>0.53292522717870672</v>
      </c>
      <c r="N3" s="188">
        <f t="shared" ref="N3:N11" si="9">I3/$J$2</f>
        <v>0.48724547449171979</v>
      </c>
      <c r="O3" s="180">
        <f t="shared" ref="O3:O11" si="10">(F3*K3)+(G3*L3)+(H3*M3)+(I3*N3)</f>
        <v>1.0027913617797428</v>
      </c>
      <c r="Q3" s="1" t="str">
        <f>Table168[[#This Row],[Sector]]</f>
        <v>Defence</v>
      </c>
      <c r="R3" s="148">
        <f>(AVERAGE([32]DCF!$D$5:$I$5,[32]DCF!$N$5:$S$5,[32]DCF!$X$5:$AC$5,[32]DCF!$AH$5:$AM$5,[32]DCF!$AR$5:$AV$5)+AVERAGE([32]DCF!$D$8:$I$8,[32]DCF!$N$8:$S$8,[32]DCF!$X$8:$AC$8,[32]DCF!$AH$8:$AM$8,[32]DCF!$AR$8:$AV$8))/AVERAGE([32]DCF!$D$4:$I$4,[32]DCF!$N$4:$S$4,[32]DCF!$X$4:$AC$4,[32]DCF!$AH$4:$AM$4,[32]DCF!$AR$4:$AV$4)</f>
        <v>0.38048842946631573</v>
      </c>
      <c r="S3" s="148">
        <f>[32]DCF!$C$32</f>
        <v>2.9634974948604242E-2</v>
      </c>
      <c r="T3" s="148">
        <f>India!O4</f>
        <v>0.35</v>
      </c>
      <c r="U3" s="148">
        <f>AVERAGE([32]DCF!$D$7:$I$7,[32]DCF!$N$7:$S$7,[32]DCF!$X$7:$AC$7,[32]DCF!$AH$7:$AM$7,[32]DCF!$AR$7:$AV$7)/AVERAGE([32]DCF!$D$4:$I$4,[32]DCF!$N$4:$S$4,[32]DCF!$X$4:$AC$4,[32]DCF!$AH$4:$AM$4,[32]DCF!$AR$4:$AV$4)</f>
        <v>0.26913367883969941</v>
      </c>
      <c r="V3" s="148">
        <f>[32]DCF!$C$20</f>
        <v>9.4896022862696189E-2</v>
      </c>
      <c r="W3" s="148">
        <f>'USI-2'!AV4</f>
        <v>0.15072315695554958</v>
      </c>
      <c r="X3" s="148">
        <f>'USI-2'!AR4</f>
        <v>0.15074404926999999</v>
      </c>
      <c r="Y3" s="183">
        <f>'USI-4'!X12</f>
        <v>0.87932547635440494</v>
      </c>
    </row>
    <row r="4" spans="1:41" x14ac:dyDescent="0.3">
      <c r="A4" s="1" t="str">
        <f>'USI-2'!A5</f>
        <v>Energy</v>
      </c>
      <c r="B4" s="180">
        <f>'USI-2'!B5</f>
        <v>1.8086337507733956</v>
      </c>
      <c r="C4" s="180">
        <f>'USI-2'!C5</f>
        <v>1.1682581509285941</v>
      </c>
      <c r="D4" s="180">
        <f>'USI-2'!D5</f>
        <v>8.4443215392707258E-2</v>
      </c>
      <c r="E4" s="180">
        <f>'USI-2'!E5</f>
        <v>0.65294468138591588</v>
      </c>
      <c r="F4" s="180">
        <f t="shared" si="1"/>
        <v>0.6145314944747734</v>
      </c>
      <c r="G4" s="180">
        <f t="shared" si="2"/>
        <v>0</v>
      </c>
      <c r="H4" s="188">
        <f>D4</f>
        <v>8.4443215392707258E-2</v>
      </c>
      <c r="I4" s="180">
        <f t="shared" si="4"/>
        <v>0.10503499581380804</v>
      </c>
      <c r="J4" s="180">
        <f t="shared" si="5"/>
        <v>0.80400970568128871</v>
      </c>
      <c r="K4" s="188">
        <f t="shared" si="6"/>
        <v>0.76433342798274018</v>
      </c>
      <c r="L4" s="188">
        <f t="shared" si="7"/>
        <v>0</v>
      </c>
      <c r="M4" s="188">
        <f t="shared" si="8"/>
        <v>0.12125629363228813</v>
      </c>
      <c r="N4" s="188">
        <f t="shared" si="9"/>
        <v>0.1508250749907516</v>
      </c>
      <c r="O4" s="180">
        <f t="shared" si="10"/>
        <v>0.49578814621644346</v>
      </c>
      <c r="Q4" s="1" t="str">
        <f>Table168[[#This Row],[Sector]]</f>
        <v>Energy</v>
      </c>
      <c r="R4" s="148">
        <f>(AVERAGE('[33]FCFF Projections (5y )'!$D$4:$I$4,'[33]FCFF Projections (5y )'!$N$4:$S$4,'[33]FCFF Projections (5y )'!$X$4:$AC$4,'[33]FCFF Projections (5y )'!$AH$4:$AM$4,'[33]FCFF Projections (5y )'!$AR$4:$AW$4)+AVERAGE('[33]FCFF Projections (5y )'!$D$7:$I$7,'[33]FCFF Projections (5y )'!$N$7:$S$7,'[33]FCFF Projections (5y )'!$X$7:$AC$7,'[33]FCFF Projections (5y )'!$AH$7:$AM$7,'[33]FCFF Projections (5y )'!$AR$7:$AW$7))/AVERAGE('[33]FCFF Projections (5y )'!$D$3:$I$3,'[33]FCFF Projections (5y )'!$N$3:$S$3,'[33]FCFF Projections (5y )'!$X$3:$AC$3,'[33]FCFF Projections (5y )'!$AH$3:$AM$3,'[33]FCFF Projections (5y )'!$AR$3:$AW$3)</f>
        <v>0.24780005711750577</v>
      </c>
      <c r="S4" s="148">
        <f>'[33]FCFF Projections (5y )'!$C$31</f>
        <v>0.14019600882941585</v>
      </c>
      <c r="T4" s="148">
        <f>India!O5</f>
        <v>0.18836444254685528</v>
      </c>
      <c r="U4" s="148">
        <f>AVERAGE('[33]FCFF Projections (5y )'!$D$6:$I$6,'[33]FCFF Projections (5y )'!$N$6:$S$6,'[33]FCFF Projections (5y )'!$X$6:$AC$6,'[33]FCFF Projections (5y )'!$AH$6:$AM$6,'[33]FCFF Projections (5y )'!$AR$6:$AW$6)/AVERAGE('[33]FCFF Projections (5y )'!$D$3:$I$3,'[33]FCFF Projections (5y )'!$N$3:$S$3,'[33]FCFF Projections (5y )'!$X$3:$AC$3,'[33]FCFF Projections (5y )'!$AH$3:$AM$3,'[33]FCFF Projections (5y )'!$AR$3:$AW$3)</f>
        <v>0.11654055410311696</v>
      </c>
      <c r="V4" s="148">
        <f>'[33]FCFF Projections (5y )'!$C$19</f>
        <v>0.11373856566790055</v>
      </c>
      <c r="W4" s="148">
        <f>'USI-2'!AV5</f>
        <v>0.11979784938878775</v>
      </c>
      <c r="X4" s="148">
        <f>'USI-2'!AR5</f>
        <v>0.14972461813999999</v>
      </c>
      <c r="Y4" s="183">
        <f>'USI-4'!X13</f>
        <v>0.62765541400795111</v>
      </c>
    </row>
    <row r="5" spans="1:41" x14ac:dyDescent="0.3">
      <c r="A5" s="1" t="str">
        <f>'USI-2'!A6</f>
        <v>FMCG &amp; Retail</v>
      </c>
      <c r="B5" s="180">
        <f>'USI-2'!B6</f>
        <v>0.17531223222034709</v>
      </c>
      <c r="C5" s="180">
        <f>'USI-2'!C6</f>
        <v>118.21326247369915</v>
      </c>
      <c r="D5" s="180">
        <f>'USI-2'!D6</f>
        <v>0.19075964883851651</v>
      </c>
      <c r="E5" s="180">
        <f>'USI-2'!E6</f>
        <v>1.1071259608527715</v>
      </c>
      <c r="F5" s="180">
        <f t="shared" si="1"/>
        <v>5.0711194492211238E-2</v>
      </c>
      <c r="G5" s="180">
        <f t="shared" si="2"/>
        <v>0.28495390142659444</v>
      </c>
      <c r="H5" s="188">
        <f t="shared" si="3"/>
        <v>0.34107874510815289</v>
      </c>
      <c r="I5" s="180">
        <f t="shared" si="4"/>
        <v>0.31183526387541699</v>
      </c>
      <c r="J5" s="180">
        <f t="shared" si="5"/>
        <v>0.98857910490237555</v>
      </c>
      <c r="K5" s="188">
        <f t="shared" si="6"/>
        <v>5.1297052750491914E-2</v>
      </c>
      <c r="L5" s="188">
        <f t="shared" si="7"/>
        <v>0.40917975212527569</v>
      </c>
      <c r="M5" s="188">
        <f t="shared" si="8"/>
        <v>0.48977226028437476</v>
      </c>
      <c r="N5" s="188">
        <f t="shared" si="9"/>
        <v>0.44778006315289076</v>
      </c>
      <c r="O5" s="180">
        <f t="shared" si="10"/>
        <v>0.42588322364978237</v>
      </c>
      <c r="Q5" s="1" t="str">
        <f>Table168[[#This Row],[Sector]]</f>
        <v>FMCG &amp; Retail</v>
      </c>
      <c r="R5" s="148">
        <f>AVERAGE('[34]Income Statement Forecast'!$D$12:$H$12,'[34]Income Statement Forecast'!$M$12:$R$12,'[34]Income Statement Forecast'!$W$12:$AA$12,'[34]Income Statement Forecast'!$AF$12:$AJ$12,'[34]Income Statement Forecast'!$AO$12:$AS$12,'[34]Income Statement Forecast'!$AX$12:$BC$12)/AVERAGE('[34]Income Statement Forecast'!$D$6:$H$6,'[34]Income Statement Forecast'!$M$6:$R$6,'[34]Income Statement Forecast'!$W$6:$AA$6,'[34]Income Statement Forecast'!$AF$6:$AJ$6,'[34]Income Statement Forecast'!$AO$6:$AS$6,'[34]Income Statement Forecast'!$AX$6:$BC$6)</f>
        <v>0.19907738821958076</v>
      </c>
      <c r="S5" s="148">
        <f>'[34]Income Statement Forecast'!$C$34</f>
        <v>5.4512789960205109E-2</v>
      </c>
      <c r="T5" s="148">
        <f>India!O6</f>
        <v>0.29165116823801068</v>
      </c>
      <c r="U5" s="148">
        <f>AVERAGE('[34]Income Statement Forecast'!$D$18:$H$18,'[34]Income Statement Forecast'!$M$18:$R$18,'[34]Income Statement Forecast'!$W$18:$AA$18,'[34]Income Statement Forecast'!$AF$18:$AJ$18,'[34]Income Statement Forecast'!$AO$18:$AS$18,'[34]Income Statement Forecast'!$AX$18:$BC$18)/AVERAGE('[34]Income Statement Forecast'!$D$6:$H$6,'[34]Income Statement Forecast'!$M$6:$R$6,'[34]Income Statement Forecast'!$W$6:$AA$6,'[34]Income Statement Forecast'!$AF$6:$AJ$6,'[34]Income Statement Forecast'!$AO$6:$AS$6,'[34]Income Statement Forecast'!$AX$6:$BC$6)</f>
        <v>0.13472985202606222</v>
      </c>
      <c r="V5" s="148">
        <f>'[34]Income Statement Forecast'!$C$27</f>
        <v>0.13427134752712042</v>
      </c>
      <c r="W5" s="148">
        <f>'USI-2'!AV6</f>
        <v>0.13307994642857968</v>
      </c>
      <c r="X5" s="148">
        <f>'USI-2'!AR6</f>
        <v>0.13966025255833334</v>
      </c>
      <c r="Y5" s="183">
        <f>'USI-4'!X14</f>
        <v>0.61383724168649234</v>
      </c>
    </row>
    <row r="6" spans="1:41" x14ac:dyDescent="0.3">
      <c r="A6" s="1" t="str">
        <f>'USI-2'!A7</f>
        <v>Infrastructure</v>
      </c>
      <c r="B6" s="180">
        <f>'USI-2'!B7</f>
        <v>0.85094111311069986</v>
      </c>
      <c r="C6" s="180">
        <f>'USI-2'!C7</f>
        <v>4.8719893849687157</v>
      </c>
      <c r="D6" s="180">
        <f>'USI-2'!D7</f>
        <v>0.20156017794419673</v>
      </c>
      <c r="E6" s="180">
        <f>'USI-2'!E7</f>
        <v>1.4768493062099342</v>
      </c>
      <c r="F6" s="180">
        <f t="shared" si="1"/>
        <v>0.28393733764493745</v>
      </c>
      <c r="G6" s="180">
        <f t="shared" si="2"/>
        <v>9.0169817249512989E-3</v>
      </c>
      <c r="H6" s="188">
        <f t="shared" si="3"/>
        <v>0.37572842996376071</v>
      </c>
      <c r="I6" s="180">
        <f t="shared" si="4"/>
        <v>0.48017969017640405</v>
      </c>
      <c r="J6" s="180">
        <f t="shared" si="5"/>
        <v>1.1488624395100535</v>
      </c>
      <c r="K6" s="188">
        <f t="shared" si="6"/>
        <v>0.24714650586542458</v>
      </c>
      <c r="L6" s="188">
        <f t="shared" si="7"/>
        <v>1.2947941153506769E-2</v>
      </c>
      <c r="M6" s="188">
        <f t="shared" si="8"/>
        <v>0.53952749925269905</v>
      </c>
      <c r="N6" s="188">
        <f t="shared" si="9"/>
        <v>0.68951435870263689</v>
      </c>
      <c r="O6" s="180">
        <f t="shared" si="10"/>
        <v>0.60409748358293935</v>
      </c>
      <c r="Q6" s="1" t="str">
        <f>Table168[[#This Row],[Sector]]</f>
        <v>Infrastructure</v>
      </c>
      <c r="R6" s="148">
        <f>(AVERAGE([35]DCF!$D$5:$H$5,[35]DCF!$M$5:$Q$5,[35]DCF!$V$5:$Z$5,[35]DCF!$AE$5:$AI$5,[35]DCF!$AN$5:$AR$5)+AVERAGE([35]DCF!$D$8:$H$8,[35]DCF!$M$8:$Q$8,[35]DCF!$V$8:$Z$8,[35]DCF!$AE$8:$AI$8,[35]DCF!$AN$8:$AR$8))/AVERAGE([35]DCF!$D$4:$H$4,[35]DCF!$M$4:$Q$4,[35]DCF!$V$4:$Z$4,[35]DCF!$AE$4:$AI$4,[35]DCF!$AN$4:$AR$4)</f>
        <v>0.19338222198892593</v>
      </c>
      <c r="S6" s="148">
        <f>'[35]WACC &amp; Key Assumptions'!$K$21</f>
        <v>6.4902825257354926E-2</v>
      </c>
      <c r="T6" s="148">
        <f>India!O7</f>
        <v>0.15</v>
      </c>
      <c r="U6" s="148">
        <f>AVERAGE([35]DCF!$D$7:$H$7,[35]DCF!$M$7:$Q$7,[35]DCF!$V$7:$Z$7,[35]DCF!$AE$7:$AI$7,[35]DCF!$AN$7:$AR$7)/AVERAGE([35]DCF!$D$4:$H$4,[35]DCF!$M$4:$Q$4,[35]DCF!$V$4:$Z$4,[35]DCF!$AE$4:$AI$4,[35]DCF!$AN$4:$AR$4)</f>
        <v>0.12315392860099941</v>
      </c>
      <c r="V6" s="148">
        <f>'[35]WACC &amp; Key Assumptions'!$K$9</f>
        <v>9.4926545637935164E-2</v>
      </c>
      <c r="W6" s="148">
        <f>'USI-2'!AV7</f>
        <v>0.13177072372230786</v>
      </c>
      <c r="X6" s="148">
        <f>'USI-2'!AR7</f>
        <v>0.13842538102999999</v>
      </c>
      <c r="Y6" s="183">
        <f>'USI-4'!X15</f>
        <v>0.43507944079776895</v>
      </c>
    </row>
    <row r="7" spans="1:41" x14ac:dyDescent="0.3">
      <c r="A7" s="1" t="str">
        <f>'USI-2'!A8</f>
        <v>IT</v>
      </c>
      <c r="B7" s="180">
        <f>'USI-2'!B8</f>
        <v>8.5823750374152311E-2</v>
      </c>
      <c r="C7" s="180">
        <f>'USI-2'!C8</f>
        <v>52.518680188372315</v>
      </c>
      <c r="D7" s="180">
        <f>'USI-2'!D8</f>
        <v>0.26657634423989957</v>
      </c>
      <c r="E7" s="180">
        <f>'USI-2'!E8</f>
        <v>2.6184950865635774</v>
      </c>
      <c r="F7" s="180">
        <f t="shared" si="1"/>
        <v>1.9819895928898473E-2</v>
      </c>
      <c r="G7" s="180">
        <f t="shared" si="2"/>
        <v>0.12501604134355246</v>
      </c>
      <c r="H7" s="188">
        <f t="shared" si="3"/>
        <v>0.58430984765385363</v>
      </c>
      <c r="I7" s="180">
        <f t="shared" si="4"/>
        <v>1</v>
      </c>
      <c r="J7" s="180">
        <f t="shared" si="5"/>
        <v>1.7291457849263046</v>
      </c>
      <c r="K7" s="188">
        <f t="shared" si="6"/>
        <v>1.1462246909240905E-2</v>
      </c>
      <c r="L7" s="188">
        <f t="shared" si="7"/>
        <v>0.17951687115894971</v>
      </c>
      <c r="M7" s="188">
        <f t="shared" si="8"/>
        <v>0.83904013045756332</v>
      </c>
      <c r="N7" s="188">
        <f t="shared" si="9"/>
        <v>1.4359506926445169</v>
      </c>
      <c r="O7" s="180">
        <f t="shared" si="10"/>
        <v>1.9488797725751701</v>
      </c>
      <c r="Q7" s="1" t="str">
        <f>Table168[[#This Row],[Sector]]</f>
        <v>IT</v>
      </c>
      <c r="R7" s="148">
        <f>[36]Valuation!$C$37</f>
        <v>0.27630745450500838</v>
      </c>
      <c r="S7" s="148">
        <f>[36]Valuation!$C$25</f>
        <v>2.0057029363321814E-2</v>
      </c>
      <c r="T7" s="148">
        <f>India!O8</f>
        <v>0.7</v>
      </c>
      <c r="U7" s="148">
        <f>[36]Valuation!$C$43</f>
        <v>0.18629972684158341</v>
      </c>
      <c r="V7" s="148">
        <f>[36]Valuation!$C$19</f>
        <v>0.10593601098318235</v>
      </c>
      <c r="W7" s="148">
        <f>'USI-2'!AV8</f>
        <v>0.12926068876948515</v>
      </c>
      <c r="X7" s="148">
        <f>'USI-2'!AR8</f>
        <v>0.13066116307999998</v>
      </c>
      <c r="Y7" s="183">
        <f>'USI-4'!X16</f>
        <v>0.66924163280910609</v>
      </c>
    </row>
    <row r="8" spans="1:41" x14ac:dyDescent="0.3">
      <c r="A8" s="1" t="str">
        <f>'USI-2'!A9</f>
        <v>Minerals</v>
      </c>
      <c r="B8" s="180">
        <f>'USI-2'!B9</f>
        <v>0.56000000000000005</v>
      </c>
      <c r="C8" s="180">
        <f>'USI-2'!C9</f>
        <v>65.999254585129066</v>
      </c>
      <c r="D8" s="180">
        <f>'USI-2'!D9</f>
        <v>0.24592832343736523</v>
      </c>
      <c r="E8" s="180">
        <f>'USI-2'!E9</f>
        <v>1.192714327646786</v>
      </c>
      <c r="F8" s="180">
        <f t="shared" si="1"/>
        <v>0.1835048729966689</v>
      </c>
      <c r="G8" s="180">
        <f t="shared" si="2"/>
        <v>0.15783540249487657</v>
      </c>
      <c r="H8" s="188">
        <f t="shared" si="3"/>
        <v>0.51806796202960403</v>
      </c>
      <c r="I8" s="180">
        <f t="shared" si="4"/>
        <v>0.35080582033854207</v>
      </c>
      <c r="J8" s="180">
        <f t="shared" si="5"/>
        <v>1.2102140578596916</v>
      </c>
      <c r="K8" s="188">
        <f t="shared" si="6"/>
        <v>0.15163009535784444</v>
      </c>
      <c r="L8" s="188">
        <f t="shared" si="7"/>
        <v>0.22664385553634411</v>
      </c>
      <c r="M8" s="188">
        <f t="shared" si="8"/>
        <v>0.74392004891334318</v>
      </c>
      <c r="N8" s="188">
        <f t="shared" si="9"/>
        <v>0.50373986069885746</v>
      </c>
      <c r="O8" s="180">
        <f t="shared" si="10"/>
        <v>0.62571330427586824</v>
      </c>
      <c r="Q8" s="1" t="str">
        <f>Table168[[#This Row],[Sector]]</f>
        <v>Minerals</v>
      </c>
      <c r="R8" s="148">
        <f>(AVERAGE([37]DCF!$D$6:$H$6,[37]DCF!$M$6:$Q$6,[37]DCF!$V$6:$Z$6,[37]DCF!$AE$6:$AI$6,[37]DCF!$AN$6:$AR$6,[37]DCF!$AW$6:$BA$6)+AVERAGE([37]DCF!$D$9:$H$9,[37]DCF!$M$9:$Q$9,[37]DCF!$V$9:$Z$9,[37]DCF!$AE$9:$AI$9,[37]DCF!$AN$9:$AR$9,[37]DCF!$AW$9:$BA$9))/AVERAGE([37]DCF!$D$5:$H$5,[37]DCF!$M$5:$Q$5,[37]DCF!$V$5:$Z$5,[37]DCF!$AE$5:$AI$5,[37]DCF!$AN$5:$AR$5,[37]DCF!$AW$5:$BA$5)</f>
        <v>0.25223075203825768</v>
      </c>
      <c r="S8" s="148">
        <f>[37]Calc!$C$14</f>
        <v>8.482991040983219E-2</v>
      </c>
      <c r="T8" s="148">
        <f>India!O9</f>
        <v>0.39999999999999997</v>
      </c>
      <c r="U8" s="148">
        <v>0.14599999999999999</v>
      </c>
      <c r="V8" s="148">
        <f>[37]Calc!$C$7</f>
        <v>7.8343638700905507E-2</v>
      </c>
      <c r="W8" s="148">
        <f>'USI-2'!AV9</f>
        <v>0.1271255183448145</v>
      </c>
      <c r="X8" s="148">
        <f>'USI-2'!AR9</f>
        <v>0.141139372475</v>
      </c>
      <c r="Y8" s="183">
        <f>'USI-4'!X17</f>
        <v>0.47901343028343735</v>
      </c>
    </row>
    <row r="9" spans="1:41" x14ac:dyDescent="0.3">
      <c r="A9" s="1" t="str">
        <f>'USI-2'!A10</f>
        <v>Oil &amp; Gas</v>
      </c>
      <c r="B9" s="180">
        <f>'USI-2'!B10</f>
        <v>0.7146500676523595</v>
      </c>
      <c r="C9" s="180">
        <f>'USI-2'!C10</f>
        <v>11.261624371918236</v>
      </c>
      <c r="D9" s="180">
        <f>'USI-2'!D10</f>
        <v>9.6379759375597215E-2</v>
      </c>
      <c r="E9" s="180">
        <f>'USI-2'!E10</f>
        <v>0.42226350657574041</v>
      </c>
      <c r="F9" s="180">
        <f t="shared" si="1"/>
        <v>0.23688985969134144</v>
      </c>
      <c r="G9" s="180">
        <f t="shared" si="2"/>
        <v>2.4572976009014168E-2</v>
      </c>
      <c r="H9" s="188">
        <f t="shared" si="3"/>
        <v>3.8294187555563276E-2</v>
      </c>
      <c r="I9" s="180">
        <f t="shared" si="4"/>
        <v>0</v>
      </c>
      <c r="J9" s="180">
        <f t="shared" si="5"/>
        <v>0.29975702325591891</v>
      </c>
      <c r="K9" s="188">
        <f t="shared" si="6"/>
        <v>0.79027292544567218</v>
      </c>
      <c r="L9" s="188">
        <f t="shared" si="7"/>
        <v>3.5285581920480993E-2</v>
      </c>
      <c r="M9" s="188">
        <f t="shared" si="8"/>
        <v>5.4988565144670126E-2</v>
      </c>
      <c r="N9" s="188">
        <f t="shared" si="9"/>
        <v>0</v>
      </c>
      <c r="O9" s="180">
        <f t="shared" si="10"/>
        <v>0.19018045661174859</v>
      </c>
      <c r="Q9" s="1" t="str">
        <f>Table168[[#This Row],[Sector]]</f>
        <v>Oil &amp; Gas</v>
      </c>
      <c r="R9" s="148">
        <v>9.2799999999999994E-2</v>
      </c>
      <c r="S9" s="148">
        <f>[38]Calc!$C$14</f>
        <v>4.112892423100159E-2</v>
      </c>
      <c r="T9" s="148">
        <f>India!O10</f>
        <v>0.3</v>
      </c>
      <c r="U9" s="148">
        <f>AVERAGE([38]FCFF!$D$8:$H$8,[38]FCFF!$M$8:$Q$8,[38]FCFF!$V$8:$Z$8,[38]FCFF!$AE$8:$AI$8,[38]FCFF!$AN$8:$AR$8,[38]FCFF!$AW$8:$BA$8)/AVERAGE([38]FCFF!$D$5:$H$5,[38]FCFF!$M$5:$Q$5,[38]FCFF!$V$5:$Z$5,[38]FCFF!$AE$5:$AI$5,[38]FCFF!$AN$5:$AR$5,[38]FCFF!$AW$5:$BA$5)</f>
        <v>5.0715350234837205E-2</v>
      </c>
      <c r="V9" s="148">
        <f>[38]Calc!$C$7</f>
        <v>6.4562942381574451E-2</v>
      </c>
      <c r="W9" s="148">
        <f>'USI-2'!AV10</f>
        <v>0.11999909037394135</v>
      </c>
      <c r="X9" s="148">
        <f>'USI-2'!AR10</f>
        <v>0.14561545264166664</v>
      </c>
      <c r="Y9" s="183">
        <f>'USI-4'!X18</f>
        <v>0.58388312756202565</v>
      </c>
      <c r="Z9" s="132"/>
      <c r="AA9" s="132"/>
      <c r="AB9" s="132"/>
      <c r="AC9" s="132"/>
      <c r="AD9" s="132"/>
      <c r="AE9" s="132"/>
      <c r="AF9" s="132"/>
      <c r="AG9" s="132"/>
      <c r="AH9" s="132"/>
    </row>
    <row r="10" spans="1:41" x14ac:dyDescent="0.3">
      <c r="A10" s="1" t="str">
        <f>'USI-2'!A11</f>
        <v>Pharma</v>
      </c>
      <c r="B10" s="180">
        <f>'USI-2'!B11</f>
        <v>0.19606709615253612</v>
      </c>
      <c r="C10" s="180">
        <f>'USI-2'!C11</f>
        <v>411.9189225103072</v>
      </c>
      <c r="D10" s="180">
        <f>'USI-2'!D11</f>
        <v>0.28353537352030667</v>
      </c>
      <c r="E10" s="180">
        <f>'USI-2'!E11</f>
        <v>1.9735605619002508</v>
      </c>
      <c r="F10" s="180">
        <f t="shared" si="1"/>
        <v>5.7875744444819972E-2</v>
      </c>
      <c r="G10" s="180">
        <f t="shared" si="2"/>
        <v>1</v>
      </c>
      <c r="H10" s="188">
        <f t="shared" si="3"/>
        <v>0.63871690625935162</v>
      </c>
      <c r="I10" s="180">
        <f t="shared" si="4"/>
        <v>0.70634493623532246</v>
      </c>
      <c r="J10" s="180">
        <f t="shared" si="5"/>
        <v>2.402937586939494</v>
      </c>
      <c r="K10" s="188">
        <f t="shared" si="6"/>
        <v>2.4085413104105433E-2</v>
      </c>
      <c r="L10" s="188">
        <f t="shared" si="7"/>
        <v>1.4359506926445169</v>
      </c>
      <c r="M10" s="188">
        <f t="shared" si="8"/>
        <v>0.91716598394687898</v>
      </c>
      <c r="N10" s="188">
        <f t="shared" si="9"/>
        <v>1.0142765004330585</v>
      </c>
      <c r="O10" s="180">
        <f t="shared" si="10"/>
        <v>2.7395831436744174</v>
      </c>
      <c r="Q10" s="1" t="str">
        <f>Table168[[#This Row],[Sector]]</f>
        <v>Pharma</v>
      </c>
      <c r="R10" s="148">
        <f>[39]Calc!$C$25</f>
        <v>0.24878558052509112</v>
      </c>
      <c r="S10" s="148">
        <f>'[39]Income Statement Forecast'!$C$35</f>
        <v>6.0397061943283974E-2</v>
      </c>
      <c r="T10" s="148">
        <f>India!O11</f>
        <v>0.15031580928325544</v>
      </c>
      <c r="U10" s="148">
        <f>AVERAGE('[39]Income Statement Forecast'!$B$20:$F$20,'[39]Income Statement Forecast'!$I$20:$M$20,'[39]Income Statement Forecast'!$P$20:$T$20,'[39]Income Statement Forecast'!$W$20:$AA$20,'[39]Income Statement Forecast'!$AD$20:$AH$20,'[39]Income Statement Forecast'!$AK$20:$AO$20)/AVERAGE('[39]Income Statement Forecast'!$B$7:$F$7,'[39]Income Statement Forecast'!$I$7:$M$7,'[39]Income Statement Forecast'!$P$7:$T$7,'[39]Income Statement Forecast'!$W$7:$AA$7,'[39]Income Statement Forecast'!$AD$7:$AH$7,'[39]Income Statement Forecast'!$AK$7:$AO$7)</f>
        <v>0.12531136660507233</v>
      </c>
      <c r="V10" s="148">
        <f>'[39]Income Statement Forecast'!$C$22</f>
        <v>7.6933593166442549E-2</v>
      </c>
      <c r="W10" s="148">
        <f>'USI-2'!AV11</f>
        <v>0.11507471291228763</v>
      </c>
      <c r="X10" s="148">
        <f>'USI-2'!AR11</f>
        <v>0.11634049441666666</v>
      </c>
      <c r="Y10" s="183">
        <f>'USI-4'!X19</f>
        <v>0.35859096111663186</v>
      </c>
      <c r="Z10" s="132"/>
      <c r="AA10" s="132"/>
      <c r="AB10" s="132"/>
      <c r="AC10" s="132"/>
      <c r="AD10" s="132"/>
      <c r="AE10" s="132"/>
      <c r="AF10" s="132"/>
      <c r="AG10" s="132"/>
      <c r="AH10" s="132"/>
    </row>
    <row r="11" spans="1:41" x14ac:dyDescent="0.3">
      <c r="A11" s="1" t="str">
        <f>'USI-2'!A12</f>
        <v>Telecom</v>
      </c>
      <c r="B11" s="180">
        <f>'USI-2'!B12</f>
        <v>2.9252909637511997</v>
      </c>
      <c r="C11" s="180">
        <f>'USI-2'!C12</f>
        <v>21.19949122070253</v>
      </c>
      <c r="D11" s="180">
        <f>'USI-2'!D12</f>
        <v>0.39614963207984882</v>
      </c>
      <c r="E11" s="180">
        <f>'USI-2'!E12</f>
        <v>0.63219755479678486</v>
      </c>
      <c r="F11" s="180">
        <f t="shared" si="1"/>
        <v>1</v>
      </c>
      <c r="G11" s="180">
        <f t="shared" si="2"/>
        <v>4.8767378382735815E-2</v>
      </c>
      <c r="H11" s="188">
        <f>D11</f>
        <v>0.39614963207984882</v>
      </c>
      <c r="I11" s="180">
        <f t="shared" si="4"/>
        <v>9.5588302314734544E-2</v>
      </c>
      <c r="J11" s="180">
        <f t="shared" si="5"/>
        <v>1.5405053127773192</v>
      </c>
      <c r="K11" s="188">
        <f t="shared" si="6"/>
        <v>0.64913765094203901</v>
      </c>
      <c r="L11" s="188">
        <f t="shared" si="7"/>
        <v>7.0027550767146729E-2</v>
      </c>
      <c r="M11" s="188">
        <f t="shared" si="8"/>
        <v>0.56885133857592951</v>
      </c>
      <c r="N11" s="188">
        <f t="shared" si="9"/>
        <v>0.13726008891755656</v>
      </c>
      <c r="O11" s="180">
        <f t="shared" si="10"/>
        <v>0.89102341836769938</v>
      </c>
      <c r="Q11" s="1" t="str">
        <f>Table168[[#This Row],[Sector]]</f>
        <v>Telecom</v>
      </c>
      <c r="R11" s="148">
        <f>AVERAGE([40]DCF!$C$5,[40]DCF!$L$5,[40]DCF!$U$5,[40]DCF!$AD$5,[40]DCF!$AM$5,[40]DCF!$AV$5)</f>
        <v>0.39703077571797102</v>
      </c>
      <c r="S11" s="148">
        <f>[40]Summary!$L$16</f>
        <v>0.21151205184506519</v>
      </c>
      <c r="T11" s="148">
        <f>India!O12</f>
        <v>0.13389398859242055</v>
      </c>
      <c r="U11" s="148">
        <f>AVERAGE([40]DCF!$D$9:$H$9,[40]DCF!$M$9:$Q$9,[40]DCF!$V$9:$Z$9,[40]DCF!$AE$9:$AI$9,[40]DCF!$AN$9:$AR$9,[40]DCF!$AW$9:$BA$9)/AVERAGE([40]DCF!$D$4:$H$4,[40]DCF!$M$4:$Q$4,[40]DCF!$V$4:$Z$4,[40]DCF!$AE$4:$AI$4,[40]DCF!$AN$4:$AR$4,[40]DCF!$AW$4:$BA$4)</f>
        <v>0.17733197197177036</v>
      </c>
      <c r="V11" s="148">
        <f>[40]Summary!$L$9</f>
        <v>0.11957547741869638</v>
      </c>
      <c r="W11" s="148">
        <f>'USI-2'!AV12</f>
        <v>0.12167119742511137</v>
      </c>
      <c r="X11" s="148">
        <f>'USI-2'!AR12</f>
        <v>0.13518747097550143</v>
      </c>
      <c r="Y11" s="183">
        <f>'USI-4'!X20</f>
        <v>0.80206894457987887</v>
      </c>
    </row>
    <row r="12" spans="1:41" x14ac:dyDescent="0.3">
      <c r="B12" s="180"/>
      <c r="C12" s="208"/>
      <c r="D12" s="209"/>
      <c r="E12" s="208"/>
      <c r="F12" s="208"/>
      <c r="G12" s="208"/>
      <c r="H12" s="180"/>
      <c r="I12" s="180"/>
      <c r="J12" s="180"/>
    </row>
    <row r="13" spans="1:41" s="3" customFormat="1" ht="28.8" x14ac:dyDescent="0.3">
      <c r="A13" s="3" t="s">
        <v>71</v>
      </c>
      <c r="B13" s="103" t="s">
        <v>67</v>
      </c>
      <c r="C13" s="103" t="s">
        <v>331</v>
      </c>
      <c r="D13" s="103" t="s">
        <v>69</v>
      </c>
      <c r="E13" s="103" t="s">
        <v>332</v>
      </c>
      <c r="F13" s="103" t="s">
        <v>333</v>
      </c>
      <c r="G13" s="103" t="s">
        <v>63</v>
      </c>
      <c r="H13" s="103" t="s">
        <v>334</v>
      </c>
      <c r="I13" s="103" t="s">
        <v>335</v>
      </c>
      <c r="J13" s="103" t="s">
        <v>336</v>
      </c>
      <c r="K13" s="3" t="s">
        <v>355</v>
      </c>
      <c r="L13" s="3" t="s">
        <v>356</v>
      </c>
      <c r="M13" s="3" t="s">
        <v>357</v>
      </c>
      <c r="N13" s="3" t="s">
        <v>358</v>
      </c>
      <c r="O13" s="3" t="s">
        <v>359</v>
      </c>
      <c r="P13" s="3" t="s">
        <v>360</v>
      </c>
      <c r="Q13" s="3" t="s">
        <v>361</v>
      </c>
      <c r="R13" s="3" t="s">
        <v>362</v>
      </c>
      <c r="S13" s="3" t="s">
        <v>363</v>
      </c>
      <c r="T13" s="3" t="s">
        <v>364</v>
      </c>
      <c r="U13" s="3" t="s">
        <v>346</v>
      </c>
      <c r="V13" s="3" t="s">
        <v>347</v>
      </c>
      <c r="W13" s="3" t="s">
        <v>348</v>
      </c>
      <c r="X13" s="3" t="s">
        <v>349</v>
      </c>
      <c r="Y13" s="3" t="s">
        <v>350</v>
      </c>
      <c r="Z13" s="3" t="s">
        <v>351</v>
      </c>
      <c r="AA13" s="3" t="s">
        <v>352</v>
      </c>
      <c r="AB13" s="3" t="s">
        <v>353</v>
      </c>
      <c r="AC13" s="3" t="s">
        <v>354</v>
      </c>
      <c r="AD13" s="3" t="s">
        <v>330</v>
      </c>
      <c r="AF13" s="132" t="s">
        <v>71</v>
      </c>
      <c r="AG13" s="132" t="s">
        <v>368</v>
      </c>
      <c r="AH13" s="132" t="s">
        <v>369</v>
      </c>
      <c r="AI13" s="132" t="s">
        <v>370</v>
      </c>
      <c r="AJ13" s="132" t="s">
        <v>105</v>
      </c>
      <c r="AK13" s="103" t="s">
        <v>371</v>
      </c>
      <c r="AL13" s="132" t="s">
        <v>302</v>
      </c>
      <c r="AM13" s="132" t="s">
        <v>177</v>
      </c>
      <c r="AN13" s="132" t="s">
        <v>298</v>
      </c>
      <c r="AO13" s="132" t="s">
        <v>330</v>
      </c>
    </row>
    <row r="14" spans="1:41" x14ac:dyDescent="0.3">
      <c r="A14" s="1" t="s">
        <v>3</v>
      </c>
      <c r="B14" s="188">
        <f>AVERAGE('[31]Financial Ratios-Banks'!$G$16)</f>
        <v>0.17891389674085162</v>
      </c>
      <c r="C14" s="188">
        <f>'[31]Financial Ratios-Banks'!$G$17</f>
        <v>0.15215458796567088</v>
      </c>
      <c r="D14" s="188">
        <f>'[31]Financial Ratios-Banks'!$G$18</f>
        <v>0.14577999999999999</v>
      </c>
      <c r="E14" s="188">
        <f>'[31]Financial Ratios-Banks'!$G$22</f>
        <v>0.85552569448216365</v>
      </c>
      <c r="F14" s="188">
        <f>'[31]Financial Ratios-Banks'!$G$14</f>
        <v>0.43381315334629544</v>
      </c>
      <c r="G14" s="188">
        <f>'[31]Financial Ratios-Banks'!$G$5</f>
        <v>3.6084396918160164E-2</v>
      </c>
      <c r="H14" s="188">
        <f>'[31]Financial Ratios-Banks'!$G$6</f>
        <v>1.4458888982016993E-2</v>
      </c>
      <c r="I14" s="188">
        <f>'[31]Financial Ratios-Banks'!$G$7</f>
        <v>9.2448795394311306E-2</v>
      </c>
      <c r="J14" s="188">
        <f>'[31]Financial Ratios-Banks'!$G$13</f>
        <v>8.0800000000000004E-3</v>
      </c>
      <c r="K14" s="211">
        <f>(B14-MIN($B$14:$B$21))/(MAX($B$14:$B$21)-MIN($B$14:$B$21))</f>
        <v>0.69872709718553838</v>
      </c>
      <c r="L14" s="211">
        <f t="shared" ref="L14:L20" si="11">(C14-MIN($C$14:$C$21))/(MAX($C$14:$C$21)-MIN($C$14:$C$21))</f>
        <v>0.65667976330524569</v>
      </c>
      <c r="M14" s="211">
        <f t="shared" ref="M14:M20" si="12">(D14-MIN($D$14:$D$21))/(MAX($D$14:$D$21)-MIN($D$14:$D$21))</f>
        <v>0.48647655063560458</v>
      </c>
      <c r="N14" s="211">
        <f t="shared" ref="N14:N20" si="13">(E14-MIN($E$14:$E$21))/(MAX($E$14:$E$21)-MIN($E$14:$E$21))</f>
        <v>0.92884264183873622</v>
      </c>
      <c r="O14" s="211">
        <f t="shared" ref="O14:O20" si="14">(F14-MIN($F$14:$F$21))/(MAX($F$14:$F$21)-MIN($F$14:$F$21))</f>
        <v>0.58128761472407897</v>
      </c>
      <c r="P14" s="211">
        <f t="shared" ref="P14:P20" si="15">(G14-MIN($G$14:$G$21))/(MAX($G$14:$G$21)-MIN($G$14:$G$21))</f>
        <v>9.6980698515779534E-2</v>
      </c>
      <c r="Q14" s="211">
        <f t="shared" ref="Q14:Q20" si="16">(H14-MIN($H$14:$H$21))/(MAX($H$14:$H$21)-MIN($H$14:$H$21))</f>
        <v>0.12379044814151587</v>
      </c>
      <c r="R14" s="211">
        <f t="shared" ref="R14:R20" si="17">(I14-MIN($I$14:$I$21))/(MAX($I$14:$I$21)-MIN($I$14:$I$21))</f>
        <v>0</v>
      </c>
      <c r="S14" s="211">
        <f t="shared" ref="S14:S20" si="18">(J14-MIN($J$14:$J$21))/(MAX($J$14:$J$21)-MIN($J$14:$J$21))</f>
        <v>0.30939716312056742</v>
      </c>
      <c r="T14" s="188">
        <f>SUM(K14:S14)</f>
        <v>3.8821819774670669</v>
      </c>
      <c r="U14" s="188">
        <f>K14/T14</f>
        <v>0.17998308715075317</v>
      </c>
      <c r="V14" s="188">
        <f>L14/T14</f>
        <v>0.1691522363239904</v>
      </c>
      <c r="W14" s="188">
        <f>M14/T14</f>
        <v>0.125310084241081</v>
      </c>
      <c r="X14" s="188">
        <f>N14/T14</f>
        <v>0.23925788312601473</v>
      </c>
      <c r="Y14" s="188">
        <f>O14/T14</f>
        <v>0.14973219135475474</v>
      </c>
      <c r="Z14" s="188">
        <f>P14/T14</f>
        <v>2.4980976955401427E-2</v>
      </c>
      <c r="AA14" s="188">
        <f>Q14/T14</f>
        <v>3.1886822632225767E-2</v>
      </c>
      <c r="AB14" s="188">
        <f>R14/T14</f>
        <v>0</v>
      </c>
      <c r="AC14" s="188">
        <f>S14/T14</f>
        <v>7.9696718215778714E-2</v>
      </c>
      <c r="AD14" s="180">
        <f t="shared" ref="AD14:AD20" si="19">(K14*U14)+(L14*V14)+(M14*W14)+(O14*Y14)+(R14*AB14)+(S14*AC14)</f>
        <v>0.40949373496658259</v>
      </c>
      <c r="AF14" s="132" t="str">
        <f t="shared" ref="AF14:AF20" si="20">A14</f>
        <v>Axis Bank</v>
      </c>
      <c r="AG14" s="148">
        <f>AVERAGE('[31]Financial Projections'!$D$14:$I$14)/AVERAGE('[31]Financial Projections'!$D$8:$I$8)</f>
        <v>0.33298878430227064</v>
      </c>
      <c r="AH14" s="148">
        <f>AVERAGE('[31]Financial Projections'!$D$11:$I$11)/AVERAGE('[31]Financial Projections'!$D$16:$I$16)</f>
        <v>6.9576142449745929E-2</v>
      </c>
      <c r="AI14" s="148">
        <f>AVERAGE('[31]Financial Projections'!$D$16:$I$16)/AVERAGE('[31]Financial Projections'!$D$5:$I$5)</f>
        <v>2.9660000000000002E-2</v>
      </c>
      <c r="AJ14" s="194">
        <f>[31]Calc!M2</f>
        <v>0.10845284340510614</v>
      </c>
      <c r="AK14" s="148">
        <f>('[31]Financial Projections'!$I$5-'[31]Financial Projections'!$D$5)/'[31]Financial Projections'!$D$5</f>
        <v>0.71424375101636695</v>
      </c>
      <c r="AL14" s="194">
        <f>'USI-2'!BL2</f>
        <v>5.6369005804808775E-2</v>
      </c>
      <c r="AM14" s="194">
        <f>'USI-2'!BH2</f>
        <v>0.14347886004999999</v>
      </c>
      <c r="AN14" s="194">
        <f>'USI-2'!BI2</f>
        <v>4.1502958941162432E-2</v>
      </c>
      <c r="AO14" s="180">
        <f>'USI-4'!AA2</f>
        <v>0.52850839924036719</v>
      </c>
    </row>
    <row r="15" spans="1:41" x14ac:dyDescent="0.3">
      <c r="A15" s="1" t="s">
        <v>1</v>
      </c>
      <c r="B15" s="188">
        <f>'[31]Financial Ratios-Banks'!$M$16</f>
        <v>0.18853487375651551</v>
      </c>
      <c r="C15" s="188">
        <f>'[31]Financial Ratios-Banks'!$M$17</f>
        <v>0.17314402359522854</v>
      </c>
      <c r="D15" s="188">
        <f>'[31]Financial Ratios-Banks'!$M$18</f>
        <v>0.1653</v>
      </c>
      <c r="E15" s="188">
        <f>'[31]Financial Ratios-Banks'!$M$22</f>
        <v>0.86003211086532461</v>
      </c>
      <c r="F15" s="188">
        <f>'[31]Financial Ratios-Banks'!$M$14</f>
        <v>0.72639832003347204</v>
      </c>
      <c r="G15" s="188">
        <f>'[31]Financial Ratios-Banks'!$M$5</f>
        <v>4.0995448133371762E-2</v>
      </c>
      <c r="H15" s="188">
        <f>'[31]Financial Ratios-Banks'!$M$6</f>
        <v>1.4752046220297643E-2</v>
      </c>
      <c r="I15" s="188">
        <f>'[31]Financial Ratios-Banks'!$M$7</f>
        <v>0.15154824954520529</v>
      </c>
      <c r="J15" s="188">
        <f>'[31]Financial Ratios-Banks'!$M$13</f>
        <v>3.5000000000000005E-3</v>
      </c>
      <c r="K15" s="211">
        <f>(B15-MIN($B$14:$B$21))/(MAX($B$14:$B$21)-MIN($B$14:$B$21))</f>
        <v>0.73630068685465588</v>
      </c>
      <c r="L15" s="211">
        <f t="shared" si="11"/>
        <v>0.74726748599842152</v>
      </c>
      <c r="M15" s="211">
        <f t="shared" si="12"/>
        <v>0.56079195420742334</v>
      </c>
      <c r="N15" s="211">
        <f t="shared" si="13"/>
        <v>0.93373524965350696</v>
      </c>
      <c r="O15" s="211">
        <f t="shared" si="14"/>
        <v>1</v>
      </c>
      <c r="P15" s="211">
        <f t="shared" si="15"/>
        <v>0.15333929477857977</v>
      </c>
      <c r="Q15" s="211">
        <f t="shared" si="16"/>
        <v>0.13069552468155357</v>
      </c>
      <c r="R15" s="211">
        <f t="shared" si="17"/>
        <v>0.49757239903798317</v>
      </c>
      <c r="S15" s="211">
        <f t="shared" si="18"/>
        <v>0.10638297872340428</v>
      </c>
      <c r="T15" s="188">
        <f t="shared" ref="T15:T20" si="21">SUM(K15:S15)</f>
        <v>4.8660855739355293</v>
      </c>
      <c r="U15" s="188">
        <f t="shared" ref="U15:U20" si="22">K15/T15</f>
        <v>0.15131272881811658</v>
      </c>
      <c r="V15" s="188">
        <f t="shared" ref="V15:V20" si="23">L15/T15</f>
        <v>0.15356644979715312</v>
      </c>
      <c r="W15" s="188">
        <f t="shared" ref="W15:W20" si="24">M15/T15</f>
        <v>0.11524498401985013</v>
      </c>
      <c r="X15" s="188">
        <f t="shared" ref="X15:X20" si="25">N15/T15</f>
        <v>0.19188631919153298</v>
      </c>
      <c r="Y15" s="188">
        <f t="shared" ref="Y15:Y20" si="26">O15/T15</f>
        <v>0.20550398976876871</v>
      </c>
      <c r="Z15" s="188">
        <f t="shared" ref="Z15:Z20" si="27">P15/T15</f>
        <v>3.1511836865327464E-2</v>
      </c>
      <c r="AA15" s="188">
        <f t="shared" ref="AA15:AA20" si="28">Q15/T15</f>
        <v>2.6858451766981841E-2</v>
      </c>
      <c r="AB15" s="188">
        <f t="shared" ref="AB15:AB20" si="29">R15/T15</f>
        <v>0.10225311320112339</v>
      </c>
      <c r="AC15" s="188">
        <f t="shared" ref="AC15:AC20" si="30">S15/T15</f>
        <v>2.1862126571145613E-2</v>
      </c>
      <c r="AD15" s="180">
        <f t="shared" si="19"/>
        <v>0.54950341559256866</v>
      </c>
      <c r="AF15" s="132" t="str">
        <f t="shared" si="20"/>
        <v>HDFC Bank</v>
      </c>
      <c r="AG15" s="148">
        <f>AVERAGE('[31]Financial Projections'!$M$14:$R$14)/AVERAGE('[31]Financial Projections'!$M$8:$R$8)</f>
        <v>0.17706245461759129</v>
      </c>
      <c r="AH15" s="148">
        <f>AVERAGE('[31]Financial Projections'!$M$11:$R$11)/AVERAGE('[31]Financial Projections'!$M$16:$R$16)</f>
        <v>0.12222555644449645</v>
      </c>
      <c r="AI15" s="148">
        <f>'[31]Financial Projections'!$L$16</f>
        <v>1.222E-2</v>
      </c>
      <c r="AJ15" s="194">
        <f>[31]Calc!M3</f>
        <v>0.12660997794714582</v>
      </c>
      <c r="AK15" s="148">
        <f>('[31]Financial Projections'!$R$5-'[31]Financial Projections'!$M$5)/'[31]Financial Projections'!$M$5</f>
        <v>1.4585255487115616</v>
      </c>
      <c r="AL15" s="194">
        <f>'USI-2'!BL3</f>
        <v>5.7129861355370466E-2</v>
      </c>
      <c r="AM15" s="194">
        <f>'USI-2'!BH3</f>
        <v>0.1350176746</v>
      </c>
      <c r="AN15" s="194">
        <f>'USI-2'!BI3</f>
        <v>4.1705330950030511E-2</v>
      </c>
      <c r="AO15" s="180">
        <f>'USI-4'!AA3</f>
        <v>0.57212029184900781</v>
      </c>
    </row>
    <row r="16" spans="1:41" x14ac:dyDescent="0.3">
      <c r="A16" s="1" t="s">
        <v>2</v>
      </c>
      <c r="B16" s="188">
        <f>'[31]Financial Ratios-Banks'!$S$16</f>
        <v>0.19140000000000001</v>
      </c>
      <c r="C16" s="188">
        <f>'[31]Financial Ratios-Banks'!$S$17</f>
        <v>0.18204999999999999</v>
      </c>
      <c r="D16" s="188">
        <f>'[31]Financial Ratios-Banks'!$S$18</f>
        <v>0.17199999999999999</v>
      </c>
      <c r="E16" s="188">
        <f>'[31]Financial Ratios-Banks'!$S$22</f>
        <v>0.44669834391425567</v>
      </c>
      <c r="F16" s="188">
        <f>'[31]Financial Ratios-Banks'!$S$14</f>
        <v>0.18966507157210669</v>
      </c>
      <c r="G16" s="188">
        <f>'[31]Financial Ratios-Banks'!$S$5</f>
        <v>3.9154551247689455E-2</v>
      </c>
      <c r="H16" s="188">
        <f>'[31]Financial Ratios-Banks'!$S$6</f>
        <v>1.250265519598869E-2</v>
      </c>
      <c r="I16" s="188">
        <f>'[31]Financial Ratios-Banks'!$S$7</f>
        <v>0.13112977579321455</v>
      </c>
      <c r="J16" s="188">
        <f>'[31]Financial Ratios-Banks'!$S$13</f>
        <v>6.3799999999999994E-3</v>
      </c>
      <c r="K16" s="211">
        <f>(B16-MIN($B$14:$B$21))/(MAX($B$14:$B$21)-MIN($B$14:$B$21))</f>
        <v>0.74749009907834552</v>
      </c>
      <c r="L16" s="211">
        <f t="shared" si="11"/>
        <v>0.78570454238746001</v>
      </c>
      <c r="M16" s="211">
        <f t="shared" si="12"/>
        <v>0.5862998027694718</v>
      </c>
      <c r="N16" s="211">
        <f t="shared" si="13"/>
        <v>0.48497955414120625</v>
      </c>
      <c r="O16" s="211">
        <f t="shared" si="14"/>
        <v>0.23189250752265961</v>
      </c>
      <c r="P16" s="211">
        <f t="shared" si="15"/>
        <v>0.13221339732911788</v>
      </c>
      <c r="Q16" s="211">
        <f t="shared" si="16"/>
        <v>7.7712977559665261E-2</v>
      </c>
      <c r="R16" s="211">
        <f t="shared" si="17"/>
        <v>0.32566439894829979</v>
      </c>
      <c r="S16" s="211">
        <f t="shared" si="18"/>
        <v>0.23404255319148937</v>
      </c>
      <c r="T16" s="188">
        <f t="shared" si="21"/>
        <v>3.6059998329277159</v>
      </c>
      <c r="U16" s="188">
        <f t="shared" si="22"/>
        <v>0.20729066381333061</v>
      </c>
      <c r="V16" s="188">
        <f t="shared" si="23"/>
        <v>0.21788812501123869</v>
      </c>
      <c r="W16" s="188">
        <f t="shared" si="24"/>
        <v>0.16259008040315251</v>
      </c>
      <c r="X16" s="188">
        <f t="shared" si="25"/>
        <v>0.13449239506687685</v>
      </c>
      <c r="Y16" s="188">
        <f t="shared" si="26"/>
        <v>6.4307409391748574E-2</v>
      </c>
      <c r="Z16" s="188">
        <f t="shared" si="27"/>
        <v>3.6664837341873542E-2</v>
      </c>
      <c r="AA16" s="188">
        <f t="shared" si="28"/>
        <v>2.1551020843106915E-2</v>
      </c>
      <c r="AB16" s="188">
        <f t="shared" si="29"/>
        <v>9.0311817536578326E-2</v>
      </c>
      <c r="AC16" s="188">
        <f t="shared" si="30"/>
        <v>6.4903650592093881E-2</v>
      </c>
      <c r="AD16" s="180">
        <f t="shared" si="19"/>
        <v>0.48098390674623942</v>
      </c>
      <c r="AF16" s="132" t="str">
        <f t="shared" si="20"/>
        <v>ICICI Bank</v>
      </c>
      <c r="AG16" s="148">
        <f>AVERAGE('[31]Financial Projections'!$V$14:$AA$14)/AVERAGE('[31]Financial Projections'!$V$8:$AA$8)</f>
        <v>0.35394475513100937</v>
      </c>
      <c r="AH16" s="148">
        <f>AVERAGE('[31]Financial Projections'!$V$11:$AA$11)/AVERAGE('[31]Financial Projections'!$V$16:$AA$16)</f>
        <v>3.006855528108859E-2</v>
      </c>
      <c r="AI16" s="148">
        <f>'[31]Financial Projections'!$U$16</f>
        <v>3.04E-2</v>
      </c>
      <c r="AJ16" s="194">
        <f>[31]Calc!M4</f>
        <v>0.16098068852918873</v>
      </c>
      <c r="AK16" s="148">
        <f>('[31]Financial Projections'!$AA$5-'[31]Financial Projections'!$V$5)/'[31]Financial Projections'!$V$5</f>
        <v>0.78517969235946206</v>
      </c>
      <c r="AL16" s="194">
        <f>'USI-2'!BL4</f>
        <v>5.6614107296341906E-2</v>
      </c>
      <c r="AM16" s="194">
        <f>'USI-2'!BH4</f>
        <v>0.13821443219999999</v>
      </c>
      <c r="AN16" s="194">
        <f>'USI-2'!BI4</f>
        <v>3.9663315166596512E-2</v>
      </c>
      <c r="AO16" s="180">
        <f>'USI-4'!AA4</f>
        <v>0.7402414139427832</v>
      </c>
    </row>
    <row r="17" spans="1:41" x14ac:dyDescent="0.3">
      <c r="A17" s="1" t="s">
        <v>4</v>
      </c>
      <c r="B17" s="188">
        <f>'[31]Financial Ratios-Banks'!$Y$16</f>
        <v>0</v>
      </c>
      <c r="C17" s="188">
        <f>'[31]Financial Ratios-Banks'!$Y$17</f>
        <v>0</v>
      </c>
      <c r="D17" s="188">
        <f>'[31]Financial Ratios-Banks'!$Y$18</f>
        <v>0.10724</v>
      </c>
      <c r="E17" s="188">
        <f>'[31]Financial Ratios-Banks'!$Y$22</f>
        <v>0</v>
      </c>
      <c r="F17" s="188">
        <f>'[31]Financial Ratios-Banks'!$Y$14</f>
        <v>0.2569219508971487</v>
      </c>
      <c r="G17" s="188">
        <f>'[31]Financial Ratios-Banks'!$Y$5</f>
        <v>3.0150827354556421E-2</v>
      </c>
      <c r="H17" s="188">
        <f>'[31]Financial Ratios-Banks'!$Y$6</f>
        <v>9.2033258188471117E-3</v>
      </c>
      <c r="I17" s="188">
        <f>'[31]Financial Ratios-Banks'!$Y$7</f>
        <v>0.11609354571803829</v>
      </c>
      <c r="J17" s="188">
        <f>'[31]Financial Ratios-Banks'!$Y$13</f>
        <v>8.4599999999999988E-3</v>
      </c>
      <c r="K17" s="211">
        <f>(B17-MIN($B$14:$B$21))/(MAX($B$14:$B$21)-MIN($B$14:$B$21))</f>
        <v>0</v>
      </c>
      <c r="L17" s="211">
        <f t="shared" si="11"/>
        <v>0</v>
      </c>
      <c r="M17" s="211">
        <f t="shared" si="12"/>
        <v>0.33974931428017963</v>
      </c>
      <c r="N17" s="211">
        <f t="shared" si="13"/>
        <v>0</v>
      </c>
      <c r="O17" s="211">
        <f t="shared" si="14"/>
        <v>0.32814239157270214</v>
      </c>
      <c r="P17" s="211">
        <f t="shared" si="15"/>
        <v>2.888781233357449E-2</v>
      </c>
      <c r="Q17" s="211">
        <f t="shared" si="16"/>
        <v>0</v>
      </c>
      <c r="R17" s="211">
        <f t="shared" si="17"/>
        <v>0.19907079197706934</v>
      </c>
      <c r="S17" s="211">
        <f t="shared" si="18"/>
        <v>0.32624113475177302</v>
      </c>
      <c r="T17" s="188">
        <f t="shared" si="21"/>
        <v>1.2220914449152986</v>
      </c>
      <c r="U17" s="188">
        <f t="shared" si="22"/>
        <v>0</v>
      </c>
      <c r="V17" s="188">
        <f t="shared" si="23"/>
        <v>0</v>
      </c>
      <c r="W17" s="188">
        <f t="shared" si="24"/>
        <v>0.27800645826771758</v>
      </c>
      <c r="X17" s="188">
        <f t="shared" si="25"/>
        <v>0</v>
      </c>
      <c r="Y17" s="188">
        <f t="shared" si="26"/>
        <v>0.26850886890501491</v>
      </c>
      <c r="Z17" s="188">
        <f t="shared" si="27"/>
        <v>2.3638012076564911E-2</v>
      </c>
      <c r="AA17" s="188">
        <f t="shared" si="28"/>
        <v>0</v>
      </c>
      <c r="AB17" s="188">
        <f t="shared" si="29"/>
        <v>0.16289353207187096</v>
      </c>
      <c r="AC17" s="188">
        <f t="shared" si="30"/>
        <v>0.26695312867883164</v>
      </c>
      <c r="AD17" s="180">
        <f t="shared" si="19"/>
        <v>0.30208008202609876</v>
      </c>
      <c r="AF17" s="132" t="str">
        <f t="shared" si="20"/>
        <v>SBI</v>
      </c>
      <c r="AG17" s="148">
        <f>AVERAGE('[31]Financial Projections'!$AE$14:$AJ$14)/AVERAGE('[31]Financial Projections'!$AE$8:$AJ$8)</f>
        <v>0.17019086718815143</v>
      </c>
      <c r="AH17" s="148">
        <f>AVERAGE('[31]Financial Projections'!$AE$11:$AJ$11)/AVERAGE('[31]Financial Projections'!$AE$16:$AJ$16)</f>
        <v>3.5796848041407141E-2</v>
      </c>
      <c r="AI17" s="148">
        <f>'[31]Financial Projections'!$AD$16</f>
        <v>3.1579999999999997E-2</v>
      </c>
      <c r="AJ17" s="194">
        <f>[31]Calc!M5</f>
        <v>4.6917985415958194E-2</v>
      </c>
      <c r="AK17" s="148">
        <f>('[31]Financial Projections'!$AJ$5-'[31]Financial Projections'!$AE$5)/'[31]Financial Projections'!$AE$5</f>
        <v>0.59384024608568942</v>
      </c>
      <c r="AL17" s="194">
        <f>'USI-2'!BL5</f>
        <v>5.2450014509427254E-2</v>
      </c>
      <c r="AM17" s="194">
        <f>'USI-2'!BH5</f>
        <v>0.15336650564999998</v>
      </c>
      <c r="AN17" s="194">
        <f>'USI-2'!BI5</f>
        <v>4.0327736954524462E-2</v>
      </c>
      <c r="AO17" s="180">
        <f>'USI-4'!AA5</f>
        <v>0.4188841319994957</v>
      </c>
    </row>
    <row r="18" spans="1:41" x14ac:dyDescent="0.3">
      <c r="A18" s="1" t="s">
        <v>230</v>
      </c>
      <c r="B18" s="188">
        <f>AVERAGE('[31]Financial Ratios-NBFCs'!$G$16:$K$16)</f>
        <v>0.25605690327670694</v>
      </c>
      <c r="C18" s="188">
        <f>AVERAGE('[31]Financial Ratios-NBFCs'!$G$17:$K$17)</f>
        <v>0.23170287325413524</v>
      </c>
      <c r="D18" s="188">
        <f>AVERAGE('[31]Financial Ratios-NBFCs'!$G$18:$K$18)</f>
        <v>0.2258</v>
      </c>
      <c r="E18" s="188">
        <f>AVERAGE('[31]Financial Ratios-NBFCs'!$G$22:$K$22)</f>
        <v>0.37005738057171356</v>
      </c>
      <c r="F18" s="188">
        <f>AVERAGE('[31]Financial Ratios-NBFCs'!$G$14:$K$14)</f>
        <v>2.7624706030221956E-2</v>
      </c>
      <c r="G18" s="188">
        <f>AVERAGE('[31]Financial Ratios-NBFCs'!$G$5:$K$5)</f>
        <v>8.4932114693602859E-2</v>
      </c>
      <c r="H18" s="188">
        <f>AVERAGE('[31]Financial Ratios-NBFCs'!$G$6:$K$6)</f>
        <v>3.4228187371778004E-2</v>
      </c>
      <c r="I18" s="188">
        <f>AVERAGE('[31]Financial Ratios-NBFCs'!$G$7:$K$7)</f>
        <v>0.1686793070864073</v>
      </c>
      <c r="J18" s="188">
        <f>AVERAGE('[31]Financial Ratios-NBFCs'!$G$13:$K$13)</f>
        <v>5.5799999999999999E-3</v>
      </c>
      <c r="K18" s="211">
        <f>B18</f>
        <v>0.25605690327670694</v>
      </c>
      <c r="L18" s="211">
        <f t="shared" si="11"/>
        <v>1</v>
      </c>
      <c r="M18" s="211">
        <f t="shared" si="12"/>
        <v>0.79112401958114442</v>
      </c>
      <c r="N18" s="211">
        <f t="shared" si="13"/>
        <v>0.40177060399127401</v>
      </c>
      <c r="O18" s="211">
        <f t="shared" si="14"/>
        <v>0</v>
      </c>
      <c r="P18" s="211">
        <f t="shared" si="15"/>
        <v>0.65755086645420724</v>
      </c>
      <c r="Q18" s="211">
        <f t="shared" si="16"/>
        <v>0.58943993824027241</v>
      </c>
      <c r="R18" s="211">
        <f t="shared" si="17"/>
        <v>0.64180285803799542</v>
      </c>
      <c r="S18" s="211">
        <f t="shared" si="18"/>
        <v>0.19858156028368795</v>
      </c>
      <c r="T18" s="188">
        <f t="shared" si="21"/>
        <v>4.5363267498652879</v>
      </c>
      <c r="U18" s="188">
        <f t="shared" si="22"/>
        <v>5.644586851780703E-2</v>
      </c>
      <c r="V18" s="188">
        <f t="shared" si="23"/>
        <v>0.22044267424732936</v>
      </c>
      <c r="W18" s="188">
        <f t="shared" si="24"/>
        <v>0.17439749453776404</v>
      </c>
      <c r="X18" s="188">
        <f t="shared" si="25"/>
        <v>8.8567386377801177E-2</v>
      </c>
      <c r="Y18" s="188">
        <f t="shared" si="26"/>
        <v>0</v>
      </c>
      <c r="Z18" s="188">
        <f t="shared" si="27"/>
        <v>0.14495227145481399</v>
      </c>
      <c r="AA18" s="188">
        <f t="shared" si="28"/>
        <v>0.1299377162938663</v>
      </c>
      <c r="AB18" s="188">
        <f t="shared" si="29"/>
        <v>0.14148073836547478</v>
      </c>
      <c r="AC18" s="188">
        <f t="shared" si="30"/>
        <v>4.3775850205143421E-2</v>
      </c>
      <c r="AD18" s="180">
        <f t="shared" si="19"/>
        <v>0.47236189430312975</v>
      </c>
      <c r="AF18" s="132" t="str">
        <f t="shared" si="20"/>
        <v>Bajaj Finance</v>
      </c>
      <c r="AG18" s="148">
        <f>AVERAGE('[31]Financial Projections'!$AW$14:$BB$14)/AVERAGE('[31]Financial Projections'!$AW$8:$BB$8)</f>
        <v>0.48302570512170145</v>
      </c>
      <c r="AH18" s="148">
        <f>AVERAGE('[31]Financial Projections'!$AW$11:$BB$11)/AVERAGE('[31]Financial Projections'!$AW$16:$BB$16)</f>
        <v>2.7624706030221952E-2</v>
      </c>
      <c r="AI18" s="148">
        <f>'[31]Financial Projections'!$AV$16</f>
        <v>1.358E-2</v>
      </c>
      <c r="AJ18" s="194">
        <f>[31]Calc!M6</f>
        <v>0.21033738600177054</v>
      </c>
      <c r="AK18" s="148">
        <f>('[31]Financial Projections'!$BB$5-'[31]Financial Projections'!$AW$5)/'[31]Financial Projections'!$AW$5</f>
        <v>1.3079815852826566</v>
      </c>
      <c r="AL18" s="194">
        <f>'USI-2'!BL6</f>
        <v>0.13295171517148097</v>
      </c>
      <c r="AM18" s="194">
        <f>'USI-2'!BH6</f>
        <v>0.16021537294999999</v>
      </c>
      <c r="AN18" s="194">
        <f>'USI-2'!BI6</f>
        <v>0.12472954744132642</v>
      </c>
      <c r="AO18" s="180">
        <f>'USI-4'!AA6</f>
        <v>0.59266052477217657</v>
      </c>
    </row>
    <row r="19" spans="1:41" x14ac:dyDescent="0.3">
      <c r="A19" s="1" t="s">
        <v>6</v>
      </c>
      <c r="B19" s="188">
        <f>AVERAGE('[31]Financial Ratios-NBFCs'!$B$16:$F$16)</f>
        <v>0.22091494501648015</v>
      </c>
      <c r="C19" s="188">
        <f>AVERAGE('[31]Financial Ratios-NBFCs'!$B$17:$F$17)</f>
        <v>0.21399102890590571</v>
      </c>
      <c r="D19" s="188">
        <f>AVERAGE('[31]Financial Ratios-NBFCs'!$B$18:$F$18)</f>
        <v>1.7999999999999999E-2</v>
      </c>
      <c r="E19" s="188">
        <f>AVERAGE('[31]Financial Ratios-NBFCs'!$B$22:$F$22)</f>
        <v>0.35259377359177213</v>
      </c>
      <c r="F19" s="188">
        <f>AVERAGE('[31]Financial Ratios-NBFCs'!$B$14:$F$14)</f>
        <v>0.2174525697113367</v>
      </c>
      <c r="G19" s="188">
        <f>AVERAGE('[31]Financial Ratios-NBFCs'!$B$5:$F$5)</f>
        <v>2.763356228279935E-2</v>
      </c>
      <c r="H19" s="188">
        <f>AVERAGE('[31]Financial Ratios-NBFCs'!$B$6:$F$6)</f>
        <v>1.6127087124586513E-2</v>
      </c>
      <c r="I19" s="188">
        <f>AVERAGE('[31]Financial Ratios-NBFCs'!$B$7:$F$7)</f>
        <v>0.10341969115363869</v>
      </c>
      <c r="J19" s="188">
        <f>AVERAGE('[31]Financial Ratios-NBFCs'!$B$13:$F$13)</f>
        <v>1.1000000000000001E-3</v>
      </c>
      <c r="K19" s="211">
        <f>(B19-MIN($B$14:$B$21))/(MAX($B$14:$B$21)-MIN($B$14:$B$21))</f>
        <v>0.8627572316523302</v>
      </c>
      <c r="L19" s="211">
        <f t="shared" si="11"/>
        <v>0.92355794255169676</v>
      </c>
      <c r="M19" s="211">
        <f t="shared" si="12"/>
        <v>0</v>
      </c>
      <c r="N19" s="211">
        <f t="shared" si="13"/>
        <v>0.38281039864863903</v>
      </c>
      <c r="O19" s="211">
        <f t="shared" si="14"/>
        <v>0.27165860283933363</v>
      </c>
      <c r="P19" s="211">
        <f t="shared" si="15"/>
        <v>0</v>
      </c>
      <c r="Q19" s="211">
        <f t="shared" si="16"/>
        <v>0.16308347711787602</v>
      </c>
      <c r="R19" s="211">
        <f t="shared" si="17"/>
        <v>9.2366587830517044E-2</v>
      </c>
      <c r="S19" s="211">
        <f t="shared" si="18"/>
        <v>0</v>
      </c>
      <c r="T19" s="188">
        <f t="shared" si="21"/>
        <v>2.6962342406403925</v>
      </c>
      <c r="U19" s="188">
        <f t="shared" si="22"/>
        <v>0.31998600813236966</v>
      </c>
      <c r="V19" s="188">
        <f t="shared" si="23"/>
        <v>0.3425362413364868</v>
      </c>
      <c r="W19" s="188">
        <f t="shared" si="24"/>
        <v>0</v>
      </c>
      <c r="X19" s="188">
        <f t="shared" si="25"/>
        <v>0.14197965179676536</v>
      </c>
      <c r="Y19" s="188">
        <f t="shared" si="26"/>
        <v>0.10075482268736821</v>
      </c>
      <c r="Z19" s="188">
        <f t="shared" si="27"/>
        <v>0</v>
      </c>
      <c r="AA19" s="188">
        <f t="shared" si="28"/>
        <v>6.0485648709491004E-2</v>
      </c>
      <c r="AB19" s="188">
        <f t="shared" si="29"/>
        <v>3.4257627337518984E-2</v>
      </c>
      <c r="AC19" s="188">
        <f t="shared" si="30"/>
        <v>0</v>
      </c>
      <c r="AD19" s="180">
        <f t="shared" si="19"/>
        <v>0.6229574833467918</v>
      </c>
      <c r="AF19" s="132" t="str">
        <f t="shared" si="20"/>
        <v>Bajaj Housing Finance</v>
      </c>
      <c r="AG19" s="148">
        <f>AVERAGE('[31]Financial Projections'!$AN$14:$AS$14)/AVERAGE('[31]Financial Projections'!$AN$8:$AS$8)</f>
        <v>0.62960850202121976</v>
      </c>
      <c r="AH19" s="148">
        <f>AVERAGE('[31]Financial Projections'!$AN$11:$AS$11)/AVERAGE('[31]Financial Projections'!$AN$16:$AS$16)</f>
        <v>0.21745256971133675</v>
      </c>
      <c r="AI19" s="148">
        <f>'[31]Financial Projections'!$AM$16</f>
        <v>2.5399999999999997E-3</v>
      </c>
      <c r="AJ19" s="194">
        <f>[31]Calc!M7</f>
        <v>0.21109734352003837</v>
      </c>
      <c r="AK19" s="148">
        <f>('[31]Financial Projections'!$AS$5-'[31]Financial Projections'!$AN$5)/'[31]Financial Projections'!$AN$5</f>
        <v>1.8346590809571679</v>
      </c>
      <c r="AL19" s="194">
        <f>'USI-2'!BL7</f>
        <v>0.10989743225839255</v>
      </c>
      <c r="AM19" s="194">
        <f>'USI-2'!BH7</f>
        <v>0.154030948</v>
      </c>
      <c r="AN19" s="194">
        <f>'USI-2'!BI7</f>
        <v>9.7882077739428683E-2</v>
      </c>
      <c r="AO19" s="180">
        <f>'USI-4'!AA7</f>
        <v>0.70654590099874781</v>
      </c>
    </row>
    <row r="20" spans="1:41" x14ac:dyDescent="0.3">
      <c r="A20" s="1" t="s">
        <v>7</v>
      </c>
      <c r="B20" s="188">
        <f>AVERAGE('[31]Financial Ratios-NBFCs'!$L$16:$P$16)</f>
        <v>0</v>
      </c>
      <c r="C20" s="188">
        <f>AVERAGE('[31]Financial Ratios-NBFCs'!$L$17:$P$17)</f>
        <v>0</v>
      </c>
      <c r="D20" s="188">
        <f>AVERAGE('[31]Financial Ratios-NBFCs'!$L$18:$P$18)</f>
        <v>0.28066425346308965</v>
      </c>
      <c r="E20" s="188">
        <f>AVERAGE('[31]Financial Ratios-NBFCs'!$L$22:$P$22)</f>
        <v>0.9210663420755163</v>
      </c>
      <c r="F20" s="188">
        <f>AVERAGE('[31]Financial Ratios-NBFCs'!$L$14:$P$14)</f>
        <v>6.1007535126258859E-2</v>
      </c>
      <c r="G20" s="188">
        <f>AVERAGE('[31]Financial Ratios-NBFCs'!$L$5:$P$5)</f>
        <v>0.11477290820105746</v>
      </c>
      <c r="H20" s="188">
        <f>AVERAGE('[31]Financial Ratios-NBFCs'!$L$6:$P$6)</f>
        <v>5.1658646419688467E-2</v>
      </c>
      <c r="I20" s="188">
        <f>AVERAGE('[31]Financial Ratios-NBFCs'!$L$7:$P$7)</f>
        <v>0.21122438315833941</v>
      </c>
      <c r="J20" s="188">
        <f>AVERAGE('[31]Financial Ratios-NBFCs'!$L$13:$P$13)</f>
        <v>2.3659999999999997E-2</v>
      </c>
      <c r="K20" s="211">
        <f>(B20-MIN($B$14:$B$21))/(MAX($B$14:$B$21)-MIN($B$14:$B$21))</f>
        <v>0</v>
      </c>
      <c r="L20" s="211">
        <f t="shared" si="11"/>
        <v>0</v>
      </c>
      <c r="M20" s="211">
        <f t="shared" si="12"/>
        <v>1</v>
      </c>
      <c r="N20" s="211">
        <f t="shared" si="13"/>
        <v>1</v>
      </c>
      <c r="O20" s="211">
        <f t="shared" si="14"/>
        <v>4.7773453987175932E-2</v>
      </c>
      <c r="P20" s="211">
        <f t="shared" si="15"/>
        <v>1</v>
      </c>
      <c r="Q20" s="211">
        <f t="shared" si="16"/>
        <v>1</v>
      </c>
      <c r="R20" s="211">
        <f t="shared" si="17"/>
        <v>1</v>
      </c>
      <c r="S20" s="211">
        <f t="shared" si="18"/>
        <v>1</v>
      </c>
      <c r="T20" s="188">
        <f t="shared" si="21"/>
        <v>6.0477734539871761</v>
      </c>
      <c r="U20" s="188">
        <f t="shared" si="22"/>
        <v>0</v>
      </c>
      <c r="V20" s="188">
        <f t="shared" si="23"/>
        <v>0</v>
      </c>
      <c r="W20" s="188">
        <f t="shared" si="24"/>
        <v>0.16535010902908739</v>
      </c>
      <c r="X20" s="188">
        <f t="shared" si="25"/>
        <v>0.16535010902908739</v>
      </c>
      <c r="Y20" s="188">
        <f t="shared" si="26"/>
        <v>7.8993458254756291E-3</v>
      </c>
      <c r="Z20" s="188">
        <f t="shared" si="27"/>
        <v>0.16535010902908739</v>
      </c>
      <c r="AA20" s="188">
        <f t="shared" si="28"/>
        <v>0.16535010902908739</v>
      </c>
      <c r="AB20" s="188">
        <f t="shared" si="29"/>
        <v>0.16535010902908739</v>
      </c>
      <c r="AC20" s="188">
        <f t="shared" si="30"/>
        <v>0.16535010902908739</v>
      </c>
      <c r="AD20" s="180">
        <f t="shared" si="19"/>
        <v>0.49642770612158438</v>
      </c>
      <c r="AF20" s="132" t="str">
        <f t="shared" si="20"/>
        <v>Muthoot Finance</v>
      </c>
      <c r="AG20" s="148">
        <f>AVERAGE('[31]Financial Projections'!$BF$14:$BK$14)/AVERAGE('[31]Financial Projections'!$BF$8:$BK$8)</f>
        <v>0.57499110628533678</v>
      </c>
      <c r="AH20" s="148">
        <f>AVERAGE('[31]Financial Projections'!$BF$11:$BK$11)/AVERAGE('[31]Financial Projections'!$BF$16:$BK$16)</f>
        <v>6.1007535126258859E-2</v>
      </c>
      <c r="AI20" s="148">
        <f>'[31]Financial Projections'!$BE$16</f>
        <v>9.4000000000000004E-3</v>
      </c>
      <c r="AJ20" s="194">
        <f>[31]Calc!M8</f>
        <v>0.1824223667718893</v>
      </c>
      <c r="AK20" s="148">
        <f>('[31]Financial Projections'!$BK$5-'[31]Financial Projections'!$BF$5)/'[31]Financial Projections'!$BF$5</f>
        <v>0.87362233934277744</v>
      </c>
      <c r="AL20" s="194">
        <f>'USI-2'!BL8</f>
        <v>0.11146809612111909</v>
      </c>
      <c r="AM20" s="194">
        <f>'USI-2'!BH8</f>
        <v>0.12327609545</v>
      </c>
      <c r="AN20" s="194">
        <f>'USI-2'!BI8</f>
        <v>0.10686095219356095</v>
      </c>
      <c r="AO20" s="180">
        <f>'USI-4'!AA8</f>
        <v>0.76570106157689599</v>
      </c>
    </row>
    <row r="21" spans="1:41" x14ac:dyDescent="0.3">
      <c r="A21" s="141" t="s">
        <v>155</v>
      </c>
      <c r="B21" s="213">
        <f>AVERAGE(B14:B20)</f>
        <v>0.14797437411293632</v>
      </c>
      <c r="C21" s="213">
        <f t="shared" ref="C21:J21" si="31">AVERAGE(C14:C20)</f>
        <v>0.13614893053156291</v>
      </c>
      <c r="D21" s="213">
        <f t="shared" si="31"/>
        <v>0.15925489335186996</v>
      </c>
      <c r="E21" s="213">
        <f t="shared" si="31"/>
        <v>0.54371052078582083</v>
      </c>
      <c r="F21" s="213">
        <f t="shared" si="31"/>
        <v>0.27326904381669148</v>
      </c>
      <c r="G21" s="213">
        <f t="shared" si="31"/>
        <v>5.3389115547319635E-2</v>
      </c>
      <c r="H21" s="213">
        <f t="shared" si="31"/>
        <v>2.1847262447600491E-2</v>
      </c>
      <c r="I21" s="213">
        <f t="shared" si="31"/>
        <v>0.13922053540702214</v>
      </c>
      <c r="J21" s="213">
        <f t="shared" si="31"/>
        <v>8.1085714285714268E-3</v>
      </c>
      <c r="K21" s="213">
        <f t="shared" ref="K21" si="32">AVERAGE(K14:K20)</f>
        <v>0.47161885972108247</v>
      </c>
      <c r="L21" s="213">
        <f t="shared" ref="L21" si="33">AVERAGE(L14:L20)</f>
        <v>0.58760139060611771</v>
      </c>
      <c r="M21" s="213">
        <f t="shared" ref="M21" si="34">AVERAGE(M14:M20)</f>
        <v>0.53777737735340347</v>
      </c>
      <c r="N21" s="213">
        <f t="shared" ref="N21" si="35">AVERAGE(N14:N20)</f>
        <v>0.59030549261048038</v>
      </c>
      <c r="O21" s="213">
        <f t="shared" ref="O21" si="36">AVERAGE(O14:O20)</f>
        <v>0.35153636723513576</v>
      </c>
      <c r="P21" s="213">
        <f t="shared" ref="P21" si="37">AVERAGE(P14:P20)</f>
        <v>0.2955674384873227</v>
      </c>
      <c r="Q21" s="213">
        <f t="shared" ref="Q21" si="38">AVERAGE(Q14:Q20)</f>
        <v>0.29781748082012616</v>
      </c>
      <c r="R21" s="213">
        <f t="shared" ref="R21" si="39">AVERAGE(R14:R20)</f>
        <v>0.39378243369026639</v>
      </c>
      <c r="S21" s="213">
        <f t="shared" ref="S21" si="40">AVERAGE(S14:S20)</f>
        <v>0.3106636271529889</v>
      </c>
      <c r="T21" s="213">
        <f t="shared" ref="T21" si="41">AVERAGE(T14:T20)</f>
        <v>3.8366704676769241</v>
      </c>
      <c r="U21" s="213">
        <f t="shared" ref="U21" si="42">AVERAGE(U14:U20)</f>
        <v>0.13071690806176817</v>
      </c>
      <c r="V21" s="213">
        <f t="shared" ref="V21" si="43">AVERAGE(V14:V20)</f>
        <v>0.15765510381659978</v>
      </c>
      <c r="W21" s="213">
        <f t="shared" ref="W21" si="44">AVERAGE(W14:W20)</f>
        <v>0.14584274435695038</v>
      </c>
      <c r="X21" s="213">
        <f t="shared" ref="X21" si="45">AVERAGE(X14:X20)</f>
        <v>0.13736196351258265</v>
      </c>
      <c r="Y21" s="213">
        <f t="shared" ref="Y21" si="46">AVERAGE(Y14:Y20)</f>
        <v>0.11381523256187583</v>
      </c>
      <c r="Z21" s="213">
        <f t="shared" ref="Z21" si="47">AVERAGE(Z14:Z20)</f>
        <v>6.101400624615267E-2</v>
      </c>
      <c r="AA21" s="213">
        <f t="shared" ref="AA21" si="48">AVERAGE(AA14:AA20)</f>
        <v>6.2295681324965609E-2</v>
      </c>
      <c r="AB21" s="213">
        <f t="shared" ref="AB21" si="49">AVERAGE(AB14:AB20)</f>
        <v>9.9506705363093403E-2</v>
      </c>
      <c r="AC21" s="213">
        <f t="shared" ref="AC21" si="50">AVERAGE(AC14:AC20)</f>
        <v>9.1791654756011518E-2</v>
      </c>
      <c r="AD21" s="213">
        <f t="shared" ref="AD21" si="51">AVERAGE(AD14:AD20)</f>
        <v>0.47625831758614223</v>
      </c>
    </row>
  </sheetData>
  <pageMargins left="0.7" right="0.7" top="0.75" bottom="0.75" header="0.3" footer="0.3"/>
  <tableParts count="4">
    <tablePart r:id="rId1"/>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8E4C-224F-4FBB-8DB7-097B1AC49FE7}">
  <dimension ref="A1:AV45"/>
  <sheetViews>
    <sheetView workbookViewId="0">
      <selection activeCell="AV14" sqref="AV14"/>
    </sheetView>
  </sheetViews>
  <sheetFormatPr defaultRowHeight="14.4" x14ac:dyDescent="0.3"/>
  <cols>
    <col min="1" max="1" width="15.33203125" style="132" bestFit="1" customWidth="1"/>
    <col min="2" max="2" width="15.44140625" style="132" customWidth="1"/>
    <col min="3" max="3" width="15.77734375" style="132" customWidth="1"/>
    <col min="4" max="4" width="8" style="132" bestFit="1" customWidth="1"/>
    <col min="5" max="5" width="17.6640625" style="132" customWidth="1"/>
    <col min="6" max="6" width="15.33203125" style="132" customWidth="1"/>
    <col min="7" max="7" width="8.109375" style="132" customWidth="1"/>
    <col min="8" max="8" width="7" style="132" bestFit="1" customWidth="1"/>
    <col min="9" max="9" width="10.77734375" style="132" bestFit="1" customWidth="1"/>
    <col min="10" max="10" width="8.88671875" style="1"/>
    <col min="11" max="11" width="15.33203125" style="1" bestFit="1" customWidth="1"/>
    <col min="12" max="12" width="13.21875" style="1" bestFit="1" customWidth="1"/>
    <col min="13" max="13" width="13.5546875" style="1" bestFit="1" customWidth="1"/>
    <col min="14" max="14" width="5.5546875" style="1" bestFit="1" customWidth="1"/>
    <col min="15" max="15" width="15.88671875" style="1" bestFit="1" customWidth="1"/>
    <col min="16" max="16" width="13.109375" style="1" bestFit="1" customWidth="1"/>
    <col min="17" max="17" width="6.109375" style="1" bestFit="1" customWidth="1"/>
    <col min="18" max="18" width="13.77734375" style="1" customWidth="1"/>
    <col min="19" max="19" width="12.33203125" style="1" bestFit="1" customWidth="1"/>
    <col min="20" max="20" width="11.33203125" style="1" bestFit="1" customWidth="1"/>
    <col min="21" max="21" width="10.88671875" style="1" bestFit="1" customWidth="1"/>
    <col min="22" max="22" width="10.33203125" style="1" bestFit="1" customWidth="1"/>
    <col min="23" max="23" width="11" style="1" customWidth="1"/>
    <col min="24" max="24" width="11.44140625" style="1" bestFit="1" customWidth="1"/>
    <col min="25" max="25" width="8.33203125" style="1" bestFit="1" customWidth="1"/>
    <col min="26" max="26" width="8.88671875" style="1"/>
    <col min="27" max="27" width="13.5546875" style="1" bestFit="1" customWidth="1"/>
    <col min="28" max="28" width="12.44140625" style="1" bestFit="1" customWidth="1"/>
    <col min="29" max="29" width="12" style="1" bestFit="1" customWidth="1"/>
    <col min="30" max="30" width="11.44140625" style="1" bestFit="1" customWidth="1"/>
    <col min="31" max="31" width="10.44140625" style="1" bestFit="1" customWidth="1"/>
    <col min="32" max="32" width="12.5546875" style="1" bestFit="1" customWidth="1"/>
    <col min="33" max="33" width="9.44140625" style="1" bestFit="1" customWidth="1"/>
    <col min="34" max="37" width="8.88671875" style="1"/>
    <col min="38" max="38" width="11.6640625" style="1" bestFit="1" customWidth="1"/>
    <col min="39" max="39" width="16.5546875" style="1" customWidth="1"/>
    <col min="40" max="40" width="13.33203125" style="1" customWidth="1"/>
    <col min="41" max="41" width="14.5546875" style="1" customWidth="1"/>
    <col min="42" max="42" width="12.6640625" style="1" customWidth="1"/>
    <col min="43" max="43" width="8.88671875" style="1"/>
    <col min="44" max="44" width="12.21875" style="1" bestFit="1" customWidth="1"/>
    <col min="45" max="45" width="13.21875" style="1" bestFit="1" customWidth="1"/>
    <col min="46" max="46" width="11.33203125" style="1" customWidth="1"/>
    <col min="47" max="47" width="12.6640625" style="1" bestFit="1" customWidth="1"/>
    <col min="48" max="48" width="37.5546875" style="1" customWidth="1"/>
    <col min="49" max="16384" width="8.88671875" style="1"/>
  </cols>
  <sheetData>
    <row r="1" spans="1:48" x14ac:dyDescent="0.3">
      <c r="A1" s="132" t="s">
        <v>8</v>
      </c>
      <c r="B1" s="132" t="s">
        <v>78</v>
      </c>
      <c r="C1" s="132" t="s">
        <v>367</v>
      </c>
      <c r="D1" s="132" t="s">
        <v>105</v>
      </c>
      <c r="E1" s="132" t="s">
        <v>368</v>
      </c>
      <c r="F1" s="132" t="s">
        <v>141</v>
      </c>
      <c r="G1" s="132" t="s">
        <v>302</v>
      </c>
      <c r="H1" s="132" t="s">
        <v>177</v>
      </c>
      <c r="I1" s="132" t="s">
        <v>330</v>
      </c>
      <c r="K1" s="222" t="s">
        <v>8</v>
      </c>
      <c r="L1" s="223" t="str">
        <f>US_FSI_Forecast181[[#Headers],[EBITDA Margin]]</f>
        <v>EBITDA Margin</v>
      </c>
      <c r="M1" s="223" t="str">
        <f>US_FSI_Forecast181[[#Headers],[Capex Intensity]]</f>
        <v>Capex Intensity</v>
      </c>
      <c r="N1" s="223" t="str">
        <f>US_FSI_Forecast181[[#Headers],[ROCE]]</f>
        <v>ROCE</v>
      </c>
      <c r="O1" s="223" t="str">
        <f>US_FSI_Forecast181[[#Headers],[NPM]]</f>
        <v>NPM</v>
      </c>
      <c r="P1" s="223" t="str">
        <f>US_FSI_Forecast181[[#Headers],[Revenue CAGR]]</f>
        <v>Revenue CAGR</v>
      </c>
      <c r="Q1" s="223" t="str">
        <f>US_FSI_Forecast181[[#Headers],[WACC]]</f>
        <v>WACC</v>
      </c>
      <c r="R1" s="223" t="str">
        <f>US_FSI_Forecast181[[#Headers],[Ke]]</f>
        <v>Ke</v>
      </c>
      <c r="S1" s="223" t="s">
        <v>415</v>
      </c>
      <c r="T1" s="223" t="s">
        <v>416</v>
      </c>
      <c r="U1" s="223" t="s">
        <v>417</v>
      </c>
      <c r="V1" s="223" t="s">
        <v>418</v>
      </c>
      <c r="W1" s="223" t="s">
        <v>419</v>
      </c>
      <c r="X1" s="223" t="s">
        <v>420</v>
      </c>
      <c r="Y1" s="223" t="s">
        <v>421</v>
      </c>
      <c r="Z1" s="223" t="s">
        <v>341</v>
      </c>
      <c r="AA1" s="223" t="s">
        <v>422</v>
      </c>
      <c r="AB1" s="223" t="s">
        <v>423</v>
      </c>
      <c r="AC1" s="223" t="s">
        <v>424</v>
      </c>
      <c r="AD1" s="223" t="s">
        <v>425</v>
      </c>
      <c r="AE1" s="223" t="s">
        <v>426</v>
      </c>
      <c r="AF1" s="223" t="s">
        <v>427</v>
      </c>
      <c r="AG1" s="223" t="s">
        <v>428</v>
      </c>
      <c r="AH1" s="224" t="s">
        <v>330</v>
      </c>
      <c r="AL1" s="1" t="s">
        <v>10</v>
      </c>
      <c r="AM1" s="1" t="s">
        <v>211</v>
      </c>
      <c r="AN1" s="1" t="s">
        <v>477</v>
      </c>
      <c r="AO1" s="1" t="s">
        <v>478</v>
      </c>
      <c r="AP1" s="1" t="s">
        <v>479</v>
      </c>
      <c r="AR1" s="1" t="s">
        <v>8</v>
      </c>
      <c r="AS1" s="1" t="s">
        <v>579</v>
      </c>
      <c r="AT1" s="1" t="s">
        <v>580</v>
      </c>
      <c r="AU1" s="1" t="s">
        <v>582</v>
      </c>
      <c r="AV1" s="1" t="s">
        <v>581</v>
      </c>
    </row>
    <row r="2" spans="1:48" s="180" customFormat="1" ht="28.8" x14ac:dyDescent="0.3">
      <c r="A2" s="132" t="str">
        <f>Table168[[#This Row],[Sector]]</f>
        <v>Automotive</v>
      </c>
      <c r="B2" s="148">
        <f>Table144155[[#This Row],[Avg EBITDA Margin]]</f>
        <v>0.1006275183444959</v>
      </c>
      <c r="C2" s="148">
        <f>AVERAGE('[20]Assumptions &amp; WACC'!$B$6:$G$6)</f>
        <v>0.12960486866837792</v>
      </c>
      <c r="D2" s="148">
        <f>Table5157[[#This Row],[Incremental ROCE (Historical)]]</f>
        <v>0.48659581580542222</v>
      </c>
      <c r="E2" s="148">
        <f>Table144155[[#This Row],[Avg NPM]]</f>
        <v>5.2073135305341876E-2</v>
      </c>
      <c r="F2" s="148">
        <f>Table144155[[#This Row],[Revenue CAGR]]</f>
        <v>9.0319429866291712E-2</v>
      </c>
      <c r="G2" s="148">
        <f>Table164[[#This Row],[WACC-US]]</f>
        <v>6.6459404057275476E-2</v>
      </c>
      <c r="H2" s="148">
        <f>Table127148[[#This Row],[Ke]]</f>
        <v>0.10785893333333335</v>
      </c>
      <c r="I2" s="183">
        <f>AH2</f>
        <v>0.7471395164055179</v>
      </c>
      <c r="J2" s="1"/>
      <c r="K2" s="11" t="str">
        <f>US_FSI_Forecast181[[#This Row],[Sector]]</f>
        <v>Automotive</v>
      </c>
      <c r="L2" s="187" cm="1">
        <f t="array" ref="L2:R11">US_FSI_Forecast181[[EBITDA Margin]:[Ke]]</f>
        <v>0.1006275183444959</v>
      </c>
      <c r="M2" s="187">
        <v>0.12960486866837792</v>
      </c>
      <c r="N2" s="187">
        <v>0.48659581580542222</v>
      </c>
      <c r="O2" s="187">
        <v>5.2073135305341876E-2</v>
      </c>
      <c r="P2" s="187">
        <v>9.0319429866291712E-2</v>
      </c>
      <c r="Q2" s="187">
        <v>6.6459404057275476E-2</v>
      </c>
      <c r="R2" s="187">
        <v>0.10785893333333335</v>
      </c>
      <c r="S2" s="187">
        <f>(L2-MIN($L$2:$L$11))/(MAX($L$2:$L$11)-MIN($L$2:$L$11))</f>
        <v>0</v>
      </c>
      <c r="T2" s="187">
        <f>(M2-MIN($M$2:$M$11))/(MAX($M$2:$M$11)-MIN($M$2:$M$11))</f>
        <v>0.28644728860695484</v>
      </c>
      <c r="U2" s="187">
        <f>(N2-MIN($N$2:$N$11))/(MAX($N$2:$N$11)-MIN($N$2:$N$11))</f>
        <v>0.22596806061680272</v>
      </c>
      <c r="V2" s="187">
        <f>(O2-MIN($O$2:$O$11))/(MAX($O$2:$O$11)-MIN($O$2:$O$11))</f>
        <v>0.22170592391952593</v>
      </c>
      <c r="W2" s="187">
        <f>(P2-MIN($P$2:$P$11))/(MAX($P$2:$P$11)-MIN($P$2:$P$11))</f>
        <v>1</v>
      </c>
      <c r="X2" s="187">
        <f>(Q2-MIN($Q$2:$Q$11))/(MAX($Q$2:$Q$11)-MIN($Q$2:$Q$11))</f>
        <v>0.3660014173162689</v>
      </c>
      <c r="Y2" s="187">
        <f>(R2-MIN($R$2:$R$11))/(MAX($R$2:$R$11)-MIN($R$2:$R$11))</f>
        <v>1</v>
      </c>
      <c r="Z2" s="187">
        <f>SUM(S2:Y2)</f>
        <v>3.1001226904595525</v>
      </c>
      <c r="AA2" s="187">
        <f>S2/$Z$2</f>
        <v>0</v>
      </c>
      <c r="AB2" s="187">
        <f t="shared" ref="AB2:AG2" si="0">T2/$Z$2</f>
        <v>9.239869424796629E-2</v>
      </c>
      <c r="AC2" s="187">
        <f t="shared" si="0"/>
        <v>7.2890037969208871E-2</v>
      </c>
      <c r="AD2" s="187">
        <f t="shared" si="0"/>
        <v>7.1515209575999369E-2</v>
      </c>
      <c r="AE2" s="187">
        <f t="shared" si="0"/>
        <v>0.3225678787092659</v>
      </c>
      <c r="AF2" s="187">
        <f t="shared" si="0"/>
        <v>0.11806030078829363</v>
      </c>
      <c r="AG2" s="187">
        <f t="shared" si="0"/>
        <v>0.3225678787092659</v>
      </c>
      <c r="AH2" s="187">
        <f>(S2*AA2)+(T2*AB2)+(U2*AC2)+(V2*AD2)+(W2*AE2)+(X2*AF2)+(Y2*AG2)</f>
        <v>0.7471395164055179</v>
      </c>
      <c r="AL2" s="180" t="s">
        <v>119</v>
      </c>
      <c r="AM2" s="180">
        <f>'India-2'!C63</f>
        <v>0.8551936874970768</v>
      </c>
      <c r="AN2" s="180">
        <f>'US-2'!C56</f>
        <v>2.4657924718306727</v>
      </c>
      <c r="AO2" s="180">
        <f>'India-1'!Z58</f>
        <v>3.1043007726516549</v>
      </c>
      <c r="AP2" s="180">
        <v>1.02</v>
      </c>
      <c r="AR2" s="180" t="s">
        <v>33</v>
      </c>
      <c r="AS2" s="8"/>
      <c r="AT2" s="8"/>
      <c r="AU2" s="180" t="s">
        <v>584</v>
      </c>
      <c r="AV2" s="236" t="s">
        <v>590</v>
      </c>
    </row>
    <row r="3" spans="1:48" s="180" customFormat="1" ht="28.8" x14ac:dyDescent="0.3">
      <c r="A3" s="132" t="str">
        <f>Table168[[#This Row],[Sector]]</f>
        <v>Defence</v>
      </c>
      <c r="B3" s="148">
        <f>'US-1'!C4</f>
        <v>0.14785529284400695</v>
      </c>
      <c r="C3" s="148">
        <f>AVERAGE('[22]Assumptions &amp; WACC'!$B$6:$F$6)</f>
        <v>2.8392928970223295E-2</v>
      </c>
      <c r="D3" s="148">
        <f>'US-1'!N4</f>
        <v>1.6252268973253223</v>
      </c>
      <c r="E3" s="148">
        <f>'US-1'!E4</f>
        <v>7.6912506524195984E-2</v>
      </c>
      <c r="F3" s="148">
        <f>'US-1'!B4</f>
        <v>3.8332003147741656E-2</v>
      </c>
      <c r="G3" s="148">
        <f>'USI-2'!AE4</f>
        <v>5.5005538889596771E-2</v>
      </c>
      <c r="H3" s="148">
        <f>'Cross-Sector US'!E4</f>
        <v>5.8769359999999993E-2</v>
      </c>
      <c r="I3" s="183">
        <f t="shared" ref="I3:I11" si="1">AH3</f>
        <v>0.60332343504842045</v>
      </c>
      <c r="J3" s="1"/>
      <c r="K3" s="11" t="str">
        <f>US_FSI_Forecast181[[#This Row],[Sector]]</f>
        <v>Defence</v>
      </c>
      <c r="L3" s="187">
        <v>0.14785529284400695</v>
      </c>
      <c r="M3" s="187">
        <v>2.8392928970223295E-2</v>
      </c>
      <c r="N3" s="187">
        <v>1.6252268973253223</v>
      </c>
      <c r="O3" s="187">
        <v>7.6912506524195984E-2</v>
      </c>
      <c r="P3" s="187">
        <v>3.8332003147741656E-2</v>
      </c>
      <c r="Q3" s="187">
        <v>5.5005538889596771E-2</v>
      </c>
      <c r="R3" s="187">
        <v>5.8769359999999993E-2</v>
      </c>
      <c r="S3" s="187">
        <f t="shared" ref="S3:S11" si="2">(L3-MIN($L$2:$L$11))/(MAX($L$2:$L$11)-MIN($L$2:$L$11))</f>
        <v>9.2242674695858312E-2</v>
      </c>
      <c r="T3" s="187">
        <f t="shared" ref="T3:T11" si="3">(M3-MIN($M$2:$M$11))/(MAX($M$2:$M$11)-MIN($M$2:$M$11))</f>
        <v>2.4298780531570191E-3</v>
      </c>
      <c r="U3" s="187">
        <f t="shared" ref="U3:U11" si="4">(N3-MIN($N$2:$N$11))/(MAX($N$2:$N$11)-MIN($N$2:$N$11))</f>
        <v>0.88302469617237578</v>
      </c>
      <c r="V3" s="187">
        <f t="shared" ref="V3:V11" si="5">(O3-MIN($O$2:$O$11))/(MAX($O$2:$O$11)-MIN($O$2:$O$11))</f>
        <v>0.41885080636510352</v>
      </c>
      <c r="W3" s="187">
        <f t="shared" ref="W3:W11" si="6">(P3-MIN($P$2:$P$11))/(MAX($P$2:$P$11)-MIN($P$2:$P$11))</f>
        <v>0.36310715791626041</v>
      </c>
      <c r="X3" s="187">
        <f t="shared" ref="X3:X11" si="7">(Q3-MIN($Q$2:$Q$11))/(MAX($Q$2:$Q$11)-MIN($Q$2:$Q$11))</f>
        <v>6.2682672345420243E-2</v>
      </c>
      <c r="Y3" s="187">
        <f t="shared" ref="Y3:Y11" si="8">(R3-MIN($R$2:$R$11))/(MAX($R$2:$R$11)-MIN($R$2:$R$11))</f>
        <v>0</v>
      </c>
      <c r="Z3" s="187">
        <f t="shared" ref="Z3:Z11" si="9">SUM(S3:Y3)</f>
        <v>1.8223378855481753</v>
      </c>
      <c r="AA3" s="187">
        <f>S3/$Z$3</f>
        <v>5.061776711518616E-2</v>
      </c>
      <c r="AB3" s="187">
        <f t="shared" ref="AB3:AG3" si="10">T3/$Z$3</f>
        <v>1.3333850283346823E-3</v>
      </c>
      <c r="AC3" s="187">
        <f t="shared" si="10"/>
        <v>0.48455596691211528</v>
      </c>
      <c r="AD3" s="187">
        <f t="shared" si="10"/>
        <v>0.2298425608591842</v>
      </c>
      <c r="AE3" s="187">
        <f t="shared" si="10"/>
        <v>0.19925347587614609</v>
      </c>
      <c r="AF3" s="187">
        <f t="shared" si="10"/>
        <v>3.4396844209033571E-2</v>
      </c>
      <c r="AG3" s="187">
        <f t="shared" si="10"/>
        <v>0</v>
      </c>
      <c r="AH3" s="187">
        <f t="shared" ref="AH3:AH11" si="11">(S3*AA3)+(T3*AB3)+(U3*AC3)+(V3*AD3)+(W3*AE3)+(X3*AF3)+(Y3*AG3)</f>
        <v>0.60332343504842045</v>
      </c>
      <c r="AL3" s="180" t="s">
        <v>319</v>
      </c>
      <c r="AM3" s="180">
        <f>'India-2'!D63</f>
        <v>2.0465080061590446</v>
      </c>
      <c r="AN3" s="180">
        <f>'US-2'!D56</f>
        <v>2.5520799808603369</v>
      </c>
      <c r="AO3" s="180">
        <f>'India-1'!AA58</f>
        <v>7.5607115654885746</v>
      </c>
      <c r="AP3" s="180">
        <v>2.4</v>
      </c>
      <c r="AR3" s="180" t="s">
        <v>148</v>
      </c>
      <c r="AS3" s="8"/>
      <c r="AT3" s="8"/>
      <c r="AU3" s="180" t="s">
        <v>585</v>
      </c>
      <c r="AV3" s="236" t="s">
        <v>591</v>
      </c>
    </row>
    <row r="4" spans="1:48" s="180" customFormat="1" x14ac:dyDescent="0.3">
      <c r="A4" s="132" t="str">
        <f>Table168[[#This Row],[Sector]]</f>
        <v>Energy</v>
      </c>
      <c r="B4" s="148">
        <f>'US-1'!C5</f>
        <v>0.61262236948286564</v>
      </c>
      <c r="C4" s="148">
        <f>AVERAGE([23]Assumptions!$B$7:$F$7)</f>
        <v>0.38388524484724562</v>
      </c>
      <c r="D4" s="148">
        <f>'US-1'!N5</f>
        <v>0.14773808330800647</v>
      </c>
      <c r="E4" s="148">
        <f>'US-1'!E5</f>
        <v>0.14764992303983096</v>
      </c>
      <c r="F4" s="148">
        <f>'US-1'!B5</f>
        <v>4.1212951849809443E-2</v>
      </c>
      <c r="G4" s="148">
        <f>'USI-2'!AE5</f>
        <v>5.4633649544846577E-2</v>
      </c>
      <c r="H4" s="148">
        <f>'Cross-Sector US'!E5</f>
        <v>6.8115999999999996E-2</v>
      </c>
      <c r="I4" s="183">
        <f t="shared" si="1"/>
        <v>0.86509968556421157</v>
      </c>
      <c r="J4" s="1"/>
      <c r="K4" s="11" t="str">
        <f>US_FSI_Forecast181[[#This Row],[Sector]]</f>
        <v>Energy</v>
      </c>
      <c r="L4" s="187">
        <v>0.61262236948286564</v>
      </c>
      <c r="M4" s="187">
        <v>0.38388524484724562</v>
      </c>
      <c r="N4" s="187">
        <v>0.14773808330800647</v>
      </c>
      <c r="O4" s="187">
        <v>0.14764992303983096</v>
      </c>
      <c r="P4" s="187">
        <v>4.1212951849809443E-2</v>
      </c>
      <c r="Q4" s="187">
        <v>5.4633649544846577E-2</v>
      </c>
      <c r="R4" s="187">
        <v>6.8115999999999996E-2</v>
      </c>
      <c r="S4" s="187">
        <f t="shared" si="2"/>
        <v>1</v>
      </c>
      <c r="T4" s="187">
        <f t="shared" si="3"/>
        <v>1</v>
      </c>
      <c r="U4" s="187">
        <f t="shared" si="4"/>
        <v>3.042735804829386E-2</v>
      </c>
      <c r="V4" s="187">
        <f t="shared" si="5"/>
        <v>0.98027885301764883</v>
      </c>
      <c r="W4" s="187">
        <f t="shared" si="6"/>
        <v>0.39840137658745889</v>
      </c>
      <c r="X4" s="187">
        <f t="shared" si="7"/>
        <v>5.2834380291488119E-2</v>
      </c>
      <c r="Y4" s="187">
        <f t="shared" si="8"/>
        <v>0.1903996992708295</v>
      </c>
      <c r="Z4" s="187">
        <f t="shared" si="9"/>
        <v>3.6523416672157185</v>
      </c>
      <c r="AA4" s="187">
        <f>S4/$Z$4</f>
        <v>0.27379694757920275</v>
      </c>
      <c r="AB4" s="187">
        <f t="shared" ref="AB4:AG4" si="12">T4/$Z$4</f>
        <v>0.27379694757920275</v>
      </c>
      <c r="AC4" s="187">
        <f t="shared" si="12"/>
        <v>8.3309177565223467E-3</v>
      </c>
      <c r="AD4" s="187">
        <f t="shared" si="12"/>
        <v>0.2683973577326742</v>
      </c>
      <c r="AE4" s="187">
        <f t="shared" si="12"/>
        <v>0.10908108082099868</v>
      </c>
      <c r="AF4" s="187">
        <f t="shared" si="12"/>
        <v>1.4465892051048234E-2</v>
      </c>
      <c r="AG4" s="187">
        <f t="shared" si="12"/>
        <v>5.2130856480351269E-2</v>
      </c>
      <c r="AH4" s="187">
        <f t="shared" si="11"/>
        <v>0.86509968556421157</v>
      </c>
      <c r="AL4" s="180" t="s">
        <v>328</v>
      </c>
      <c r="AM4" s="180">
        <f>'India-2'!E63</f>
        <v>98.309557961351402</v>
      </c>
      <c r="AN4" s="180">
        <f>'US-2'!E56</f>
        <v>26.755478300526207</v>
      </c>
      <c r="AO4" s="180">
        <f>'India-1'!Y58</f>
        <v>3.7357264638369947</v>
      </c>
      <c r="AP4" s="180">
        <v>5</v>
      </c>
      <c r="AR4" s="180" t="s">
        <v>27</v>
      </c>
      <c r="AS4" s="8" t="e" vm="2">
        <v>#VALUE!</v>
      </c>
      <c r="AT4" s="8" t="e" vm="2">
        <v>#VALUE!</v>
      </c>
      <c r="AU4" s="180" t="s">
        <v>586</v>
      </c>
      <c r="AV4" s="236" t="s">
        <v>592</v>
      </c>
    </row>
    <row r="5" spans="1:48" s="180" customFormat="1" ht="22.2" customHeight="1" x14ac:dyDescent="0.3">
      <c r="A5" s="132" t="str">
        <f>Table168[[#This Row],[Sector]]</f>
        <v>FMCG &amp; Retail</v>
      </c>
      <c r="B5" s="148">
        <f>'US-1'!C6</f>
        <v>0.21285415461225146</v>
      </c>
      <c r="C5" s="148">
        <f>AVERAGE('[24]Assumptions &amp; WACC'!$B$6:$F$6)</f>
        <v>3.9299974063744386E-2</v>
      </c>
      <c r="D5" s="148">
        <f>'US-1'!N6</f>
        <v>0.69747693249774723</v>
      </c>
      <c r="E5" s="148">
        <f>'US-1'!E6</f>
        <v>0.10344700465461103</v>
      </c>
      <c r="F5" s="148">
        <f>'US-1'!B6</f>
        <v>4.8698557264013023E-2</v>
      </c>
      <c r="G5" s="148">
        <f>'USI-2'!AE6</f>
        <v>5.7701179082864797E-2</v>
      </c>
      <c r="H5" s="148">
        <f>'Cross-Sector US'!E6</f>
        <v>6.2287919999999997E-2</v>
      </c>
      <c r="I5" s="183">
        <f t="shared" si="1"/>
        <v>0.43088062967172008</v>
      </c>
      <c r="J5" s="1"/>
      <c r="K5" s="11" t="str">
        <f>US_FSI_Forecast181[[#This Row],[Sector]]</f>
        <v>FMCG &amp; Retail</v>
      </c>
      <c r="L5" s="187">
        <v>0.21285415461225146</v>
      </c>
      <c r="M5" s="187">
        <v>3.9299974063744386E-2</v>
      </c>
      <c r="N5" s="187">
        <v>0.69747693249774723</v>
      </c>
      <c r="O5" s="187">
        <v>0.10344700465461103</v>
      </c>
      <c r="P5" s="187">
        <v>4.8698557264013023E-2</v>
      </c>
      <c r="Q5" s="187">
        <v>5.7701179082864797E-2</v>
      </c>
      <c r="R5" s="187">
        <v>6.2287919999999997E-2</v>
      </c>
      <c r="S5" s="187">
        <f t="shared" si="2"/>
        <v>0.21919485326508806</v>
      </c>
      <c r="T5" s="187">
        <f t="shared" si="3"/>
        <v>3.3036847087580604E-2</v>
      </c>
      <c r="U5" s="187">
        <f t="shared" si="4"/>
        <v>0.34765878141734818</v>
      </c>
      <c r="V5" s="187">
        <f t="shared" si="5"/>
        <v>0.62944955576913109</v>
      </c>
      <c r="W5" s="187">
        <f t="shared" si="6"/>
        <v>0.49010679091350412</v>
      </c>
      <c r="X5" s="187">
        <f t="shared" si="7"/>
        <v>0.13406802465621054</v>
      </c>
      <c r="Y5" s="187">
        <f t="shared" si="8"/>
        <v>7.1676320674207025E-2</v>
      </c>
      <c r="Z5" s="187">
        <f t="shared" si="9"/>
        <v>1.9251911737830696</v>
      </c>
      <c r="AA5" s="187">
        <f>S5/$Z$5</f>
        <v>0.11385614906719228</v>
      </c>
      <c r="AB5" s="187">
        <f t="shared" ref="AB5:AG5" si="13">T5/$Z$5</f>
        <v>1.7160294280106229E-2</v>
      </c>
      <c r="AC5" s="187">
        <f t="shared" si="13"/>
        <v>0.18058403038186915</v>
      </c>
      <c r="AD5" s="187">
        <f t="shared" si="13"/>
        <v>0.32695431203969222</v>
      </c>
      <c r="AE5" s="187">
        <f t="shared" si="13"/>
        <v>0.25457564816819034</v>
      </c>
      <c r="AF5" s="187">
        <f t="shared" si="13"/>
        <v>6.9638811190247701E-2</v>
      </c>
      <c r="AG5" s="187">
        <f t="shared" si="13"/>
        <v>3.7230754872702061E-2</v>
      </c>
      <c r="AH5" s="187">
        <f t="shared" si="11"/>
        <v>0.43088062967172008</v>
      </c>
      <c r="AL5" s="180" t="s">
        <v>485</v>
      </c>
      <c r="AM5" s="180">
        <f>'India-2'!F63</f>
        <v>0.31359615732041018</v>
      </c>
      <c r="AN5" s="180">
        <f>'US-2'!F56</f>
        <v>0.43141709688340218</v>
      </c>
      <c r="AO5" s="180">
        <f>'India-1'!AB58</f>
        <v>0.78094131367914565</v>
      </c>
      <c r="AP5" s="180">
        <v>0.42</v>
      </c>
      <c r="AR5" s="180" t="s">
        <v>583</v>
      </c>
      <c r="AS5" s="8"/>
      <c r="AT5" s="8"/>
      <c r="AU5" s="180" t="s">
        <v>584</v>
      </c>
      <c r="AV5" s="236" t="s">
        <v>593</v>
      </c>
    </row>
    <row r="6" spans="1:48" s="180" customFormat="1" ht="28.8" x14ac:dyDescent="0.3">
      <c r="A6" s="132" t="str">
        <f>Table168[[#This Row],[Sector]]</f>
        <v>Infrastructure</v>
      </c>
      <c r="B6" s="148">
        <f>'US-1'!C7</f>
        <v>0.10995861380374831</v>
      </c>
      <c r="C6" s="148">
        <f>AVERAGE('[25]Assumptions &amp; WACC'!$B$6:$F$6)</f>
        <v>2.7527021945331898E-2</v>
      </c>
      <c r="D6" s="148">
        <f>'US-1'!N7</f>
        <v>0.62048033787314694</v>
      </c>
      <c r="E6" s="148">
        <f>'US-1'!E7</f>
        <v>2.4139182988946524E-2</v>
      </c>
      <c r="F6" s="148">
        <f>'US-1'!B7</f>
        <v>3.918185924980986E-2</v>
      </c>
      <c r="G6" s="148">
        <f>'USI-2'!AE7</f>
        <v>8.3153727539757361E-2</v>
      </c>
      <c r="H6" s="148">
        <f>'Cross-Sector US'!E7</f>
        <v>8.9372411999999984E-2</v>
      </c>
      <c r="I6" s="183">
        <f t="shared" si="1"/>
        <v>0.59885754084650045</v>
      </c>
      <c r="J6" s="1"/>
      <c r="K6" s="11" t="str">
        <f>US_FSI_Forecast181[[#This Row],[Sector]]</f>
        <v>Infrastructure</v>
      </c>
      <c r="L6" s="187">
        <v>0.10995861380374831</v>
      </c>
      <c r="M6" s="187">
        <v>2.7527021945331898E-2</v>
      </c>
      <c r="N6" s="187">
        <v>0.62048033787314694</v>
      </c>
      <c r="O6" s="187">
        <v>2.4139182988946524E-2</v>
      </c>
      <c r="P6" s="187">
        <v>3.918185924980986E-2</v>
      </c>
      <c r="Q6" s="187">
        <v>8.3153727539757361E-2</v>
      </c>
      <c r="R6" s="187">
        <v>8.9372411999999984E-2</v>
      </c>
      <c r="S6" s="187">
        <f t="shared" si="2"/>
        <v>1.8224979095992171E-2</v>
      </c>
      <c r="T6" s="187">
        <f t="shared" si="3"/>
        <v>0</v>
      </c>
      <c r="U6" s="187">
        <f t="shared" si="4"/>
        <v>0.3032272493483793</v>
      </c>
      <c r="V6" s="187">
        <f t="shared" si="5"/>
        <v>0</v>
      </c>
      <c r="W6" s="187">
        <f t="shared" si="6"/>
        <v>0.37351866128107869</v>
      </c>
      <c r="X6" s="187">
        <f t="shared" si="7"/>
        <v>0.80809682988781451</v>
      </c>
      <c r="Y6" s="187">
        <f t="shared" si="8"/>
        <v>0.62341246667995709</v>
      </c>
      <c r="Z6" s="187">
        <f t="shared" si="9"/>
        <v>2.1264801862932217</v>
      </c>
      <c r="AA6" s="187">
        <f>S6/$Z$6</f>
        <v>8.5704909048605251E-3</v>
      </c>
      <c r="AB6" s="187">
        <f t="shared" ref="AB6:AG6" si="14">T6/$Z$6</f>
        <v>0</v>
      </c>
      <c r="AC6" s="187">
        <f t="shared" si="14"/>
        <v>0.14259584984751281</v>
      </c>
      <c r="AD6" s="187">
        <f t="shared" si="14"/>
        <v>0</v>
      </c>
      <c r="AE6" s="187">
        <f t="shared" si="14"/>
        <v>0.17565113641250452</v>
      </c>
      <c r="AF6" s="187">
        <f t="shared" si="14"/>
        <v>0.38001615773173519</v>
      </c>
      <c r="AG6" s="187">
        <f t="shared" si="14"/>
        <v>0.29316636510338701</v>
      </c>
      <c r="AH6" s="187">
        <f t="shared" si="11"/>
        <v>0.59885754084650045</v>
      </c>
      <c r="AL6" s="180" t="s">
        <v>298</v>
      </c>
      <c r="AM6" s="148">
        <f>'India-2'!G63</f>
        <v>7.6074182039881449E-2</v>
      </c>
      <c r="AN6" s="148">
        <f>'US-2'!G56</f>
        <v>3.110447542385518E-2</v>
      </c>
      <c r="AO6" s="148">
        <f>AVERAGE('India-1'!J2:J7,'India-1'!J8:J12,'India-1'!J13:J18,'India-1'!J19:J23,'India-1'!J24:J28,'India-1'!H29:H34,'India-1'!J35:J39,'India-1'!J40:J45,'India-1'!G46:G51,'India-1'!J52:J57,'India-1'!I60:I63,'India-1'!S67:S69)</f>
        <v>6.9001956336114709E-2</v>
      </c>
      <c r="AP6" s="148">
        <f>5.7%*(1-0.25)</f>
        <v>4.2750000000000003E-2</v>
      </c>
      <c r="AR6" s="180" t="s">
        <v>149</v>
      </c>
      <c r="AS6" s="8"/>
      <c r="AT6" s="8"/>
      <c r="AU6" s="180" t="s">
        <v>587</v>
      </c>
      <c r="AV6" s="236" t="s">
        <v>594</v>
      </c>
    </row>
    <row r="7" spans="1:48" s="180" customFormat="1" ht="28.8" x14ac:dyDescent="0.3">
      <c r="A7" s="132" t="str">
        <f>Table168[[#This Row],[Sector]]</f>
        <v>IT</v>
      </c>
      <c r="B7" s="148">
        <f>'US-1'!C8</f>
        <v>0.32620049910275817</v>
      </c>
      <c r="C7" s="148">
        <f>AVERAGE('[26]Assumptions &amp; WACC'!$B$6:$F$6)</f>
        <v>8.8067347920807657E-2</v>
      </c>
      <c r="D7" s="148">
        <f>'US-1'!N8</f>
        <v>0.4961022135998302</v>
      </c>
      <c r="E7" s="148">
        <f>'US-1'!E8</f>
        <v>0.14707428596661398</v>
      </c>
      <c r="F7" s="148">
        <f>'US-1'!B8</f>
        <v>8.5102453732507577E-2</v>
      </c>
      <c r="G7" s="148">
        <f>'USI-2'!AE8</f>
        <v>9.0400338809780684E-2</v>
      </c>
      <c r="H7" s="148">
        <f>'Cross-Sector US'!E8</f>
        <v>9.4033200000000011E-2</v>
      </c>
      <c r="I7" s="183">
        <f t="shared" si="1"/>
        <v>0.80965764370114301</v>
      </c>
      <c r="J7" s="1"/>
      <c r="K7" s="11" t="str">
        <f>US_FSI_Forecast181[[#This Row],[Sector]]</f>
        <v>IT</v>
      </c>
      <c r="L7" s="187">
        <v>0.32620049910275817</v>
      </c>
      <c r="M7" s="187">
        <v>8.8067347920807657E-2</v>
      </c>
      <c r="N7" s="187">
        <v>0.4961022135998302</v>
      </c>
      <c r="O7" s="187">
        <v>0.14707428596661398</v>
      </c>
      <c r="P7" s="187">
        <v>8.5102453732507577E-2</v>
      </c>
      <c r="Q7" s="187">
        <v>9.0400338809780684E-2</v>
      </c>
      <c r="R7" s="187">
        <v>9.4033200000000011E-2</v>
      </c>
      <c r="S7" s="187">
        <f t="shared" si="2"/>
        <v>0.44057665864553741</v>
      </c>
      <c r="T7" s="187">
        <f t="shared" si="3"/>
        <v>0.16988614850102465</v>
      </c>
      <c r="U7" s="187">
        <f t="shared" si="4"/>
        <v>0.23145380736342133</v>
      </c>
      <c r="V7" s="187">
        <f t="shared" si="5"/>
        <v>0.97571014223464247</v>
      </c>
      <c r="W7" s="187">
        <f t="shared" si="6"/>
        <v>0.93608733944618894</v>
      </c>
      <c r="X7" s="187">
        <f t="shared" si="7"/>
        <v>1</v>
      </c>
      <c r="Y7" s="187">
        <f t="shared" si="8"/>
        <v>0.71835702788752431</v>
      </c>
      <c r="Z7" s="187">
        <f t="shared" si="9"/>
        <v>4.4720711240783393</v>
      </c>
      <c r="AA7" s="187">
        <f>S7/$Z$7</f>
        <v>9.8517363973350716E-2</v>
      </c>
      <c r="AB7" s="187">
        <f t="shared" ref="AB7:AG7" si="15">T7/$Z$7</f>
        <v>3.7988248350150494E-2</v>
      </c>
      <c r="AC7" s="187">
        <f t="shared" si="15"/>
        <v>5.1755394970629462E-2</v>
      </c>
      <c r="AD7" s="187">
        <f t="shared" si="15"/>
        <v>0.21817858329248488</v>
      </c>
      <c r="AE7" s="187">
        <f t="shared" si="15"/>
        <v>0.20931852680207755</v>
      </c>
      <c r="AF7" s="187">
        <f t="shared" si="15"/>
        <v>0.22361003934303317</v>
      </c>
      <c r="AG7" s="187">
        <f t="shared" si="15"/>
        <v>0.16063184326827368</v>
      </c>
      <c r="AH7" s="187">
        <f t="shared" si="11"/>
        <v>0.80965764370114301</v>
      </c>
      <c r="AR7" s="180" t="s">
        <v>49</v>
      </c>
      <c r="AS7" s="8" t="e" vm="2">
        <v>#VALUE!</v>
      </c>
      <c r="AT7" s="8"/>
      <c r="AU7" s="180" t="s">
        <v>588</v>
      </c>
      <c r="AV7" s="236" t="s">
        <v>595</v>
      </c>
    </row>
    <row r="8" spans="1:48" s="180" customFormat="1" ht="24.6" customHeight="1" x14ac:dyDescent="0.3">
      <c r="A8" s="132" t="str">
        <f>Table168[[#This Row],[Sector]]</f>
        <v>Minerals</v>
      </c>
      <c r="B8" s="148">
        <f>'US-1'!C9</f>
        <v>0.30631185195703642</v>
      </c>
      <c r="C8" s="148">
        <f>AVERAGE('[27]Assumptions &amp; WACC'!$B$6:$G$6)</f>
        <v>9.02082276239667E-2</v>
      </c>
      <c r="D8" s="148">
        <f>'US-1'!N9</f>
        <v>9.5009697766282805E-2</v>
      </c>
      <c r="E8" s="148">
        <f>'US-1'!E9</f>
        <v>7.3424220412320315E-2</v>
      </c>
      <c r="F8" s="148">
        <f>'US-1'!B9</f>
        <v>7.7053170112523148E-2</v>
      </c>
      <c r="G8" s="148">
        <f>'USI-2'!AE9</f>
        <v>8.5489916372058591E-2</v>
      </c>
      <c r="H8" s="148">
        <f>'Cross-Sector US'!E9</f>
        <v>0.10352600000000001</v>
      </c>
      <c r="I8" s="183">
        <f t="shared" si="1"/>
        <v>0.73434368345471712</v>
      </c>
      <c r="J8" s="1"/>
      <c r="K8" s="11" t="str">
        <f>US_FSI_Forecast181[[#This Row],[Sector]]</f>
        <v>Minerals</v>
      </c>
      <c r="L8" s="187">
        <v>0.30631185195703642</v>
      </c>
      <c r="M8" s="187">
        <v>9.02082276239667E-2</v>
      </c>
      <c r="N8" s="187">
        <v>9.5009697766282805E-2</v>
      </c>
      <c r="O8" s="187">
        <v>7.3424220412320315E-2</v>
      </c>
      <c r="P8" s="187">
        <v>7.7053170112523148E-2</v>
      </c>
      <c r="Q8" s="187">
        <v>8.5489916372058591E-2</v>
      </c>
      <c r="R8" s="187">
        <v>0.10352600000000001</v>
      </c>
      <c r="S8" s="187">
        <f t="shared" si="2"/>
        <v>0.40173125404527371</v>
      </c>
      <c r="T8" s="187">
        <f t="shared" si="3"/>
        <v>0.17589381035803284</v>
      </c>
      <c r="U8" s="187">
        <f t="shared" si="4"/>
        <v>0</v>
      </c>
      <c r="V8" s="187">
        <f t="shared" si="5"/>
        <v>0.39116501072224608</v>
      </c>
      <c r="W8" s="187">
        <f t="shared" si="6"/>
        <v>0.83747635896384987</v>
      </c>
      <c r="X8" s="187">
        <f t="shared" si="7"/>
        <v>0.86996327010295915</v>
      </c>
      <c r="Y8" s="187">
        <f t="shared" si="8"/>
        <v>0.9117341415067638</v>
      </c>
      <c r="Z8" s="187">
        <f t="shared" si="9"/>
        <v>3.5879638456991252</v>
      </c>
      <c r="AA8" s="187">
        <f>S8/$Z$8</f>
        <v>0.11196636067747087</v>
      </c>
      <c r="AB8" s="187">
        <f t="shared" ref="AB8:AG8" si="16">T8/$Z$8</f>
        <v>4.9023295083888842E-2</v>
      </c>
      <c r="AC8" s="187">
        <f t="shared" si="16"/>
        <v>0</v>
      </c>
      <c r="AD8" s="187">
        <f t="shared" si="16"/>
        <v>0.10902144713390401</v>
      </c>
      <c r="AE8" s="187">
        <f t="shared" si="16"/>
        <v>0.23341270842729608</v>
      </c>
      <c r="AF8" s="187">
        <f t="shared" si="16"/>
        <v>0.24246712272359708</v>
      </c>
      <c r="AG8" s="187">
        <f t="shared" si="16"/>
        <v>0.25410906595384319</v>
      </c>
      <c r="AH8" s="187">
        <f t="shared" si="11"/>
        <v>0.73434368345471712</v>
      </c>
      <c r="AR8" s="180" t="s">
        <v>145</v>
      </c>
      <c r="AS8" s="8"/>
      <c r="AT8" s="8"/>
      <c r="AU8" s="180" t="s">
        <v>588</v>
      </c>
      <c r="AV8" s="236" t="s">
        <v>596</v>
      </c>
    </row>
    <row r="9" spans="1:48" s="180" customFormat="1" ht="28.8" x14ac:dyDescent="0.3">
      <c r="A9" s="132" t="str">
        <f>Table168[[#This Row],[Sector]]</f>
        <v>Oil &amp; Gas</v>
      </c>
      <c r="B9" s="148">
        <f>'US-1'!C10</f>
        <v>0.27019357533553434</v>
      </c>
      <c r="C9" s="148">
        <f>AVERAGE('[28]Assumptions &amp; WACC'!$B$6:$F$6)</f>
        <v>6.5011853270036668E-2</v>
      </c>
      <c r="D9" s="148">
        <f>'US-1'!N10</f>
        <v>1.8279365413665041</v>
      </c>
      <c r="E9" s="148">
        <f>'US-1'!E10</f>
        <v>8.1548228871893141E-2</v>
      </c>
      <c r="F9" s="148">
        <f>'US-1'!B10</f>
        <v>8.9070194808113581E-2</v>
      </c>
      <c r="G9" s="148">
        <f>'USI-2'!AE10</f>
        <v>7.8288857882450921E-2</v>
      </c>
      <c r="H9" s="148">
        <f>'Cross-Sector US'!E10</f>
        <v>9.0367199999999995E-2</v>
      </c>
      <c r="I9" s="183">
        <f t="shared" si="1"/>
        <v>0.75570654485682276</v>
      </c>
      <c r="J9" s="1"/>
      <c r="K9" s="11" t="str">
        <f>US_FSI_Forecast181[[#This Row],[Sector]]</f>
        <v>Oil &amp; Gas</v>
      </c>
      <c r="L9" s="187">
        <v>0.27019357533553434</v>
      </c>
      <c r="M9" s="187">
        <v>6.5011853270036668E-2</v>
      </c>
      <c r="N9" s="187">
        <v>1.8279365413665041</v>
      </c>
      <c r="O9" s="187">
        <v>8.1548228871893141E-2</v>
      </c>
      <c r="P9" s="187">
        <v>8.9070194808113581E-2</v>
      </c>
      <c r="Q9" s="187">
        <v>7.8288857882450921E-2</v>
      </c>
      <c r="R9" s="187">
        <v>9.0367199999999995E-2</v>
      </c>
      <c r="S9" s="187">
        <f t="shared" si="2"/>
        <v>0.3311870356001142</v>
      </c>
      <c r="T9" s="187">
        <f t="shared" si="3"/>
        <v>0.10518862457966162</v>
      </c>
      <c r="U9" s="187">
        <f t="shared" si="4"/>
        <v>1</v>
      </c>
      <c r="V9" s="187">
        <f t="shared" si="5"/>
        <v>0.45564356288195923</v>
      </c>
      <c r="W9" s="187">
        <f t="shared" si="6"/>
        <v>0.98469574439717711</v>
      </c>
      <c r="X9" s="187">
        <f t="shared" si="7"/>
        <v>0.67926641872976135</v>
      </c>
      <c r="Y9" s="187">
        <f t="shared" si="8"/>
        <v>0.64367721808134104</v>
      </c>
      <c r="Z9" s="187">
        <f t="shared" si="9"/>
        <v>4.1996586042700139</v>
      </c>
      <c r="AA9" s="187">
        <f>S9/$Z$9</f>
        <v>7.8860466244417796E-2</v>
      </c>
      <c r="AB9" s="187">
        <f t="shared" ref="AB9:AG9" si="17">T9/$Z$9</f>
        <v>2.5046946547681474E-2</v>
      </c>
      <c r="AC9" s="187">
        <f t="shared" si="17"/>
        <v>0.23811459316794165</v>
      </c>
      <c r="AD9" s="187">
        <f t="shared" si="17"/>
        <v>0.10849538160522916</v>
      </c>
      <c r="AE9" s="187">
        <f t="shared" si="17"/>
        <v>0.23447042657133729</v>
      </c>
      <c r="AF9" s="187">
        <f t="shared" si="17"/>
        <v>0.16174324694848183</v>
      </c>
      <c r="AG9" s="187">
        <f t="shared" si="17"/>
        <v>0.15326893891491097</v>
      </c>
      <c r="AH9" s="187">
        <f t="shared" si="11"/>
        <v>0.75570654485682276</v>
      </c>
      <c r="AR9" s="180" t="s">
        <v>147</v>
      </c>
      <c r="AS9" s="8"/>
      <c r="AT9" s="8"/>
      <c r="AU9" s="180" t="s">
        <v>589</v>
      </c>
      <c r="AV9" s="236" t="s">
        <v>597</v>
      </c>
    </row>
    <row r="10" spans="1:48" s="180" customFormat="1" ht="28.8" x14ac:dyDescent="0.3">
      <c r="A10" s="132" t="str">
        <f>Table168[[#This Row],[Sector]]</f>
        <v>Pharma</v>
      </c>
      <c r="B10" s="148">
        <f>'US-1'!C11</f>
        <v>0.33446566898393537</v>
      </c>
      <c r="C10" s="148">
        <f>AVERAGE('[29]Assumptions &amp; WACC'!$B$6:$F$6)</f>
        <v>5.5160086080215297E-2</v>
      </c>
      <c r="D10" s="148">
        <f>'US-1'!N11</f>
        <v>0.32835714542638827</v>
      </c>
      <c r="E10" s="148">
        <f>'US-1'!E11</f>
        <v>0.15013469913282151</v>
      </c>
      <c r="F10" s="148">
        <f>'US-1'!B11</f>
        <v>6.939211134178587E-2</v>
      </c>
      <c r="G10" s="148">
        <f>'USI-2'!AE11</f>
        <v>5.569531856461557E-2</v>
      </c>
      <c r="H10" s="148">
        <f>'Cross-Sector US'!E11</f>
        <v>6.1478000000000012E-2</v>
      </c>
      <c r="I10" s="183">
        <f t="shared" si="1"/>
        <v>0.7044108756358316</v>
      </c>
      <c r="J10" s="1"/>
      <c r="K10" s="11" t="str">
        <f>US_FSI_Forecast181[[#This Row],[Sector]]</f>
        <v>Pharma</v>
      </c>
      <c r="L10" s="187">
        <v>0.33446566898393537</v>
      </c>
      <c r="M10" s="187">
        <v>5.5160086080215297E-2</v>
      </c>
      <c r="N10" s="187">
        <v>0.32835714542638827</v>
      </c>
      <c r="O10" s="187">
        <v>0.15013469913282151</v>
      </c>
      <c r="P10" s="187">
        <v>6.939211134178587E-2</v>
      </c>
      <c r="Q10" s="187">
        <v>5.569531856461557E-2</v>
      </c>
      <c r="R10" s="187">
        <v>6.1478000000000012E-2</v>
      </c>
      <c r="S10" s="187">
        <f t="shared" si="2"/>
        <v>0.45671973091042528</v>
      </c>
      <c r="T10" s="187">
        <f t="shared" si="3"/>
        <v>7.7542939545102899E-2</v>
      </c>
      <c r="U10" s="187">
        <f t="shared" si="4"/>
        <v>0.13465510591048221</v>
      </c>
      <c r="V10" s="187">
        <f t="shared" si="5"/>
        <v>1</v>
      </c>
      <c r="W10" s="187">
        <f t="shared" si="6"/>
        <v>0.74362148285542318</v>
      </c>
      <c r="X10" s="187">
        <f t="shared" si="7"/>
        <v>8.0949266396439984E-2</v>
      </c>
      <c r="Y10" s="187">
        <f t="shared" si="8"/>
        <v>5.5177501373000683E-2</v>
      </c>
      <c r="Z10" s="187">
        <f t="shared" si="9"/>
        <v>2.5486660269908743</v>
      </c>
      <c r="AA10" s="187">
        <f>S10/$Z$10</f>
        <v>0.17919952087628332</v>
      </c>
      <c r="AB10" s="187">
        <f t="shared" ref="AB10:AG10" si="18">T10/$Z$10</f>
        <v>3.0424911982938497E-2</v>
      </c>
      <c r="AC10" s="187">
        <f t="shared" si="18"/>
        <v>5.2833562532108233E-2</v>
      </c>
      <c r="AD10" s="187">
        <f t="shared" si="18"/>
        <v>0.39236211783333064</v>
      </c>
      <c r="AE10" s="187">
        <f t="shared" si="18"/>
        <v>0.2917688998795156</v>
      </c>
      <c r="AF10" s="187">
        <f t="shared" si="18"/>
        <v>3.1761425600361652E-2</v>
      </c>
      <c r="AG10" s="187">
        <f t="shared" si="18"/>
        <v>2.1649561295462055E-2</v>
      </c>
      <c r="AH10" s="187">
        <f t="shared" si="11"/>
        <v>0.7044108756358316</v>
      </c>
      <c r="AR10" s="180" t="s">
        <v>146</v>
      </c>
      <c r="AS10" s="8"/>
      <c r="AT10" s="8"/>
      <c r="AU10" s="180" t="s">
        <v>585</v>
      </c>
      <c r="AV10" s="236" t="s">
        <v>598</v>
      </c>
    </row>
    <row r="11" spans="1:48" s="180" customFormat="1" x14ac:dyDescent="0.3">
      <c r="A11" s="132" t="str">
        <f>Table168[[#This Row],[Sector]]</f>
        <v>Telecom</v>
      </c>
      <c r="B11" s="148">
        <f>'US-1'!C12</f>
        <v>0.49602236955745588</v>
      </c>
      <c r="C11" s="148">
        <f>AVERAGE('[30]Assumptions &amp; WACC'!$B$6:$F$6)</f>
        <v>0.13827726064606385</v>
      </c>
      <c r="D11" s="148">
        <f>'US-1'!N12</f>
        <v>0.48162409583426535</v>
      </c>
      <c r="E11" s="148">
        <f>'US-1'!E12</f>
        <v>0.11283500100671877</v>
      </c>
      <c r="F11" s="148">
        <f>'US-1'!B12</f>
        <v>8.6927836184529372E-3</v>
      </c>
      <c r="G11" s="148">
        <f>'USI-2'!AE12</f>
        <v>5.2638527653732572E-2</v>
      </c>
      <c r="H11" s="148">
        <f>'Cross-Sector US'!E12</f>
        <v>7.178712000000001E-2</v>
      </c>
      <c r="I11" s="183">
        <f t="shared" si="1"/>
        <v>0.57514981706025226</v>
      </c>
      <c r="J11" s="1"/>
      <c r="K11" s="11" t="str">
        <f>US_FSI_Forecast181[[#This Row],[Sector]]</f>
        <v>Telecom</v>
      </c>
      <c r="L11" s="187">
        <v>0.49602236955745588</v>
      </c>
      <c r="M11" s="187">
        <v>0.13827726064606385</v>
      </c>
      <c r="N11" s="187">
        <v>0.48162409583426535</v>
      </c>
      <c r="O11" s="187">
        <v>0.11283500100671877</v>
      </c>
      <c r="P11" s="187">
        <v>8.6927836184529372E-3</v>
      </c>
      <c r="Q11" s="187">
        <v>5.2638527653732572E-2</v>
      </c>
      <c r="R11" s="187">
        <v>7.178712000000001E-2</v>
      </c>
      <c r="S11" s="187">
        <f t="shared" si="2"/>
        <v>0.77226333494143307</v>
      </c>
      <c r="T11" s="187">
        <f t="shared" si="3"/>
        <v>0.31078345210856984</v>
      </c>
      <c r="U11" s="187">
        <f t="shared" si="4"/>
        <v>0.22309908782114338</v>
      </c>
      <c r="V11" s="187">
        <f t="shared" si="5"/>
        <v>0.70396011487019883</v>
      </c>
      <c r="W11" s="187">
        <f t="shared" si="6"/>
        <v>0</v>
      </c>
      <c r="X11" s="187">
        <f t="shared" si="7"/>
        <v>0</v>
      </c>
      <c r="Y11" s="187">
        <f t="shared" si="8"/>
        <v>0.26518380821127552</v>
      </c>
      <c r="Z11" s="187">
        <f t="shared" si="9"/>
        <v>2.2752897979526208</v>
      </c>
      <c r="AA11" s="187">
        <f>S11/$Z$11</f>
        <v>0.33941317525193521</v>
      </c>
      <c r="AB11" s="187">
        <f t="shared" ref="AB11:AG11" si="19">T11/$Z$11</f>
        <v>0.13659071138464332</v>
      </c>
      <c r="AC11" s="187">
        <f t="shared" si="19"/>
        <v>9.8053042747299771E-2</v>
      </c>
      <c r="AD11" s="187">
        <f t="shared" si="19"/>
        <v>0.30939360581832032</v>
      </c>
      <c r="AE11" s="187">
        <f t="shared" si="19"/>
        <v>0</v>
      </c>
      <c r="AF11" s="187">
        <f t="shared" si="19"/>
        <v>0</v>
      </c>
      <c r="AG11" s="187">
        <f t="shared" si="19"/>
        <v>0.11654946479780134</v>
      </c>
      <c r="AH11" s="187">
        <f t="shared" si="11"/>
        <v>0.57514981706025226</v>
      </c>
      <c r="AR11" s="180" t="s">
        <v>40</v>
      </c>
      <c r="AS11" s="8"/>
      <c r="AT11" s="180" t="e" vm="2">
        <v>#VALUE!</v>
      </c>
      <c r="AU11" s="180" t="s">
        <v>589</v>
      </c>
      <c r="AV11" s="236" t="s">
        <v>599</v>
      </c>
    </row>
    <row r="13" spans="1:48" x14ac:dyDescent="0.3">
      <c r="A13" s="132" t="s">
        <v>8</v>
      </c>
      <c r="B13" s="132" t="s">
        <v>78</v>
      </c>
      <c r="C13" s="132" t="s">
        <v>367</v>
      </c>
      <c r="D13" s="132" t="s">
        <v>105</v>
      </c>
      <c r="E13" s="132" t="s">
        <v>368</v>
      </c>
      <c r="F13" s="132" t="s">
        <v>141</v>
      </c>
      <c r="G13" s="132" t="s">
        <v>302</v>
      </c>
      <c r="H13" s="132" t="s">
        <v>177</v>
      </c>
      <c r="I13" s="132" t="s">
        <v>330</v>
      </c>
      <c r="K13" s="222" t="s">
        <v>8</v>
      </c>
      <c r="L13" s="223" t="str" cm="1">
        <f t="array" ref="L13:R23">US_FSI_Forecast[[#All],[EBITDA Margin]:[Ke]]</f>
        <v>EBITDA Margin</v>
      </c>
      <c r="M13" s="223" t="str">
        <v>Capex Intensity</v>
      </c>
      <c r="N13" s="223" t="str">
        <v>ROCE</v>
      </c>
      <c r="O13" s="223" t="str">
        <v>NPM</v>
      </c>
      <c r="P13" s="223" t="str">
        <v>Revenue CAGR</v>
      </c>
      <c r="Q13" s="223" t="str">
        <v>WACC</v>
      </c>
      <c r="R13" s="223" t="str">
        <v>Ke</v>
      </c>
      <c r="S13" s="223" t="s">
        <v>415</v>
      </c>
      <c r="T13" s="223" t="s">
        <v>416</v>
      </c>
      <c r="U13" s="223" t="s">
        <v>417</v>
      </c>
      <c r="V13" s="223" t="s">
        <v>418</v>
      </c>
      <c r="W13" s="223" t="s">
        <v>419</v>
      </c>
      <c r="X13" s="223" t="s">
        <v>420</v>
      </c>
      <c r="Y13" s="223" t="s">
        <v>421</v>
      </c>
      <c r="Z13" s="223" t="s">
        <v>341</v>
      </c>
      <c r="AA13" s="223" t="s">
        <v>422</v>
      </c>
      <c r="AB13" s="223" t="s">
        <v>423</v>
      </c>
      <c r="AC13" s="223" t="s">
        <v>424</v>
      </c>
      <c r="AD13" s="223" t="s">
        <v>425</v>
      </c>
      <c r="AE13" s="223" t="s">
        <v>426</v>
      </c>
      <c r="AF13" s="223" t="s">
        <v>427</v>
      </c>
      <c r="AG13" s="223" t="s">
        <v>428</v>
      </c>
      <c r="AH13" s="224" t="s">
        <v>330</v>
      </c>
    </row>
    <row r="14" spans="1:48" x14ac:dyDescent="0.3">
      <c r="A14" s="132" t="s">
        <v>33</v>
      </c>
      <c r="B14" s="148">
        <f>(AVERAGE([20]DCF!$B$4:$G$4,[20]DCF!$J$4:$O$4,[20]DCF!$R$4:$W$4,[20]DCF!$Z$4:$AE$4,[20]DCF!$AH$4:$AM$4,[20]DCF!$AP$4:$AU$4)+AVERAGE([20]DCF!$B$6:$G$6,[20]DCF!$J$6:$O$6,[20]DCF!$R$6:$W$6,[20]DCF!$Z$6:$AE$6,[20]DCF!$AH$6:$AM$6,[20]DCF!$AP$6:$AU$6))/AVERAGE([20]DCF!$B$3:$G$3,[20]DCF!$J$3:$O$3,[20]DCF!$R$3:$W$3,[20]DCF!$Z$3:$AE$3,[20]DCF!$AH$3:$AM$3,[20]DCF!$AP$3:$AU$3)</f>
        <v>0.11350051091858693</v>
      </c>
      <c r="C14" s="148">
        <f>'USI-2'!BA2</f>
        <v>0.12184049490573057</v>
      </c>
      <c r="D14" s="148">
        <f>'US-1'!O2</f>
        <v>2.0495797521605965</v>
      </c>
      <c r="E14" s="148">
        <f>AVERAGE([20]DCF!$B$5:$G$5,[20]DCF!$J$5:$O$5,[20]DCF!$R$5:$W$5,[20]DCF!$Z$5:$AE$5,[20]DCF!$AH$5:$AM$5,[20]DCF!$AP$5:$AU$5)/AVERAGE([20]DCF!$B$3:$G$3,[20]DCF!$J$3:$O$3,[20]DCF!$R$3:$W$3,[20]DCF!$Z$3:$AE$3,[20]DCF!$AH$3:$AM$3,[20]DCF!$AP$3:$AU$3)</f>
        <v>5.0208821930662922E-2</v>
      </c>
      <c r="F14" s="148">
        <f>[20]Calc!$D$36</f>
        <v>7.4359630911576116E-2</v>
      </c>
      <c r="G14" s="148">
        <f>'USI-2'!AW2</f>
        <v>5.856410336051978E-2</v>
      </c>
      <c r="H14" s="148">
        <f>'USI-2'!AS2</f>
        <v>9.1313575466666685E-2</v>
      </c>
      <c r="I14" s="183">
        <f>AH14</f>
        <v>0.81188367202367673</v>
      </c>
      <c r="K14" s="11" t="str" cm="1">
        <f t="array" ref="K14:K23">US_FSI_Forecast[Sector]</f>
        <v>Automotive</v>
      </c>
      <c r="L14" s="187">
        <v>0.11350051091858693</v>
      </c>
      <c r="M14" s="187">
        <v>0.12184049490573057</v>
      </c>
      <c r="N14" s="187">
        <v>2.0495797521605965</v>
      </c>
      <c r="O14" s="187">
        <v>5.0208821930662922E-2</v>
      </c>
      <c r="P14" s="187">
        <v>7.4359630911576116E-2</v>
      </c>
      <c r="Q14" s="187">
        <v>5.856410336051978E-2</v>
      </c>
      <c r="R14" s="187">
        <v>9.1313575466666685E-2</v>
      </c>
      <c r="S14" s="187">
        <f>(L14-MIN($L$14:$L$23))/(MAX($L$14:$L$23)-MIN($L$14:$L$23))</f>
        <v>1.3506161643315553E-2</v>
      </c>
      <c r="T14" s="187">
        <f>(M14-MIN($M$14:$M$23))/(MAX($M$14:$M$23)-MIN($M$14:$M$23))</f>
        <v>0.26465917410963768</v>
      </c>
      <c r="U14" s="187">
        <f>(N14-MIN($N$14:$N$23))/(MAX($N$14:$N$23)-MIN($N$14:$N$23))</f>
        <v>0.50123022068390588</v>
      </c>
      <c r="V14" s="187">
        <f>(O14-MIN($O$14:$O$23))/(MAX($O$14:$O$23)-MIN($O$14:$O$23))</f>
        <v>0</v>
      </c>
      <c r="W14" s="187">
        <f>(P14-MIN($P$14:$P$23))/(MAX($P$14:$P$23)-MIN($P$14:$P$23))</f>
        <v>1</v>
      </c>
      <c r="X14" s="187">
        <f>(Q14-MIN($Q$14:$Q$23))/(MAX($Q$14:$Q$23)-MIN($Q$14:$Q$23))</f>
        <v>0.29646323990726658</v>
      </c>
      <c r="Y14" s="187">
        <f>(R14-MIN($R$14:$R$23))/(MAX($R$14:$R$23)-MIN($R$14:$R$23))</f>
        <v>1</v>
      </c>
      <c r="Z14" s="102">
        <f>SUM(S14:Y14)</f>
        <v>3.0758587963441255</v>
      </c>
      <c r="AA14" s="187">
        <f>S14/$Z$14</f>
        <v>4.3910213496694247E-3</v>
      </c>
      <c r="AB14" s="187">
        <f t="shared" ref="AB14:AG14" si="20">T14/$Z$14</f>
        <v>8.6043993444758812E-2</v>
      </c>
      <c r="AC14" s="187">
        <f t="shared" si="20"/>
        <v>0.16295618683135041</v>
      </c>
      <c r="AD14" s="187">
        <f t="shared" si="20"/>
        <v>0</v>
      </c>
      <c r="AE14" s="187">
        <f t="shared" si="20"/>
        <v>0.32511245353283785</v>
      </c>
      <c r="AF14" s="187">
        <f t="shared" si="20"/>
        <v>9.6383891308545758E-2</v>
      </c>
      <c r="AG14" s="187">
        <f t="shared" si="20"/>
        <v>0.32511245353283785</v>
      </c>
      <c r="AH14" s="187">
        <f>(S14*AA14)+(T14*AB14)+(U14*AC14)+(V14*AD14)+(W14*AE14)+(X14*AF14)+(X14*AF14)+(Y14*AG14)</f>
        <v>0.81188367202367673</v>
      </c>
    </row>
    <row r="15" spans="1:48" x14ac:dyDescent="0.3">
      <c r="A15" s="132" t="s">
        <v>40</v>
      </c>
      <c r="B15" s="148">
        <f>(AVERAGE([22]DCF!$B$4:$G$4,[22]DCF!$J$4:$O$4,[22]DCF!$R$4:$W$4,[22]DCF!$Z$4:$AE$4,[22]DCF!$AH$4:$AM$4)+AVERAGE([22]DCF!$B$6:$G$6,[22]DCF!$J$6:$O$6,[22]DCF!$R$6:$W$6,[22]DCF!$Z$6:$AE$6,[22]DCF!$AH$6:$AM$6))/AVERAGE([22]DCF!$B$3:$G$3,[22]DCF!$J$3:$O$3,[22]DCF!$R$3:$W$3,[22]DCF!$Z$3:$AE$3,[22]DCF!$AH$3:$AM$3)</f>
        <v>0.14099580841231518</v>
      </c>
      <c r="C15" s="148">
        <f>'USI-2'!BA4</f>
        <v>2.8392928970223295E-2</v>
      </c>
      <c r="D15" s="148">
        <f>'US-1'!O4</f>
        <v>2.5423157398735712</v>
      </c>
      <c r="E15" s="148">
        <f>AVERAGE([22]DCF!$B$5:$G$5,[22]DCF!$J$5:$O$5,[22]DCF!$R$5:$W$5,[22]DCF!$Z$5:$AE$5,[22]DCF!$AH$5:$AM$5)/AVERAGE([22]DCF!$B$3:$G$3,[22]DCF!$J$3:$O$3,[22]DCF!$R$3:$W$3,[22]DCF!$Z$3:$AE$3,[22]DCF!$AH$3:$AM$3)</f>
        <v>7.7435664322219364E-2</v>
      </c>
      <c r="F15" s="148">
        <f>[22]Calc!$D$31</f>
        <v>3.1815083712192702E-2</v>
      </c>
      <c r="G15" s="148">
        <f>'USI-2'!AW4</f>
        <v>5.6836775554673036E-2</v>
      </c>
      <c r="H15" s="148">
        <f>'USI-2'!AS4</f>
        <v>6.0910367280000002E-2</v>
      </c>
      <c r="I15" s="183">
        <f t="shared" ref="I15:I23" si="21">AH15</f>
        <v>0.47535110341934406</v>
      </c>
      <c r="K15" s="11" t="str">
        <v>Defence</v>
      </c>
      <c r="L15" s="187">
        <v>0.14099580841231518</v>
      </c>
      <c r="M15" s="187">
        <v>2.8392928970223295E-2</v>
      </c>
      <c r="N15" s="187">
        <v>2.5423157398735712</v>
      </c>
      <c r="O15" s="187">
        <v>7.7435664322219364E-2</v>
      </c>
      <c r="P15" s="187">
        <v>3.1815083712192702E-2</v>
      </c>
      <c r="Q15" s="187">
        <v>5.6836775554673036E-2</v>
      </c>
      <c r="R15" s="187">
        <v>6.0910367280000002E-2</v>
      </c>
      <c r="S15" s="187">
        <f t="shared" ref="S15:S23" si="22">(L15-MIN($L$14:$L$23))/(MAX($L$14:$L$23)-MIN($L$14:$L$23))</f>
        <v>6.6353689771027125E-2</v>
      </c>
      <c r="T15" s="187">
        <f t="shared" ref="T15:T23" si="23">(M15-MIN($M$14:$M$23))/(MAX($M$14:$M$23)-MIN($M$14:$M$23))</f>
        <v>2.4298780531570186E-3</v>
      </c>
      <c r="U15" s="187">
        <f t="shared" ref="U15:U23" si="24">(N15-MIN($N$14:$N$23))/(MAX($N$14:$N$23)-MIN($N$14:$N$23))</f>
        <v>0.64654506545439094</v>
      </c>
      <c r="V15" s="187">
        <f t="shared" ref="V15:V23" si="25">(O15-MIN($O$14:$O$23))/(MAX($O$14:$O$23)-MIN($O$14:$O$23))</f>
        <v>8.6220158712296602E-2</v>
      </c>
      <c r="W15" s="187">
        <f t="shared" ref="W15:W23" si="26">(P15-MIN($P$14:$P$23))/(MAX($P$14:$P$23)-MIN($P$14:$P$23))</f>
        <v>0.36712212224048235</v>
      </c>
      <c r="X15" s="187">
        <f t="shared" ref="X15:X23" si="27">(Q15-MIN($Q$14:$Q$23))/(MAX($Q$14:$Q$23)-MIN($Q$14:$Q$23))</f>
        <v>0.22883006030603809</v>
      </c>
      <c r="Y15" s="187">
        <f t="shared" ref="Y15:Y23" si="28">(R15-MIN($R$14:$R$23))/(MAX($R$14:$R$23)-MIN($R$14:$R$23))</f>
        <v>1.0904524827069485E-2</v>
      </c>
      <c r="Z15" s="102">
        <f t="shared" ref="Z15:Z23" si="29">SUM(S15:Y15)</f>
        <v>1.4084054993644615</v>
      </c>
      <c r="AA15" s="187">
        <f>S15/$Z$15</f>
        <v>4.711263183860686E-2</v>
      </c>
      <c r="AB15" s="187">
        <f t="shared" ref="AB15:AG15" si="30">T15/$Z$15</f>
        <v>1.7252687910218282E-3</v>
      </c>
      <c r="AC15" s="187">
        <f t="shared" si="30"/>
        <v>0.45906173026599395</v>
      </c>
      <c r="AD15" s="187">
        <f t="shared" si="30"/>
        <v>6.1218277513971069E-2</v>
      </c>
      <c r="AE15" s="187">
        <f t="shared" si="30"/>
        <v>0.26066507295387942</v>
      </c>
      <c r="AF15" s="187">
        <f t="shared" si="30"/>
        <v>0.16247455751152415</v>
      </c>
      <c r="AG15" s="187">
        <f t="shared" si="30"/>
        <v>7.7424611250027902E-3</v>
      </c>
      <c r="AH15" s="187">
        <f t="shared" ref="AH15:AH23" si="31">(S15*AA15)+(T15*AB15)+(U15*AC15)+(V15*AD15)+(W15*AE15)+(X15*AF15)+(X15*AF15)+(Y15*AG15)</f>
        <v>0.47535110341934406</v>
      </c>
    </row>
    <row r="16" spans="1:48" x14ac:dyDescent="0.3">
      <c r="A16" s="132" t="s">
        <v>43</v>
      </c>
      <c r="B16" s="148">
        <f>(AVERAGE([23]DCF!$B$4:$G$4,[23]DCF!$J$4:$O$4,[23]DCF!$R$4:$W$4,[23]DCF!$Z$4:$AE$4,[23]DCF!$AH$4:$AM$4)+AVERAGE([23]DCF!$B$6:$G$6,[23]DCF!$J$6:$O$6,[23]DCF!$R$6:$W$6,[23]DCF!$Z$6:$AE$6,[23]DCF!$AH$6:$AM$6))/AVERAGE([23]DCF!$B$3:$G$3,[23]DCF!$J$3:$O$3,[23]DCF!$R$3:$W$3,[23]DCF!$Z$3:$AE$3,[23]DCF!$AH$3:$AM$3)</f>
        <v>0.62674952222142544</v>
      </c>
      <c r="C16" s="148">
        <f>'USI-2'!BA5</f>
        <v>0.38388524484724568</v>
      </c>
      <c r="D16" s="148">
        <f>'US-1'!O5</f>
        <v>0.50232486181030911</v>
      </c>
      <c r="E16" s="148">
        <f>AVERAGE([23]DCF!$B$5:$G$5,[23]DCF!$J$5:$O$5,[23]DCF!$R$5:$W$5,[23]DCF!$Z$5:$AE$5,[23]DCF!$AH$5:$AM$5)/AVERAGE([23]DCF!$B$3:$G$3,[23]DCF!$J$3:$O$3,[23]DCF!$R$3:$W$3,[23]DCF!$Z$3:$AE$3,[23]DCF!$AH$3:$AM$3)</f>
        <v>0.36599161331252783</v>
      </c>
      <c r="F16" s="148">
        <f>[23]Calc!$D$31</f>
        <v>3.4196491755730071E-2</v>
      </c>
      <c r="G16" s="148">
        <f>'USI-2'!AW5</f>
        <v>5.1460920727372919E-2</v>
      </c>
      <c r="H16" s="148">
        <f>'USI-2'!AS5</f>
        <v>6.3069788000000002E-2</v>
      </c>
      <c r="I16" s="183">
        <f t="shared" si="21"/>
        <v>0.8940941821638243</v>
      </c>
      <c r="K16" s="11" t="str">
        <v>Energy</v>
      </c>
      <c r="L16" s="187">
        <v>0.62674952222142544</v>
      </c>
      <c r="M16" s="187">
        <v>0.38388524484724568</v>
      </c>
      <c r="N16" s="187">
        <v>0.50232486181030911</v>
      </c>
      <c r="O16" s="187">
        <v>0.36599161331252783</v>
      </c>
      <c r="P16" s="187">
        <v>3.4196491755730071E-2</v>
      </c>
      <c r="Q16" s="187">
        <v>5.1460920727372919E-2</v>
      </c>
      <c r="R16" s="187">
        <v>6.3069788000000002E-2</v>
      </c>
      <c r="S16" s="187">
        <f t="shared" si="22"/>
        <v>1</v>
      </c>
      <c r="T16" s="187">
        <f t="shared" si="23"/>
        <v>1</v>
      </c>
      <c r="U16" s="187">
        <f t="shared" si="24"/>
        <v>4.4922766350779797E-2</v>
      </c>
      <c r="V16" s="187">
        <f t="shared" si="25"/>
        <v>1</v>
      </c>
      <c r="W16" s="187">
        <f t="shared" si="26"/>
        <v>0.40254711951710676</v>
      </c>
      <c r="X16" s="187">
        <f t="shared" si="27"/>
        <v>1.8339524685505839E-2</v>
      </c>
      <c r="Y16" s="187">
        <f t="shared" si="28"/>
        <v>8.1156099925100006E-2</v>
      </c>
      <c r="Z16" s="102">
        <f t="shared" si="29"/>
        <v>3.5469655104784925</v>
      </c>
      <c r="AA16" s="187">
        <f>S16/$Z$16</f>
        <v>0.28193113156747274</v>
      </c>
      <c r="AB16" s="187">
        <f t="shared" ref="AB16:AG16" si="32">T16/$Z$16</f>
        <v>0.28193113156747274</v>
      </c>
      <c r="AC16" s="187">
        <f t="shared" si="32"/>
        <v>1.2665126350416537E-2</v>
      </c>
      <c r="AD16" s="187">
        <f t="shared" si="32"/>
        <v>0.28193113156747274</v>
      </c>
      <c r="AE16" s="187">
        <f t="shared" si="32"/>
        <v>0.11349056491468459</v>
      </c>
      <c r="AF16" s="187">
        <f t="shared" si="32"/>
        <v>5.1704829469942613E-3</v>
      </c>
      <c r="AG16" s="187">
        <f t="shared" si="32"/>
        <v>2.2880431085486336E-2</v>
      </c>
      <c r="AH16" s="187">
        <f t="shared" si="31"/>
        <v>0.8940941821638243</v>
      </c>
    </row>
    <row r="17" spans="1:34" x14ac:dyDescent="0.3">
      <c r="A17" s="132" t="s">
        <v>150</v>
      </c>
      <c r="B17" s="148">
        <f>(AVERAGE([24]DCF!$B$4:$G$4,[24]DCF!$J$4:$O$4,[24]DCF!$R$4:$W$4,[24]DCF!$Z$4:$AE$4,[24]DCF!$AH$4:$AM$4)+AVERAGE([24]DCF!$B$6:$G$6,[24]DCF!$J$6:$O$6,[24]DCF!$R$6:$W$6,[24]DCF!$Z$6:$AE$6,[24]DCF!$AH$6:$AM$6))/AVERAGE([24]DCF!$B$3:$G$3,[24]DCF!$J$3:$O$3,[24]DCF!$R$3:$W$3,[24]DCF!$Z$3:$AE$3,[24]DCF!$AH$3:$AM$3)</f>
        <v>0.10647357994304683</v>
      </c>
      <c r="C17" s="148">
        <f>'USI-2'!BA6</f>
        <v>3.9299974063744386E-2</v>
      </c>
      <c r="D17" s="148">
        <f>'US-1'!O6</f>
        <v>0.35</v>
      </c>
      <c r="E17" s="148">
        <f>AVERAGE([24]DCF!$B$5:$G$5,[24]DCF!$J$5:$O$5,[24]DCF!$R$5:$W$5,[24]DCF!$Z$5:$AE$5,[24]DCF!$AH$5:$AM$5)/AVERAGE([24]DCF!$B$3:$G$3,[24]DCF!$J$3:$O$3,[24]DCF!$R$3:$W$3,[24]DCF!$Z$3:$AE$3,[24]DCF!$AH$3:$AM$3)</f>
        <v>6.4450317986225122E-2</v>
      </c>
      <c r="F17" s="148">
        <f>[24]Calc!$D$31</f>
        <v>4.0407518259497087E-2</v>
      </c>
      <c r="G17" s="148">
        <f>'USI-2'!AW6</f>
        <v>5.6888556996130726E-2</v>
      </c>
      <c r="H17" s="148">
        <f>'USI-2'!AS6</f>
        <v>6.1445651720000008E-2</v>
      </c>
      <c r="I17" s="183">
        <f t="shared" si="21"/>
        <v>0.42713429561295901</v>
      </c>
      <c r="K17" s="11" t="str">
        <v>FMCG &amp; Retail</v>
      </c>
      <c r="L17" s="187">
        <v>0.10647357994304683</v>
      </c>
      <c r="M17" s="187">
        <v>3.9299974063744386E-2</v>
      </c>
      <c r="N17" s="187">
        <v>0.35</v>
      </c>
      <c r="O17" s="187">
        <v>6.4450317986225122E-2</v>
      </c>
      <c r="P17" s="187">
        <v>4.0407518259497087E-2</v>
      </c>
      <c r="Q17" s="187">
        <v>5.6888556996130726E-2</v>
      </c>
      <c r="R17" s="187">
        <v>6.1445651720000008E-2</v>
      </c>
      <c r="S17" s="187">
        <f t="shared" si="22"/>
        <v>0</v>
      </c>
      <c r="T17" s="187">
        <f t="shared" si="23"/>
        <v>3.3036847087580597E-2</v>
      </c>
      <c r="U17" s="187">
        <f t="shared" si="24"/>
        <v>0</v>
      </c>
      <c r="V17" s="187">
        <f t="shared" si="25"/>
        <v>4.5099025166132199E-2</v>
      </c>
      <c r="W17" s="187">
        <f t="shared" si="26"/>
        <v>0.49494018822202301</v>
      </c>
      <c r="X17" s="187">
        <f t="shared" si="27"/>
        <v>0.23085755243478415</v>
      </c>
      <c r="Y17" s="187">
        <f t="shared" si="28"/>
        <v>2.8318720535753628E-2</v>
      </c>
      <c r="Z17" s="102">
        <f t="shared" si="29"/>
        <v>0.83225233344627347</v>
      </c>
      <c r="AA17" s="187">
        <f>S17/$Z$17</f>
        <v>0</v>
      </c>
      <c r="AB17" s="187">
        <f t="shared" ref="AB17:AG17" si="33">T17/$Z$17</f>
        <v>3.9695709774436226E-2</v>
      </c>
      <c r="AC17" s="187">
        <f t="shared" si="33"/>
        <v>0</v>
      </c>
      <c r="AD17" s="187">
        <f t="shared" si="33"/>
        <v>5.4189124324087692E-2</v>
      </c>
      <c r="AE17" s="187">
        <f t="shared" si="33"/>
        <v>0.59469967019800996</v>
      </c>
      <c r="AF17" s="187">
        <f t="shared" si="33"/>
        <v>0.27738889175453096</v>
      </c>
      <c r="AG17" s="187">
        <f t="shared" si="33"/>
        <v>3.4026603948935349E-2</v>
      </c>
      <c r="AH17" s="187">
        <f t="shared" si="31"/>
        <v>0.42713429561295901</v>
      </c>
    </row>
    <row r="18" spans="1:34" x14ac:dyDescent="0.3">
      <c r="A18" s="132" t="s">
        <v>146</v>
      </c>
      <c r="B18" s="148">
        <f>(AVERAGE([25]DCF!$B$4:$G$4,[25]DCF!$J$4:$O$4,[25]DCF!$R$4:$W$4,[25]DCF!$Z$4:$AE$4,[25]DCF!$AH$4:$AM$4)+AVERAGE([25]DCF!$B$6:$G$6,[25]DCF!$J$6:$O$6,[25]DCF!$R$6:$W$6,[25]DCF!$Z$6:$AE$6,[25]DCF!$AH$6:$AM$6))/AVERAGE([25]DCF!$B$3:$G$3,[25]DCF!$J$3:$O$3,[25]DCF!$R$3:$W$3,[25]DCF!$Z$3:$AE$3,[25]DCF!$AH$3:$AM$3)</f>
        <v>0.16636138195244643</v>
      </c>
      <c r="C18" s="148">
        <f>'USI-2'!BA7</f>
        <v>2.7527021945331898E-2</v>
      </c>
      <c r="D18" s="148">
        <f>'US-1'!O7</f>
        <v>2.323317177054089</v>
      </c>
      <c r="E18" s="148">
        <f>AVERAGE([25]DCF!$B$5:$G$5,[25]DCF!$J$5:$O$5,[25]DCF!$R$5:$W$5,[25]DCF!$Z$5:$AE$5,[25]DCF!$AH$5:$AM$5)/AVERAGE([25]DCF!$B$3:$G$3,[25]DCF!$J$3:$O$3,[25]DCF!$R$3:$W$3,[25]DCF!$Z$3:$AE$3,[25]DCF!$AH$3:$AM$3)</f>
        <v>9.9800263723983387E-2</v>
      </c>
      <c r="F18" s="148">
        <f>[25]Calc!$D$31</f>
        <v>3.2395580995385864E-2</v>
      </c>
      <c r="G18" s="148">
        <f>'USI-2'!AW7</f>
        <v>7.5079691740739835E-2</v>
      </c>
      <c r="H18" s="148">
        <f>'USI-2'!AS7</f>
        <v>8.010645956000001E-2</v>
      </c>
      <c r="I18" s="183">
        <f t="shared" si="21"/>
        <v>0.96158011429084023</v>
      </c>
      <c r="K18" s="11" t="str">
        <v>Infrastructure</v>
      </c>
      <c r="L18" s="187">
        <v>0.16636138195244643</v>
      </c>
      <c r="M18" s="187">
        <v>2.7527021945331898E-2</v>
      </c>
      <c r="N18" s="187">
        <v>2.323317177054089</v>
      </c>
      <c r="O18" s="187">
        <v>9.9800263723983387E-2</v>
      </c>
      <c r="P18" s="187">
        <v>3.2395580995385864E-2</v>
      </c>
      <c r="Q18" s="187">
        <v>7.5079691740739835E-2</v>
      </c>
      <c r="R18" s="187">
        <v>8.010645956000001E-2</v>
      </c>
      <c r="S18" s="187">
        <f t="shared" si="22"/>
        <v>0.11510776713437974</v>
      </c>
      <c r="T18" s="187">
        <f t="shared" si="23"/>
        <v>0</v>
      </c>
      <c r="U18" s="187">
        <f t="shared" si="24"/>
        <v>0.58195927721354879</v>
      </c>
      <c r="V18" s="187">
        <f t="shared" si="25"/>
        <v>0.15704288880438483</v>
      </c>
      <c r="W18" s="187">
        <f t="shared" si="26"/>
        <v>0.37575739780025558</v>
      </c>
      <c r="X18" s="187">
        <f t="shared" si="27"/>
        <v>0.9431278459875384</v>
      </c>
      <c r="Y18" s="187">
        <f t="shared" si="28"/>
        <v>0.63540335727188602</v>
      </c>
      <c r="Z18" s="102">
        <f t="shared" si="29"/>
        <v>2.8083985342119933</v>
      </c>
      <c r="AA18" s="187">
        <f>S18/$Z$18</f>
        <v>4.098697735813972E-2</v>
      </c>
      <c r="AB18" s="187">
        <f t="shared" ref="AB18:AG18" si="34">T18/$Z$18</f>
        <v>0</v>
      </c>
      <c r="AC18" s="187">
        <f t="shared" si="34"/>
        <v>0.20722104435111463</v>
      </c>
      <c r="AD18" s="187">
        <f t="shared" si="34"/>
        <v>5.5919018220271711E-2</v>
      </c>
      <c r="AE18" s="187">
        <f t="shared" si="34"/>
        <v>0.13379774744316661</v>
      </c>
      <c r="AF18" s="187">
        <f t="shared" si="34"/>
        <v>0.33582407713802986</v>
      </c>
      <c r="AG18" s="187">
        <f t="shared" si="34"/>
        <v>0.2262511354892775</v>
      </c>
      <c r="AH18" s="187">
        <f t="shared" si="31"/>
        <v>0.96158011429084023</v>
      </c>
    </row>
    <row r="19" spans="1:34" x14ac:dyDescent="0.3">
      <c r="A19" s="132" t="s">
        <v>27</v>
      </c>
      <c r="B19" s="148">
        <f>(AVERAGE([26]DCF!$B$4:$G$4,[26]DCF!$J$4:$O$4,[26]DCF!$R$4:$W$4,[26]DCF!$Z$4:$AE$4,[26]DCF!$AH$4:$AM$4)+AVERAGE([26]DCF!$B$6:$G$6,[26]DCF!$J$6:$O$6,[26]DCF!$R$6:$W$6,[26]DCF!$Z$6:$AE$6,[26]DCF!$AH$6:$AM$6))/AVERAGE([26]DCF!$B$3:$G$3,[26]DCF!$J$3:$O$3,[26]DCF!$R$3:$W$3,[26]DCF!$Z$3:$AE$3,[26]DCF!$AH$3:$AM$3)</f>
        <v>0.38970039031080317</v>
      </c>
      <c r="C19" s="148">
        <f>'USI-2'!BA8</f>
        <v>8.8067347920807657E-2</v>
      </c>
      <c r="D19" s="148">
        <f>'US-1'!O8</f>
        <v>2.6943665706282287</v>
      </c>
      <c r="E19" s="148">
        <f>AVERAGE([26]DCF!$B$5:$G$5,[26]DCF!$J$5:$O$5,[26]DCF!$R$5:$W$5,[26]DCF!$Z$5:$AE$5,[26]DCF!$AH$5:$AM$5)/AVERAGE([26]DCF!$B$3:$G$3,[26]DCF!$J$3:$O$3,[26]DCF!$R$3:$W$3,[26]DCF!$Z$3:$AE$3,[26]DCF!$AH$3:$AM$3)</f>
        <v>0.25043848190170376</v>
      </c>
      <c r="F19" s="148">
        <f>[26]Calc!$D$31</f>
        <v>7.0341074345790622E-2</v>
      </c>
      <c r="G19" s="148">
        <f>'USI-2'!AW8</f>
        <v>7.6532186708200139E-2</v>
      </c>
      <c r="H19" s="148">
        <f>'USI-2'!AS8</f>
        <v>7.8239566199999999E-2</v>
      </c>
      <c r="I19" s="183">
        <f t="shared" si="21"/>
        <v>0.97034208487482143</v>
      </c>
      <c r="K19" s="11" t="str">
        <v>IT</v>
      </c>
      <c r="L19" s="187">
        <v>0.38970039031080317</v>
      </c>
      <c r="M19" s="187">
        <v>8.8067347920807657E-2</v>
      </c>
      <c r="N19" s="187">
        <v>2.6943665706282287</v>
      </c>
      <c r="O19" s="187">
        <v>0.25043848190170376</v>
      </c>
      <c r="P19" s="187">
        <v>7.0341074345790622E-2</v>
      </c>
      <c r="Q19" s="187">
        <v>7.6532186708200139E-2</v>
      </c>
      <c r="R19" s="187">
        <v>7.8239566199999999E-2</v>
      </c>
      <c r="S19" s="187">
        <f t="shared" si="22"/>
        <v>0.54437806431613389</v>
      </c>
      <c r="T19" s="187">
        <f t="shared" si="23"/>
        <v>0.16988614850102463</v>
      </c>
      <c r="U19" s="187">
        <f t="shared" si="24"/>
        <v>0.69138701615275788</v>
      </c>
      <c r="V19" s="187">
        <f t="shared" si="25"/>
        <v>0.63407400731001262</v>
      </c>
      <c r="W19" s="187">
        <f t="shared" si="26"/>
        <v>0.94022135106781068</v>
      </c>
      <c r="X19" s="187">
        <f t="shared" si="27"/>
        <v>1</v>
      </c>
      <c r="Y19" s="187">
        <f t="shared" si="28"/>
        <v>0.57466845838657044</v>
      </c>
      <c r="Z19" s="102">
        <f t="shared" si="29"/>
        <v>4.5546150457343106</v>
      </c>
      <c r="AA19" s="187">
        <f>S19/$Z$19</f>
        <v>0.11952229965647237</v>
      </c>
      <c r="AB19" s="187">
        <f t="shared" ref="AB19:AG19" si="35">T19/$Z$19</f>
        <v>3.7299782044178227E-2</v>
      </c>
      <c r="AC19" s="187">
        <f t="shared" si="35"/>
        <v>0.15179922105607721</v>
      </c>
      <c r="AD19" s="187">
        <f t="shared" si="35"/>
        <v>0.13921571876944103</v>
      </c>
      <c r="AE19" s="187">
        <f t="shared" si="35"/>
        <v>0.20643267139522326</v>
      </c>
      <c r="AF19" s="187">
        <f t="shared" si="35"/>
        <v>0.21955752351377406</v>
      </c>
      <c r="AG19" s="187">
        <f t="shared" si="35"/>
        <v>0.12617278356483372</v>
      </c>
      <c r="AH19" s="187">
        <f t="shared" si="31"/>
        <v>0.97034208487482143</v>
      </c>
    </row>
    <row r="20" spans="1:34" x14ac:dyDescent="0.3">
      <c r="A20" s="132" t="s">
        <v>148</v>
      </c>
      <c r="B20" s="148">
        <f>(AVERAGE([27]DCF!$B$4:$G$4,[27]DCF!$J$4:$O$4,[27]DCF!$R$4:$W$4,[27]DCF!$Z$4:$AE$4,[27]DCF!$AH$4:$AM$4,[27]DCF!$AP$4:$AU$4)+AVERAGE([27]DCF!$B$6:$G$6,[27]DCF!$J$6:$O$6,[27]DCF!$R$6:$W$6,[27]DCF!$Z$6:$AE$6,[27]DCF!$AH$6:$AM$6,[27]DCF!$AP$6:$AU$6))/AVERAGE([27]DCF!$B$3:$G$3,[27]DCF!$J$3:$O$3,[27]DCF!$R$3:$W$3,[27]DCF!$Z$3:$AE$3,[27]DCF!$AH$3:$AM$3,[27]DCF!$AP$3:$AU$3)</f>
        <v>0.28924549562893404</v>
      </c>
      <c r="C20" s="148">
        <f>'USI-2'!BA9</f>
        <v>9.0208227623966727E-2</v>
      </c>
      <c r="D20" s="148">
        <f>'US-1'!O9</f>
        <v>2.4293572904622245</v>
      </c>
      <c r="E20" s="148">
        <f>AVERAGE([27]DCF!$B$5:$G$5,[27]DCF!$J$5:$O$5,[27]DCF!$R$5:$W$5,[27]DCF!$Z$5:$AE$5,[27]DCF!$AH$5:$AM$5,[27]DCF!$AP$5:$AU$5)/AVERAGE([27]DCF!$B$3:$G$3,[27]DCF!$J$3:$O$3,[27]DCF!$R$3:$W$3,[27]DCF!$Z$3:$AE$3,[27]DCF!$AH$3:$AM$3,[27]DCF!$AP$3:$AU$3)</f>
        <v>0.16458030040673316</v>
      </c>
      <c r="F20" s="148">
        <f>[27]Calc!$D$36</f>
        <v>6.3739524514394907E-2</v>
      </c>
      <c r="G20" s="148">
        <f>'USI-2'!AW9</f>
        <v>6.7844056993168339E-2</v>
      </c>
      <c r="H20" s="148">
        <f>'USI-2'!AS9</f>
        <v>8.3261455166666665E-2</v>
      </c>
      <c r="I20" s="183">
        <f t="shared" si="21"/>
        <v>0.74442543421231022</v>
      </c>
      <c r="K20" s="11" t="str">
        <v>Minerals</v>
      </c>
      <c r="L20" s="187">
        <v>0.28924549562893404</v>
      </c>
      <c r="M20" s="187">
        <v>9.0208227623966727E-2</v>
      </c>
      <c r="N20" s="187">
        <v>2.4293572904622245</v>
      </c>
      <c r="O20" s="187">
        <v>0.16458030040673316</v>
      </c>
      <c r="P20" s="187">
        <v>6.3739524514394907E-2</v>
      </c>
      <c r="Q20" s="187">
        <v>6.7844056993168339E-2</v>
      </c>
      <c r="R20" s="187">
        <v>8.3261455166666665E-2</v>
      </c>
      <c r="S20" s="187">
        <f t="shared" si="22"/>
        <v>0.35129803404996446</v>
      </c>
      <c r="T20" s="187">
        <f t="shared" si="23"/>
        <v>0.17589381035803289</v>
      </c>
      <c r="U20" s="187">
        <f t="shared" si="24"/>
        <v>0.61323201353400592</v>
      </c>
      <c r="V20" s="187">
        <f t="shared" si="25"/>
        <v>0.36218401254729826</v>
      </c>
      <c r="W20" s="187">
        <f t="shared" si="26"/>
        <v>0.84201899325124963</v>
      </c>
      <c r="X20" s="187">
        <f t="shared" si="27"/>
        <v>0.65981799434562527</v>
      </c>
      <c r="Y20" s="187">
        <f t="shared" si="28"/>
        <v>0.73804357404062149</v>
      </c>
      <c r="Z20" s="102">
        <f t="shared" si="29"/>
        <v>3.7424884321267982</v>
      </c>
      <c r="AA20" s="187">
        <f>S20/$Z$20</f>
        <v>9.3867500306561324E-2</v>
      </c>
      <c r="AB20" s="187">
        <f t="shared" ref="AB20:AG20" si="36">T20/$Z$20</f>
        <v>4.6999159395684532E-2</v>
      </c>
      <c r="AC20" s="187">
        <f t="shared" si="36"/>
        <v>0.16385675591400978</v>
      </c>
      <c r="AD20" s="187">
        <f t="shared" si="36"/>
        <v>9.6776254386837124E-2</v>
      </c>
      <c r="AE20" s="187">
        <f t="shared" si="36"/>
        <v>0.22498907037976956</v>
      </c>
      <c r="AF20" s="187">
        <f t="shared" si="36"/>
        <v>0.17630461825386617</v>
      </c>
      <c r="AG20" s="187">
        <f t="shared" si="36"/>
        <v>0.19720664136327143</v>
      </c>
      <c r="AH20" s="187">
        <f t="shared" si="31"/>
        <v>0.74442543421231022</v>
      </c>
    </row>
    <row r="21" spans="1:34" x14ac:dyDescent="0.3">
      <c r="A21" s="132" t="s">
        <v>147</v>
      </c>
      <c r="B21" s="148">
        <f>(AVERAGE([28]DCF!$B$4:$G$4,[28]DCF!$J$4:$O$4,[28]DCF!$R$4:$W$4,[28]DCF!$Z$4:$AE$4,[28]DCF!$AH$4:$AM$4)+AVERAGE([28]DCF!$B$6:$G$6,[28]DCF!$J$6:$O$6,[28]DCF!$R$6:$W$6,[28]DCF!$Z$6:$AE$6,[28]DCF!$AH$6:$AM$6))/AVERAGE([28]DCF!$B$3:$G$3,[28]DCF!$J$3:$O$3,[28]DCF!$R$3:$W$3,[28]DCF!$Z$3:$AE$3,[28]DCF!$AH$3:$AM$3)</f>
        <v>0.26590714473781024</v>
      </c>
      <c r="C21" s="148">
        <f>'USI-2'!BA10</f>
        <v>6.501185327003664E-2</v>
      </c>
      <c r="D21" s="148">
        <f>'US-1'!O10</f>
        <v>1.2060376709368792</v>
      </c>
      <c r="E21" s="148">
        <f>AVERAGE([28]DCF!$B$5:$G$5,[28]DCF!$J$5:$O$5,[28]DCF!$R$5:$W$5,[28]DCF!$Z$5:$AE$5,[28]DCF!$AH$5:$AM$5)/AVERAGE([28]DCF!$B$3:$G$3,[28]DCF!$J$3:$O$3,[28]DCF!$R$3:$W$3,[28]DCF!$Z$3:$AE$3,[28]DCF!$AH$3:$AM$3)</f>
        <v>0.15251977800524052</v>
      </c>
      <c r="F21" s="148">
        <f>[28]Calc!$D$31</f>
        <v>4.837892064557394E-2</v>
      </c>
      <c r="G21" s="148">
        <f>'USI-2'!AW10</f>
        <v>6.1160360509731129E-2</v>
      </c>
      <c r="H21" s="148">
        <f>'USI-2'!AS10</f>
        <v>6.9167155159999993E-2</v>
      </c>
      <c r="I21" s="183">
        <f t="shared" si="21"/>
        <v>0.45857955013268653</v>
      </c>
      <c r="K21" s="11" t="str">
        <v>Oil &amp; Gas</v>
      </c>
      <c r="L21" s="187">
        <v>0.26590714473781024</v>
      </c>
      <c r="M21" s="187">
        <v>6.501185327003664E-2</v>
      </c>
      <c r="N21" s="187">
        <v>1.2060376709368792</v>
      </c>
      <c r="O21" s="187">
        <v>0.15251977800524052</v>
      </c>
      <c r="P21" s="187">
        <v>4.837892064557394E-2</v>
      </c>
      <c r="Q21" s="187">
        <v>6.1160360509731129E-2</v>
      </c>
      <c r="R21" s="187">
        <v>6.9167155159999993E-2</v>
      </c>
      <c r="S21" s="187">
        <f t="shared" si="22"/>
        <v>0.30644039410428275</v>
      </c>
      <c r="T21" s="187">
        <f t="shared" si="23"/>
        <v>0.10518862457966152</v>
      </c>
      <c r="U21" s="187">
        <f t="shared" si="24"/>
        <v>0.25245767382905659</v>
      </c>
      <c r="V21" s="187">
        <f t="shared" si="25"/>
        <v>0.32399155009956382</v>
      </c>
      <c r="W21" s="187">
        <f t="shared" si="26"/>
        <v>0.61351999590512341</v>
      </c>
      <c r="X21" s="187">
        <f t="shared" si="27"/>
        <v>0.39811917659121759</v>
      </c>
      <c r="Y21" s="187">
        <f t="shared" si="28"/>
        <v>0.279519319733885</v>
      </c>
      <c r="Z21" s="102">
        <f t="shared" si="29"/>
        <v>2.2792367348427907</v>
      </c>
      <c r="AA21" s="187">
        <f>S21/$Z$21</f>
        <v>0.13444869039697158</v>
      </c>
      <c r="AB21" s="187">
        <f t="shared" ref="AB21:AG21" si="37">T21/$Z$21</f>
        <v>4.6150811353484464E-2</v>
      </c>
      <c r="AC21" s="187">
        <f t="shared" si="37"/>
        <v>0.11076412992548128</v>
      </c>
      <c r="AD21" s="187">
        <f t="shared" si="37"/>
        <v>0.14214914367897419</v>
      </c>
      <c r="AE21" s="187">
        <f t="shared" si="37"/>
        <v>0.26917782893115783</v>
      </c>
      <c r="AF21" s="187">
        <f t="shared" si="37"/>
        <v>0.17467214813852044</v>
      </c>
      <c r="AG21" s="187">
        <f t="shared" si="37"/>
        <v>0.12263724757541025</v>
      </c>
      <c r="AH21" s="187">
        <f t="shared" si="31"/>
        <v>0.45857955013268653</v>
      </c>
    </row>
    <row r="22" spans="1:34" x14ac:dyDescent="0.3">
      <c r="A22" s="132" t="s">
        <v>145</v>
      </c>
      <c r="B22" s="148">
        <f>(AVERAGE([29]DCF!$B$4:$G$4,[29]DCF!$J$4:$O$4,[29]DCF!$R$4:$W$4,[29]DCF!$Z$4:$AE$4,[29]DCF!$AH$4:$AM$4)+AVERAGE([29]DCF!$B$6:$G$6,[29]DCF!$J$6:$O$6,[29]DCF!$R$6:$W$6,[29]DCF!$Z$6:$AE$6,[29]DCF!$AH$6:$AM$6))/AVERAGE([29]DCF!$B$3:$G$3,[29]DCF!$J$3:$O$3,[29]DCF!$R$3:$W$3,[29]DCF!$Z$3:$AE$3,[29]DCF!$AH$3:$AM$3)</f>
        <v>0.32123953701332975</v>
      </c>
      <c r="C22" s="148">
        <f>'USI-2'!BA11</f>
        <v>5.5160086080215297E-2</v>
      </c>
      <c r="D22" s="148">
        <f>'US-1'!O11</f>
        <v>3.7408165988906199</v>
      </c>
      <c r="E22" s="148">
        <f>AVERAGE([29]DCF!$B$5:$G$5,[29]DCF!$J$5:$O$5,[29]DCF!$R$5:$W$5,[29]DCF!$Z$5:$AE$5,[29]DCF!$AH$5:$AM$5)/AVERAGE([29]DCF!$B$3:$G$3,[29]DCF!$J$3:$O$3,[29]DCF!$R$3:$W$3,[29]DCF!$Z$3:$AE$3,[29]DCF!$AH$3:$AM$3)</f>
        <v>0.1902366523075964</v>
      </c>
      <c r="F22" s="148">
        <f>[29]Calc!$D$31</f>
        <v>5.7409506245921761E-2</v>
      </c>
      <c r="G22" s="148">
        <f>'USI-2'!AW11</f>
        <v>5.4277283207946857E-2</v>
      </c>
      <c r="H22" s="148">
        <f>'USI-2'!AS11</f>
        <v>6.0575179680000008E-2</v>
      </c>
      <c r="I22" s="183">
        <f t="shared" si="21"/>
        <v>0.69937646517239804</v>
      </c>
      <c r="K22" s="11" t="str">
        <v>Pharma</v>
      </c>
      <c r="L22" s="187">
        <v>0.32123953701332975</v>
      </c>
      <c r="M22" s="187">
        <v>5.5160086080215297E-2</v>
      </c>
      <c r="N22" s="187">
        <v>3.7408165988906199</v>
      </c>
      <c r="O22" s="187">
        <v>0.1902366523075964</v>
      </c>
      <c r="P22" s="187">
        <v>5.7409506245921761E-2</v>
      </c>
      <c r="Q22" s="187">
        <v>5.4277283207946857E-2</v>
      </c>
      <c r="R22" s="187">
        <v>6.0575179680000008E-2</v>
      </c>
      <c r="S22" s="187">
        <f t="shared" si="22"/>
        <v>0.41279240421877961</v>
      </c>
      <c r="T22" s="187">
        <f t="shared" si="23"/>
        <v>7.7542939545102885E-2</v>
      </c>
      <c r="U22" s="187">
        <f t="shared" si="24"/>
        <v>1</v>
      </c>
      <c r="V22" s="187">
        <f t="shared" si="25"/>
        <v>0.44343084613373623</v>
      </c>
      <c r="W22" s="187">
        <f t="shared" si="26"/>
        <v>0.74785584446614939</v>
      </c>
      <c r="X22" s="187">
        <f t="shared" si="27"/>
        <v>0.12861364221321189</v>
      </c>
      <c r="Y22" s="187">
        <f t="shared" si="28"/>
        <v>0</v>
      </c>
      <c r="Z22" s="102">
        <f t="shared" si="29"/>
        <v>2.8102356765769798</v>
      </c>
      <c r="AA22" s="187">
        <f>S22/$Z$22</f>
        <v>0.14688889179628636</v>
      </c>
      <c r="AB22" s="187">
        <f t="shared" ref="AB22:AG22" si="38">T22/$Z$22</f>
        <v>2.7593037904761926E-2</v>
      </c>
      <c r="AC22" s="187">
        <f t="shared" si="38"/>
        <v>0.3558420414112935</v>
      </c>
      <c r="AD22" s="187">
        <f t="shared" si="38"/>
        <v>0.15779133751296587</v>
      </c>
      <c r="AE22" s="187">
        <f t="shared" si="38"/>
        <v>0.26611855037620141</v>
      </c>
      <c r="AF22" s="187">
        <f t="shared" si="38"/>
        <v>4.576614099849103E-2</v>
      </c>
      <c r="AG22" s="187">
        <f t="shared" si="38"/>
        <v>0</v>
      </c>
      <c r="AH22" s="187">
        <f t="shared" si="31"/>
        <v>0.69937646517239804</v>
      </c>
    </row>
    <row r="23" spans="1:34" x14ac:dyDescent="0.3">
      <c r="A23" s="132" t="s">
        <v>149</v>
      </c>
      <c r="B23" s="148">
        <f>(AVERAGE([30]DCF!$B$4:$G$4,[30]DCF!$J$4:$O$4,[30]DCF!$R$4:$W$4,[30]DCF!$Z$4:$AE$4,[30]DCF!$AH$4:$AM$4)+AVERAGE([30]DCF!$B$6:$G$6,[30]DCF!$J$6:$O$6,[30]DCF!$R$6:$W$6,[30]DCF!$Z$6:$AE$6,[30]DCF!$AH$6:$AM$6))/AVERAGE([30]DCF!$B$3:$G$3,[30]DCF!$J$3:$O$3,[30]DCF!$R$3:$W$3,[30]DCF!$Z$3:$AE$3,[30]DCF!$AH$3:$AM$3)</f>
        <v>0.45370648759662319</v>
      </c>
      <c r="C23" s="148">
        <f>'USI-2'!BA12</f>
        <v>0.13827726064606383</v>
      </c>
      <c r="D23" s="148">
        <f>'US-1'!O12</f>
        <v>0.8244819399711304</v>
      </c>
      <c r="E23" s="148">
        <f>AVERAGE([30]DCF!$B$5:$G$5,[30]DCF!$J$5:$O$5,[30]DCF!$R$5:$W$5,[30]DCF!$Z$5:$AE$5,[30]DCF!$AH$5:$AM$5)/AVERAGE([30]DCF!$B$3:$G$3,[30]DCF!$J$3:$O$3,[30]DCF!$R$3:$W$3,[30]DCF!$Z$3:$AE$3,[30]DCF!$AH$3:$AM$3)</f>
        <v>0.23797258359312734</v>
      </c>
      <c r="F23" s="148">
        <f>[30]Calc!$D$31</f>
        <v>7.135686617619319E-3</v>
      </c>
      <c r="G23" s="148">
        <f>'USI-2'!AW12</f>
        <v>5.0992535666636966E-2</v>
      </c>
      <c r="H23" s="148">
        <f>'USI-2'!AS12</f>
        <v>6.6470926420000007E-2</v>
      </c>
      <c r="I23" s="183">
        <f t="shared" si="21"/>
        <v>0.49982573150908838</v>
      </c>
      <c r="K23" s="11" t="str">
        <v>Telecom</v>
      </c>
      <c r="L23" s="187">
        <v>0.45370648759662319</v>
      </c>
      <c r="M23" s="187">
        <v>0.13827726064606383</v>
      </c>
      <c r="N23" s="187">
        <v>0.8244819399711304</v>
      </c>
      <c r="O23" s="187">
        <v>0.23797258359312734</v>
      </c>
      <c r="P23" s="187">
        <v>7.135686617619319E-3</v>
      </c>
      <c r="Q23" s="187">
        <v>5.0992535666636966E-2</v>
      </c>
      <c r="R23" s="187">
        <v>6.6470926420000007E-2</v>
      </c>
      <c r="S23" s="187">
        <f t="shared" si="22"/>
        <v>0.66740142958173931</v>
      </c>
      <c r="T23" s="187">
        <f t="shared" si="23"/>
        <v>0.31078345210856972</v>
      </c>
      <c r="U23" s="187">
        <f t="shared" si="24"/>
        <v>0.13993146669341172</v>
      </c>
      <c r="V23" s="187">
        <f t="shared" si="25"/>
        <v>0.59459782732558197</v>
      </c>
      <c r="W23" s="187">
        <f t="shared" si="26"/>
        <v>0</v>
      </c>
      <c r="X23" s="187">
        <f t="shared" si="27"/>
        <v>0</v>
      </c>
      <c r="Y23" s="187">
        <f t="shared" si="28"/>
        <v>0.19180398290522965</v>
      </c>
      <c r="Z23" s="102">
        <f t="shared" si="29"/>
        <v>1.9045181586145323</v>
      </c>
      <c r="AA23" s="187">
        <f>S23/$Z$23</f>
        <v>0.35043059398669613</v>
      </c>
      <c r="AB23" s="187">
        <f t="shared" ref="AB23:AG23" si="39">T23/$Z$23</f>
        <v>0.16318219424836222</v>
      </c>
      <c r="AC23" s="187">
        <f t="shared" si="39"/>
        <v>7.3473422167424626E-2</v>
      </c>
      <c r="AD23" s="187">
        <f t="shared" si="39"/>
        <v>0.31220381104590267</v>
      </c>
      <c r="AE23" s="187">
        <f t="shared" si="39"/>
        <v>0</v>
      </c>
      <c r="AF23" s="187">
        <f t="shared" si="39"/>
        <v>0</v>
      </c>
      <c r="AG23" s="187">
        <f t="shared" si="39"/>
        <v>0.10070997855161437</v>
      </c>
      <c r="AH23" s="187">
        <f t="shared" si="31"/>
        <v>0.49982573150908838</v>
      </c>
    </row>
    <row r="25" spans="1:34" s="3" customFormat="1" x14ac:dyDescent="0.3">
      <c r="A25" s="103" t="s">
        <v>71</v>
      </c>
      <c r="B25" s="103" t="s">
        <v>368</v>
      </c>
      <c r="C25" s="103" t="s">
        <v>369</v>
      </c>
      <c r="D25" s="103" t="s">
        <v>105</v>
      </c>
      <c r="E25" s="103" t="s">
        <v>371</v>
      </c>
      <c r="F25" s="103" t="s">
        <v>177</v>
      </c>
      <c r="G25" s="103" t="s">
        <v>63</v>
      </c>
      <c r="H25" s="103" t="s">
        <v>330</v>
      </c>
      <c r="I25" s="103"/>
      <c r="K25" s="225" t="str" cm="1">
        <f t="array" ref="K25:Q31">Table173[[#All],[Institution]:[NIM]]</f>
        <v>Institution</v>
      </c>
      <c r="L25" s="225" t="str">
        <v>NPM</v>
      </c>
      <c r="M25" s="225" t="str">
        <v>PCR</v>
      </c>
      <c r="N25" s="225" t="str">
        <v>ROCE</v>
      </c>
      <c r="O25" s="225" t="str">
        <v>Advances Growth</v>
      </c>
      <c r="P25" s="225" t="str">
        <v>Ke</v>
      </c>
      <c r="Q25" s="225" t="str">
        <v>NIM</v>
      </c>
      <c r="R25" s="225" t="s">
        <v>418</v>
      </c>
      <c r="S25" s="225" t="s">
        <v>440</v>
      </c>
      <c r="T25" s="225" t="s">
        <v>417</v>
      </c>
      <c r="U25" s="225" t="s">
        <v>441</v>
      </c>
      <c r="V25" s="225" t="s">
        <v>421</v>
      </c>
      <c r="W25" s="225" t="s">
        <v>442</v>
      </c>
      <c r="X25" s="225" t="s">
        <v>341</v>
      </c>
      <c r="Y25" s="225" t="s">
        <v>443</v>
      </c>
      <c r="Z25" s="225" t="s">
        <v>444</v>
      </c>
      <c r="AA25" s="225" t="s">
        <v>445</v>
      </c>
      <c r="AB25" s="225" t="s">
        <v>446</v>
      </c>
      <c r="AC25" s="225" t="s">
        <v>447</v>
      </c>
      <c r="AD25" s="225" t="s">
        <v>448</v>
      </c>
      <c r="AE25" s="225" t="s">
        <v>330</v>
      </c>
    </row>
    <row r="26" spans="1:34" s="132" customFormat="1" x14ac:dyDescent="0.3">
      <c r="A26" s="132" t="s">
        <v>429</v>
      </c>
      <c r="B26" s="194">
        <f>[21]Calc!D58</f>
        <v>0.34336081011061304</v>
      </c>
      <c r="C26" s="194">
        <f>'[21]Assumptions &amp; WACC'!$B$13</f>
        <v>6.0433376311174077E-3</v>
      </c>
      <c r="D26" s="194">
        <f>[21]Calc!I2</f>
        <v>0.12878554960222927</v>
      </c>
      <c r="E26" s="194">
        <f>'[21]Assumptions &amp; WACC'!$B$8</f>
        <v>6.0983973325424934E-2</v>
      </c>
      <c r="F26" s="194">
        <f>'[21]Assumptions &amp; WACC'!$B$5</f>
        <v>0.106216</v>
      </c>
      <c r="G26" s="194">
        <f>'[21]Assumptions &amp; WACC'!$B$9</f>
        <v>6.6444791959046734E-2</v>
      </c>
      <c r="H26" s="180">
        <f>AE26</f>
        <v>0.76882770639059173</v>
      </c>
      <c r="J26" s="1"/>
      <c r="K26" s="11" t="str">
        <v>JP Morgan Chase</v>
      </c>
      <c r="L26" s="187">
        <v>0.34336081011061304</v>
      </c>
      <c r="M26" s="187">
        <v>6.0433376311174077E-3</v>
      </c>
      <c r="N26" s="187">
        <v>0.12878554960222927</v>
      </c>
      <c r="O26" s="187">
        <v>6.0983973325424934E-2</v>
      </c>
      <c r="P26" s="187">
        <v>0.106216</v>
      </c>
      <c r="Q26" s="187">
        <v>6.6444791959046734E-2</v>
      </c>
      <c r="R26" s="187">
        <f>(L26-MIN($L$26:$L$31))/(MAX($L$26:$L$31)-MIN($L$26:$L$31))</f>
        <v>1</v>
      </c>
      <c r="S26" s="187">
        <f>(M26-MIN($M$26:$M$31))/(MAX($M$26:$M$31)-MIN($M$26:$M$31))</f>
        <v>0.23797549238601209</v>
      </c>
      <c r="T26" s="187">
        <f>(N26-MIN($N$26:$N$31))/(MAX($N$26:$N$31)-MIN($N$26:$N$31))</f>
        <v>0.30774696873576524</v>
      </c>
      <c r="U26" s="187">
        <f>(O26-MIN($O$26:$O$31))/(MAX($O$26:$O$31)-MIN($O$26:$O$31))</f>
        <v>0.5307046790530876</v>
      </c>
      <c r="V26" s="187">
        <f>(P26-MIN($P$26:$P$31))/(MAX($P$26:$P$31)-MIN($P$26:$P$31))</f>
        <v>0</v>
      </c>
      <c r="W26" s="187">
        <f>(Q26-MIN($Q$26:$Q$31))/(MAX($Q$26:$Q$31)-MIN($Q$26:$Q$31))</f>
        <v>0.94226754197490215</v>
      </c>
      <c r="X26" s="187">
        <f>SUM(R26:W26)</f>
        <v>3.0186946821497669</v>
      </c>
      <c r="Y26" s="187">
        <f>R26/$X$26</f>
        <v>0.33126901038161594</v>
      </c>
      <c r="Z26" s="187">
        <f t="shared" ref="Z26:AD26" si="40">S26/$X$26</f>
        <v>7.8833905857792014E-2</v>
      </c>
      <c r="AA26" s="187">
        <f t="shared" si="40"/>
        <v>0.10194703378103906</v>
      </c>
      <c r="AB26" s="187">
        <f t="shared" si="40"/>
        <v>0.17580601383480943</v>
      </c>
      <c r="AC26" s="187">
        <f t="shared" si="40"/>
        <v>0</v>
      </c>
      <c r="AD26" s="187">
        <f t="shared" si="40"/>
        <v>0.31214403614474362</v>
      </c>
      <c r="AE26" s="187">
        <f>(R26*Y26)+(S26*Z26)+(T26*AA26)+(U26*AB26)+(V26*AC26)+(W26*AD26)</f>
        <v>0.76882770639059173</v>
      </c>
    </row>
    <row r="27" spans="1:34" s="132" customFormat="1" x14ac:dyDescent="0.3">
      <c r="A27" s="132" t="s">
        <v>430</v>
      </c>
      <c r="B27" s="194">
        <f>[21]Calc!D59</f>
        <v>0.26629501310275111</v>
      </c>
      <c r="C27" s="194">
        <f>'[21]Assumptions &amp; WACC'!$C$13</f>
        <v>3.8766514915378812E-3</v>
      </c>
      <c r="D27" s="194">
        <f>[21]Calc!I3</f>
        <v>3.6936572355213242E-2</v>
      </c>
      <c r="E27" s="194">
        <f>'[21]Assumptions &amp; WACC'!$C$8</f>
        <v>1.5322980004420117E-2</v>
      </c>
      <c r="F27" s="194">
        <f>'[21]Assumptions &amp; WACC'!$C$5</f>
        <v>0.1176725</v>
      </c>
      <c r="G27" s="194">
        <f>'[21]Assumptions &amp; WACC'!$C$9</f>
        <v>5.0089067082744146E-2</v>
      </c>
      <c r="H27" s="180">
        <f t="shared" ref="H27:H31" si="41">AE27</f>
        <v>0.56703543399073264</v>
      </c>
      <c r="J27" s="1"/>
      <c r="K27" s="11" t="str">
        <v>Bank of America</v>
      </c>
      <c r="L27" s="187">
        <v>0.26629501310275111</v>
      </c>
      <c r="M27" s="187">
        <v>3.8766514915378812E-3</v>
      </c>
      <c r="N27" s="187">
        <v>3.6936572355213242E-2</v>
      </c>
      <c r="O27" s="187">
        <v>1.5322980004420117E-2</v>
      </c>
      <c r="P27" s="187">
        <v>0.1176725</v>
      </c>
      <c r="Q27" s="187">
        <v>5.0089067082744146E-2</v>
      </c>
      <c r="R27" s="187">
        <f t="shared" ref="R27:R31" si="42">(L27-MIN($L$26:$L$31))/(MAX($L$26:$L$31)-MIN($L$26:$L$31))</f>
        <v>0.58250410033455324</v>
      </c>
      <c r="S27" s="187">
        <f t="shared" ref="S27:S31" si="43">(M27-MIN($M$26:$M$31))/(MAX($M$26:$M$31)-MIN($M$26:$M$31))</f>
        <v>0.11577131864446347</v>
      </c>
      <c r="T27" s="187">
        <f t="shared" ref="T27:T31" si="44">(N27-MIN($N$26:$N$31))/(MAX($N$26:$N$31)-MIN($N$26:$N$31))</f>
        <v>0</v>
      </c>
      <c r="U27" s="187">
        <f t="shared" ref="U27:U31" si="45">(O27-MIN($O$26:$O$31))/(MAX($O$26:$O$31)-MIN($O$26:$O$31))</f>
        <v>0.11093999815999045</v>
      </c>
      <c r="V27" s="187">
        <f t="shared" ref="V27:V31" si="46">(P27-MIN($P$26:$P$31))/(MAX($P$26:$P$31)-MIN($P$26:$P$31))</f>
        <v>0.78220052572286891</v>
      </c>
      <c r="W27" s="187">
        <f t="shared" ref="W27:W31" si="47">(Q27-MIN($Q$26:$Q$31))/(MAX($Q$26:$Q$31)-MIN($Q$26:$Q$31))</f>
        <v>0.36040825549395661</v>
      </c>
      <c r="X27" s="187">
        <f t="shared" ref="X27:X31" si="48">SUM(R27:W27)</f>
        <v>1.9518241983558329</v>
      </c>
      <c r="Y27" s="187">
        <f>R27/$X$27</f>
        <v>0.29844086410304776</v>
      </c>
      <c r="Z27" s="187">
        <f t="shared" ref="Z27:AD27" si="49">S27/$X$27</f>
        <v>5.9314419168481611E-2</v>
      </c>
      <c r="AA27" s="187">
        <f t="shared" si="49"/>
        <v>0</v>
      </c>
      <c r="AB27" s="187">
        <f t="shared" si="49"/>
        <v>5.6839134515005753E-2</v>
      </c>
      <c r="AC27" s="187">
        <f t="shared" si="49"/>
        <v>0.40075357523581007</v>
      </c>
      <c r="AD27" s="187">
        <f t="shared" si="49"/>
        <v>0.18465200697765474</v>
      </c>
      <c r="AE27" s="187">
        <f t="shared" ref="AE27:AE31" si="50">(R27*Y27)+(S27*Z27)+(T27*AA27)+(U27*AB27)+(V27*AC27)+(W27*AD27)</f>
        <v>0.56703543399073264</v>
      </c>
    </row>
    <row r="28" spans="1:34" s="132" customFormat="1" x14ac:dyDescent="0.3">
      <c r="A28" s="132" t="s">
        <v>431</v>
      </c>
      <c r="B28" s="194">
        <f>[21]Calc!D60</f>
        <v>0.15877026186902002</v>
      </c>
      <c r="C28" s="194">
        <f>'[21]Assumptions &amp; WACC'!$D$13</f>
        <v>1.9554070432756483E-2</v>
      </c>
      <c r="D28" s="194">
        <f>[21]Calc!I4</f>
        <v>0.33539272815208321</v>
      </c>
      <c r="E28" s="194">
        <f>'[21]Assumptions &amp; WACC'!$D$8</f>
        <v>0.11203279065265748</v>
      </c>
      <c r="F28" s="194">
        <f>'[21]Assumptions &amp; WACC'!$D$5</f>
        <v>0.11434499999999999</v>
      </c>
      <c r="G28" s="194">
        <f>'[21]Assumptions &amp; WACC'!$D$9</f>
        <v>6.8067617652182957E-2</v>
      </c>
      <c r="H28" s="180">
        <f t="shared" si="41"/>
        <v>0.94577983721846737</v>
      </c>
      <c r="J28" s="1"/>
      <c r="K28" s="11" t="str">
        <v>American Express</v>
      </c>
      <c r="L28" s="187">
        <v>0.15877026186902002</v>
      </c>
      <c r="M28" s="187">
        <v>1.9554070432756483E-2</v>
      </c>
      <c r="N28" s="187">
        <v>0.33539272815208321</v>
      </c>
      <c r="O28" s="187">
        <v>0.11203279065265748</v>
      </c>
      <c r="P28" s="187">
        <v>0.11434499999999999</v>
      </c>
      <c r="Q28" s="187">
        <v>6.8067617652182957E-2</v>
      </c>
      <c r="R28" s="187">
        <f t="shared" si="42"/>
        <v>0</v>
      </c>
      <c r="S28" s="187">
        <f t="shared" si="43"/>
        <v>1</v>
      </c>
      <c r="T28" s="187">
        <f t="shared" si="44"/>
        <v>1</v>
      </c>
      <c r="U28" s="187">
        <f t="shared" si="45"/>
        <v>1</v>
      </c>
      <c r="V28" s="187">
        <f t="shared" si="46"/>
        <v>0.55501314307172278</v>
      </c>
      <c r="W28" s="187">
        <f t="shared" si="47"/>
        <v>1</v>
      </c>
      <c r="X28" s="187">
        <f t="shared" si="48"/>
        <v>4.5550131430717222</v>
      </c>
      <c r="Y28" s="187">
        <f>R28/$X$28</f>
        <v>0</v>
      </c>
      <c r="Z28" s="187">
        <f t="shared" ref="Z28:AD28" si="51">S28/$X$28</f>
        <v>0.21953833470733725</v>
      </c>
      <c r="AA28" s="187">
        <f t="shared" si="51"/>
        <v>0.21953833470733725</v>
      </c>
      <c r="AB28" s="187">
        <f t="shared" si="51"/>
        <v>0.21953833470733725</v>
      </c>
      <c r="AC28" s="187">
        <f t="shared" si="51"/>
        <v>0.12184666117065113</v>
      </c>
      <c r="AD28" s="187">
        <f t="shared" si="51"/>
        <v>0.21953833470733725</v>
      </c>
      <c r="AE28" s="187">
        <f t="shared" si="50"/>
        <v>0.94577983721846737</v>
      </c>
    </row>
    <row r="29" spans="1:34" s="132" customFormat="1" x14ac:dyDescent="0.3">
      <c r="A29" s="132" t="s">
        <v>432</v>
      </c>
      <c r="B29" s="194">
        <f>[21]Calc!D62</f>
        <v>0.27915914187471974</v>
      </c>
      <c r="C29" s="194">
        <f>'[21]Assumptions &amp; WACC'!$E$13</f>
        <v>1.0252891048935779E-2</v>
      </c>
      <c r="D29" s="194">
        <f>[21]Calc!I6</f>
        <v>5.2656117647896246E-2</v>
      </c>
      <c r="E29" s="194">
        <f>'[21]Assumptions &amp; WACC'!$E$8</f>
        <v>0.11061142117584488</v>
      </c>
      <c r="F29" s="194">
        <f>'[21]Assumptions &amp; WACC'!$E$5</f>
        <v>0.1208625</v>
      </c>
      <c r="G29" s="194">
        <f>'[21]Assumptions &amp; WACC'!$E$9</f>
        <v>3.995820141304178E-2</v>
      </c>
      <c r="H29" s="180">
        <f t="shared" si="41"/>
        <v>0.82981064773455182</v>
      </c>
      <c r="J29" s="1"/>
      <c r="K29" s="11" t="str">
        <v>Goldman Sachs</v>
      </c>
      <c r="L29" s="187">
        <v>0.27915914187471974</v>
      </c>
      <c r="M29" s="187">
        <v>1.0252891048935779E-2</v>
      </c>
      <c r="N29" s="187">
        <v>5.2656117647896246E-2</v>
      </c>
      <c r="O29" s="187">
        <v>0.11061142117584488</v>
      </c>
      <c r="P29" s="187">
        <v>0.1208625</v>
      </c>
      <c r="Q29" s="187">
        <v>3.995820141304178E-2</v>
      </c>
      <c r="R29" s="187">
        <f t="shared" si="42"/>
        <v>0.6521941732798483</v>
      </c>
      <c r="S29" s="187">
        <f t="shared" si="43"/>
        <v>0.47540028033671949</v>
      </c>
      <c r="T29" s="187">
        <f t="shared" si="44"/>
        <v>5.2669529468113124E-2</v>
      </c>
      <c r="U29" s="187">
        <f t="shared" si="45"/>
        <v>0.98693325174354096</v>
      </c>
      <c r="V29" s="187">
        <f t="shared" si="46"/>
        <v>1</v>
      </c>
      <c r="W29" s="187">
        <f t="shared" si="47"/>
        <v>0</v>
      </c>
      <c r="X29" s="187">
        <f t="shared" si="48"/>
        <v>3.167197234828222</v>
      </c>
      <c r="Y29" s="187">
        <f>R29/$X$29</f>
        <v>0.20592155300843495</v>
      </c>
      <c r="Z29" s="187">
        <f t="shared" ref="Z29:AD29" si="52">S29/$X$29</f>
        <v>0.15010125517569908</v>
      </c>
      <c r="AA29" s="187">
        <f t="shared" si="52"/>
        <v>1.6629696720156975E-2</v>
      </c>
      <c r="AB29" s="187">
        <f t="shared" si="52"/>
        <v>0.31161092239241894</v>
      </c>
      <c r="AC29" s="187">
        <f t="shared" si="52"/>
        <v>0.31573657270329003</v>
      </c>
      <c r="AD29" s="187">
        <f t="shared" si="52"/>
        <v>0</v>
      </c>
      <c r="AE29" s="187">
        <f t="shared" si="50"/>
        <v>0.82981064773455182</v>
      </c>
    </row>
    <row r="30" spans="1:34" s="132" customFormat="1" x14ac:dyDescent="0.3">
      <c r="A30" s="132" t="s">
        <v>433</v>
      </c>
      <c r="B30" s="194">
        <f>[21]Calc!D63</f>
        <v>0.22091511471640679</v>
      </c>
      <c r="C30" s="194">
        <f>'[21]Assumptions &amp; WACC'!$F$13</f>
        <v>1.8240201959954781E-3</v>
      </c>
      <c r="D30" s="194">
        <f>[21]Calc!I7</f>
        <v>3.8139925792233742E-2</v>
      </c>
      <c r="E30" s="194">
        <f>'[21]Assumptions &amp; WACC'!$F$8</f>
        <v>9.5993421124643374E-2</v>
      </c>
      <c r="F30" s="194">
        <f>'[21]Assumptions &amp; WACC'!$F$5</f>
        <v>0.117216</v>
      </c>
      <c r="G30" s="194">
        <f>'[21]Assumptions &amp; WACC'!$F$9</f>
        <v>4.0152222956497959E-2</v>
      </c>
      <c r="H30" s="180">
        <f t="shared" si="41"/>
        <v>0.71971649975025032</v>
      </c>
      <c r="J30" s="1"/>
      <c r="K30" s="11" t="str">
        <v>Morgan Stanley</v>
      </c>
      <c r="L30" s="187">
        <v>0.22091511471640679</v>
      </c>
      <c r="M30" s="187">
        <v>1.8240201959954781E-3</v>
      </c>
      <c r="N30" s="187">
        <v>3.8139925792233742E-2</v>
      </c>
      <c r="O30" s="187">
        <v>9.5993421124643374E-2</v>
      </c>
      <c r="P30" s="187">
        <v>0.117216</v>
      </c>
      <c r="Q30" s="187">
        <v>4.0152222956497959E-2</v>
      </c>
      <c r="R30" s="187">
        <f t="shared" si="42"/>
        <v>0.33666324435014561</v>
      </c>
      <c r="S30" s="187">
        <f t="shared" si="43"/>
        <v>0</v>
      </c>
      <c r="T30" s="187">
        <f t="shared" si="44"/>
        <v>4.031927013894483E-3</v>
      </c>
      <c r="U30" s="187">
        <f t="shared" si="45"/>
        <v>0.85254896264913005</v>
      </c>
      <c r="V30" s="187">
        <f t="shared" si="46"/>
        <v>0.7510326699211417</v>
      </c>
      <c r="W30" s="187">
        <f t="shared" si="47"/>
        <v>6.9023682955753323E-3</v>
      </c>
      <c r="X30" s="187">
        <f t="shared" si="48"/>
        <v>1.9511791722298872</v>
      </c>
      <c r="Y30" s="187">
        <f>R30/$X$30</f>
        <v>0.1725434799334154</v>
      </c>
      <c r="Z30" s="187">
        <f t="shared" ref="Z30:AD30" si="53">S30/$X$30</f>
        <v>0</v>
      </c>
      <c r="AA30" s="187">
        <f t="shared" si="53"/>
        <v>2.0664053159642087E-3</v>
      </c>
      <c r="AB30" s="187">
        <f t="shared" si="53"/>
        <v>0.43694037676447839</v>
      </c>
      <c r="AC30" s="187">
        <f t="shared" si="53"/>
        <v>0.38491220109880064</v>
      </c>
      <c r="AD30" s="187">
        <f t="shared" si="53"/>
        <v>3.5375368873413219E-3</v>
      </c>
      <c r="AE30" s="187">
        <f t="shared" si="50"/>
        <v>0.71971649975025032</v>
      </c>
    </row>
    <row r="31" spans="1:34" s="132" customFormat="1" x14ac:dyDescent="0.3">
      <c r="A31" s="132" t="s">
        <v>434</v>
      </c>
      <c r="B31" s="194">
        <f>[21]Calc!D64</f>
        <v>0.23964712744240305</v>
      </c>
      <c r="C31" s="194">
        <f>'[21]Assumptions &amp; WACC'!$G$13</f>
        <v>4.4675476547530657E-3</v>
      </c>
      <c r="D31" s="194">
        <f>[21]Calc!I8</f>
        <v>0.11950388074648999</v>
      </c>
      <c r="E31" s="194">
        <f>'[21]Assumptions &amp; WACC'!$G$8</f>
        <v>3.2551935859965742E-3</v>
      </c>
      <c r="F31" s="194">
        <f>'[21]Assumptions &amp; WACC'!$G$5</f>
        <v>0.110957</v>
      </c>
      <c r="G31" s="194">
        <f>'[21]Assumptions &amp; WACC'!$G$9</f>
        <v>4.6426655954031011E-2</v>
      </c>
      <c r="H31" s="180">
        <f t="shared" si="41"/>
        <v>0.31633281424006082</v>
      </c>
      <c r="J31" s="1"/>
      <c r="K31" s="11" t="str">
        <v>Wells Fargo</v>
      </c>
      <c r="L31" s="187">
        <v>0.23964712744240305</v>
      </c>
      <c r="M31" s="187">
        <v>4.4675476547530657E-3</v>
      </c>
      <c r="N31" s="187">
        <v>0.11950388074648999</v>
      </c>
      <c r="O31" s="187">
        <v>3.2551935859965742E-3</v>
      </c>
      <c r="P31" s="187">
        <v>0.110957</v>
      </c>
      <c r="Q31" s="187">
        <v>4.6426655954031011E-2</v>
      </c>
      <c r="R31" s="187">
        <f t="shared" si="42"/>
        <v>0.43814196525128141</v>
      </c>
      <c r="S31" s="187">
        <f t="shared" si="43"/>
        <v>0.14909870098825606</v>
      </c>
      <c r="T31" s="187">
        <f t="shared" si="44"/>
        <v>0.27664803284363237</v>
      </c>
      <c r="U31" s="187">
        <f t="shared" si="45"/>
        <v>0</v>
      </c>
      <c r="V31" s="187">
        <f t="shared" si="46"/>
        <v>0.32369508073601183</v>
      </c>
      <c r="W31" s="187">
        <f t="shared" si="47"/>
        <v>0.23011700015250336</v>
      </c>
      <c r="X31" s="187">
        <f t="shared" si="48"/>
        <v>1.417700779971685</v>
      </c>
      <c r="Y31" s="187">
        <f>R31/$X$31</f>
        <v>0.30905108570232442</v>
      </c>
      <c r="Z31" s="187">
        <f t="shared" ref="Z31:AD31" si="54">S31/$X$31</f>
        <v>0.10516937219378121</v>
      </c>
      <c r="AA31" s="187">
        <f t="shared" si="54"/>
        <v>0.19513852059047165</v>
      </c>
      <c r="AB31" s="187">
        <f t="shared" si="54"/>
        <v>0</v>
      </c>
      <c r="AC31" s="187">
        <f t="shared" si="54"/>
        <v>0.22832397732226459</v>
      </c>
      <c r="AD31" s="187">
        <f t="shared" si="54"/>
        <v>0.16231704419115814</v>
      </c>
      <c r="AE31" s="187">
        <f t="shared" si="50"/>
        <v>0.31633281424006082</v>
      </c>
    </row>
    <row r="33" spans="1:31" x14ac:dyDescent="0.3">
      <c r="A33" s="132" t="s">
        <v>9</v>
      </c>
      <c r="B33" s="132" t="s">
        <v>78</v>
      </c>
      <c r="C33" s="132" t="s">
        <v>367</v>
      </c>
      <c r="D33" s="132" t="s">
        <v>105</v>
      </c>
      <c r="E33" s="132" t="s">
        <v>368</v>
      </c>
      <c r="F33" s="132" t="s">
        <v>141</v>
      </c>
      <c r="G33" s="132" t="s">
        <v>302</v>
      </c>
      <c r="H33" s="132" t="s">
        <v>177</v>
      </c>
      <c r="I33" s="132" t="s">
        <v>330</v>
      </c>
      <c r="K33" s="226" t="str" cm="1">
        <f t="array" ref="K33:R34">Table174[[#All],[Company]:[Ke]]</f>
        <v>Company</v>
      </c>
      <c r="L33" s="226" t="str">
        <v>EBITDA Margin</v>
      </c>
      <c r="M33" s="226" t="str">
        <v>Capex Intensity</v>
      </c>
      <c r="N33" s="226" t="str">
        <v>ROCE</v>
      </c>
      <c r="O33" s="226" t="str">
        <v>NPM</v>
      </c>
      <c r="P33" s="226" t="str">
        <v>Revenue CAGR</v>
      </c>
      <c r="Q33" s="226" t="str">
        <v>WACC</v>
      </c>
      <c r="R33" s="226" t="str">
        <v>Ke</v>
      </c>
      <c r="S33" s="226" t="s">
        <v>341</v>
      </c>
      <c r="T33" s="226" t="s">
        <v>449</v>
      </c>
      <c r="U33" s="226" t="s">
        <v>450</v>
      </c>
      <c r="V33" s="226" t="s">
        <v>445</v>
      </c>
      <c r="W33" s="226" t="s">
        <v>443</v>
      </c>
      <c r="X33" s="226" t="s">
        <v>451</v>
      </c>
      <c r="Y33" s="226" t="s">
        <v>452</v>
      </c>
      <c r="Z33" s="226" t="s">
        <v>447</v>
      </c>
      <c r="AA33" s="226" t="s">
        <v>330</v>
      </c>
    </row>
    <row r="34" spans="1:31" s="180" customFormat="1" x14ac:dyDescent="0.3">
      <c r="A34" s="132" t="s">
        <v>435</v>
      </c>
      <c r="B34" s="194">
        <f>[21]Calc!$D$53</f>
        <v>0.38237859525938206</v>
      </c>
      <c r="C34" s="194">
        <f>'[21]Assumptions &amp; WACC'!$J$5</f>
        <v>1.8175276390675767E-2</v>
      </c>
      <c r="D34" s="194">
        <f>[21]Calc!$I$5</f>
        <v>5.2073872237359979E-2</v>
      </c>
      <c r="E34" s="194">
        <f>[21]Calc!$D$61</f>
        <v>0.31262129571076563</v>
      </c>
      <c r="F34" s="194">
        <f>'[21]Assumptions &amp; WACC'!$J$2</f>
        <v>4.7191300858955509E-2</v>
      </c>
      <c r="G34" s="194">
        <f>'[21]Assumptions &amp; WACC'!$J$20</f>
        <v>0.11930305932425769</v>
      </c>
      <c r="H34" s="194">
        <f>'[21]Assumptions &amp; WACC'!$J$11</f>
        <v>0.12585649999999998</v>
      </c>
      <c r="I34" s="180">
        <f>AA34</f>
        <v>0.26407679404749607</v>
      </c>
      <c r="J34" s="1"/>
      <c r="K34" s="11" t="str">
        <v>Blackrock</v>
      </c>
      <c r="L34" s="187">
        <v>0.38237859525938206</v>
      </c>
      <c r="M34" s="187">
        <v>1.8175276390675767E-2</v>
      </c>
      <c r="N34" s="187">
        <v>5.2073872237359979E-2</v>
      </c>
      <c r="O34" s="187">
        <v>0.31262129571076563</v>
      </c>
      <c r="P34" s="187">
        <v>4.7191300858955509E-2</v>
      </c>
      <c r="Q34" s="187">
        <v>0.11930305932425769</v>
      </c>
      <c r="R34" s="187">
        <v>0.12585649999999998</v>
      </c>
      <c r="S34" s="187">
        <f>SUM(L34:R34)</f>
        <v>1.0575998997813967</v>
      </c>
      <c r="T34" s="187">
        <f>L34/$S$34</f>
        <v>0.36155316896155038</v>
      </c>
      <c r="U34" s="187">
        <f t="shared" ref="U34:Z34" si="55">M34/$S$34</f>
        <v>1.7185399123461106E-2</v>
      </c>
      <c r="V34" s="187">
        <f t="shared" si="55"/>
        <v>4.9237780987047675E-2</v>
      </c>
      <c r="W34" s="187">
        <f t="shared" si="55"/>
        <v>0.29559505043011414</v>
      </c>
      <c r="X34" s="187">
        <f t="shared" si="55"/>
        <v>4.4621128338523705E-2</v>
      </c>
      <c r="Y34" s="187">
        <f t="shared" si="55"/>
        <v>0.11280547525478903</v>
      </c>
      <c r="Z34" s="187">
        <f t="shared" si="55"/>
        <v>0.11900199690451391</v>
      </c>
      <c r="AA34" s="187">
        <f>(L34*T34)+(M34*U34)+(N34*V34)+(O34*W34)+(P34*X34)+(Q34*Y34)+(R34*Z34)</f>
        <v>0.26407679404749607</v>
      </c>
    </row>
    <row r="36" spans="1:31" x14ac:dyDescent="0.3">
      <c r="A36" s="132" t="s">
        <v>71</v>
      </c>
      <c r="B36" s="132" t="s">
        <v>368</v>
      </c>
      <c r="C36" s="132" t="s">
        <v>369</v>
      </c>
      <c r="D36" s="132" t="s">
        <v>105</v>
      </c>
      <c r="E36" s="132" t="s">
        <v>371</v>
      </c>
      <c r="F36" s="132" t="s">
        <v>177</v>
      </c>
      <c r="G36" s="132" t="s">
        <v>63</v>
      </c>
      <c r="H36" s="132" t="s">
        <v>330</v>
      </c>
      <c r="K36" s="226" t="str" cm="1">
        <f t="array" ref="K36:Q42">Table175[[#All],[Institution]:[NIM]]</f>
        <v>Institution</v>
      </c>
      <c r="L36" s="226" t="str">
        <v>NPM</v>
      </c>
      <c r="M36" s="226" t="str">
        <v>PCR</v>
      </c>
      <c r="N36" s="226" t="str">
        <v>ROCE</v>
      </c>
      <c r="O36" s="226" t="str">
        <v>Advances Growth</v>
      </c>
      <c r="P36" s="226" t="str">
        <v>Ke</v>
      </c>
      <c r="Q36" s="226" t="str">
        <v>NIM</v>
      </c>
      <c r="R36" s="225" t="s">
        <v>418</v>
      </c>
      <c r="S36" s="225" t="s">
        <v>440</v>
      </c>
      <c r="T36" s="225" t="s">
        <v>417</v>
      </c>
      <c r="U36" s="225" t="s">
        <v>441</v>
      </c>
      <c r="V36" s="225" t="s">
        <v>421</v>
      </c>
      <c r="W36" s="225" t="s">
        <v>442</v>
      </c>
      <c r="X36" s="225" t="s">
        <v>341</v>
      </c>
      <c r="Y36" s="225" t="s">
        <v>443</v>
      </c>
      <c r="Z36" s="225" t="s">
        <v>444</v>
      </c>
      <c r="AA36" s="225" t="s">
        <v>445</v>
      </c>
      <c r="AB36" s="225" t="s">
        <v>446</v>
      </c>
      <c r="AC36" s="225" t="s">
        <v>447</v>
      </c>
      <c r="AD36" s="225" t="s">
        <v>448</v>
      </c>
      <c r="AE36" s="225" t="s">
        <v>330</v>
      </c>
    </row>
    <row r="37" spans="1:31" x14ac:dyDescent="0.3">
      <c r="A37" s="132" t="str">
        <f>A26</f>
        <v>JP Morgan Chase</v>
      </c>
      <c r="B37" s="148">
        <f>AVERAGE([21]DCF!$B$11:$G$11)/AVERAGE([21]DCF!$B$6:$G$6)</f>
        <v>0.3091369664505515</v>
      </c>
      <c r="C37" s="148">
        <f>AVERAGE([21]DCF!$B$8:$G$8)/AVERAGE([21]DCF!$B$3:$G$3)</f>
        <v>6.0433376311174085E-3</v>
      </c>
      <c r="D37" s="148">
        <f>[21]Calc!L2</f>
        <v>5.735507242093052E-2</v>
      </c>
      <c r="E37" s="148">
        <f>([21]DCF!$G$3/[21]DCF!$B$3)^(1/6)-1</f>
        <v>5.0567640983869788E-2</v>
      </c>
      <c r="F37" s="148">
        <f>'USI-2'!BS2</f>
        <v>7.8691561600000001E-2</v>
      </c>
      <c r="G37" s="148">
        <f>AVERAGE([21]DCF!$B$4:$G$4)/AVERAGE([21]DCF!$B$3:$G$3)</f>
        <v>6.6444791959046734E-2</v>
      </c>
      <c r="H37" s="180">
        <f>AE37</f>
        <v>0.77833400442105116</v>
      </c>
      <c r="K37" s="11" t="str">
        <v>JP Morgan Chase</v>
      </c>
      <c r="L37" s="187">
        <v>0.3091369664505515</v>
      </c>
      <c r="M37" s="187">
        <v>6.0433376311174085E-3</v>
      </c>
      <c r="N37" s="187">
        <v>5.735507242093052E-2</v>
      </c>
      <c r="O37" s="187">
        <v>5.0567640983869788E-2</v>
      </c>
      <c r="P37" s="187">
        <v>7.8691561600000001E-2</v>
      </c>
      <c r="Q37" s="187">
        <v>6.6444791959046734E-2</v>
      </c>
      <c r="R37" s="187">
        <f>(L37-MIN($L$37:$L$42))/(MAX($L$37:$L$42)-MIN($L$37:$L$42))</f>
        <v>1</v>
      </c>
      <c r="S37" s="187">
        <f>(M37-MIN($M$37:$M$42))/(MAX($M$37:$M$42)-MIN($M$37:$M$42))</f>
        <v>0.23797549238601209</v>
      </c>
      <c r="T37" s="187">
        <f>(N37-MIN($N$37:$N$42))/(MAX($N$37:$N$42)-MIN($N$37:$N$42))</f>
        <v>0.20284071512505703</v>
      </c>
      <c r="U37" s="187">
        <f>(O37-MIN($O$37:$O$42))/(MAX($O$37:$O$42)-MIN($O$37:$O$42))</f>
        <v>0.53283767378076297</v>
      </c>
      <c r="V37" s="187">
        <f>(P37-MIN($P$37:$P$42))/(MAX($P$37:$P$42)-MIN($P$37:$P$42))</f>
        <v>0</v>
      </c>
      <c r="W37" s="187">
        <f>(Q37-MIN($Q$37:$Q$42))/(MAX($Q$37:$Q$42)-MIN($Q$37:$Q$42))</f>
        <v>0.94226754197490215</v>
      </c>
      <c r="X37" s="187">
        <f>SUM(R37:W37)</f>
        <v>2.9159214232667341</v>
      </c>
      <c r="Y37" s="187">
        <f>(R37/$X$37)</f>
        <v>0.34294476936888463</v>
      </c>
      <c r="Z37" s="187">
        <f t="shared" ref="Z37:AD37" si="56">(S37/$X$37)</f>
        <v>8.1612450351767687E-2</v>
      </c>
      <c r="AA37" s="187">
        <f t="shared" si="56"/>
        <v>6.9563162267182316E-2</v>
      </c>
      <c r="AB37" s="187">
        <f t="shared" si="56"/>
        <v>0.18273389314579674</v>
      </c>
      <c r="AC37" s="187">
        <f t="shared" si="56"/>
        <v>0</v>
      </c>
      <c r="AD37" s="187">
        <f t="shared" si="56"/>
        <v>0.32314572486636867</v>
      </c>
      <c r="AE37" s="187">
        <f>(R37*Y37)+(S37*Z37)+(T37*AA37)+(U37*AB37)+(V37*AC37)+(W37*AD37)</f>
        <v>0.77833400442105116</v>
      </c>
    </row>
    <row r="38" spans="1:31" x14ac:dyDescent="0.3">
      <c r="A38" s="132" t="str">
        <f t="shared" ref="A38:A42" si="57">A27</f>
        <v>Bank of America</v>
      </c>
      <c r="B38" s="148">
        <f>AVERAGE([21]DCF!$J$11:$O$11)/AVERAGE([21]DCF!$J$6:$O$6)</f>
        <v>0.2348647940853654</v>
      </c>
      <c r="C38" s="148">
        <f>AVERAGE([21]DCF!$J$8:$O$8)/AVERAGE([21]DCF!$J$3:$O$3)</f>
        <v>3.8766514915378812E-3</v>
      </c>
      <c r="D38" s="148">
        <f>[21]Calc!L3</f>
        <v>8.0021956078697252E-3</v>
      </c>
      <c r="E38" s="148">
        <f>([21]DCF!$O$3/[21]DCF!$J$3)^(1/6)-1</f>
        <v>1.2752941246985339E-2</v>
      </c>
      <c r="F38" s="148">
        <f>'USI-2'!BS3</f>
        <v>8.3980923499999999E-2</v>
      </c>
      <c r="G38" s="148">
        <f>[21]DCF!$J$4/[21]DCF!$J$3</f>
        <v>5.0089067082744146E-2</v>
      </c>
      <c r="H38" s="180">
        <f t="shared" ref="H38:H42" si="58">AE38</f>
        <v>0.54817729661664671</v>
      </c>
      <c r="K38" s="11" t="str">
        <v>Bank of America</v>
      </c>
      <c r="L38" s="187">
        <v>0.2348647940853654</v>
      </c>
      <c r="M38" s="187">
        <v>3.8766514915378812E-3</v>
      </c>
      <c r="N38" s="187">
        <v>8.0021956078697252E-3</v>
      </c>
      <c r="O38" s="187">
        <v>1.2752941246985339E-2</v>
      </c>
      <c r="P38" s="187">
        <v>8.3980923499999999E-2</v>
      </c>
      <c r="Q38" s="187">
        <v>5.0089067082744146E-2</v>
      </c>
      <c r="R38" s="187">
        <f t="shared" ref="R38:R42" si="59">(L38-MIN($L$37:$L$42))/(MAX($L$37:$L$42)-MIN($L$37:$L$42))</f>
        <v>0.54095398140155415</v>
      </c>
      <c r="S38" s="187">
        <f t="shared" ref="S38:S42" si="60">(M38-MIN($M$37:$M$42))/(MAX($M$37:$M$42)-MIN($M$37:$M$42))</f>
        <v>0.11577131864446347</v>
      </c>
      <c r="T38" s="187">
        <f t="shared" ref="T38:T42" si="61">(N38-MIN($N$37:$N$42))/(MAX($N$37:$N$42)-MIN($N$37:$N$42))</f>
        <v>2.408980239782138E-2</v>
      </c>
      <c r="U38" s="187">
        <f t="shared" ref="U38:U42" si="62">(O38-MIN($O$37:$O$42))/(MAX($O$37:$O$42)-MIN($O$37:$O$42))</f>
        <v>0.11179920811257746</v>
      </c>
      <c r="V38" s="187">
        <f t="shared" ref="V38:V42" si="63">(P38-MIN($P$37:$P$42))/(MAX($P$37:$P$42)-MIN($P$37:$P$42))</f>
        <v>0.78220052572286736</v>
      </c>
      <c r="W38" s="187">
        <f t="shared" ref="W38:W42" si="64">(Q38-MIN($Q$37:$Q$42))/(MAX($Q$37:$Q$42)-MIN($Q$37:$Q$42))</f>
        <v>0.36040825549395661</v>
      </c>
      <c r="X38" s="187">
        <f t="shared" ref="X38:X42" si="65">SUM(R38:W38)</f>
        <v>1.9352230917732403</v>
      </c>
      <c r="Y38" s="187">
        <f>(R38/$X$38)</f>
        <v>0.27953055319626191</v>
      </c>
      <c r="Z38" s="187">
        <f t="shared" ref="Z38:AD38" si="66">(S38/$X$38)</f>
        <v>5.982324163896912E-2</v>
      </c>
      <c r="AA38" s="187">
        <f t="shared" si="66"/>
        <v>1.2448075108357638E-2</v>
      </c>
      <c r="AB38" s="187">
        <f t="shared" si="66"/>
        <v>5.7770707980823087E-2</v>
      </c>
      <c r="AC38" s="187">
        <f t="shared" si="66"/>
        <v>0.40419139738878318</v>
      </c>
      <c r="AD38" s="187">
        <f t="shared" si="66"/>
        <v>0.18623602468680517</v>
      </c>
      <c r="AE38" s="187">
        <f t="shared" ref="AE38:AE42" si="67">(R38*Y38)+(S38*Z38)+(T38*AA38)+(U38*AB38)+(V38*AC38)+(W38*AD38)</f>
        <v>0.54817729661664671</v>
      </c>
    </row>
    <row r="39" spans="1:31" x14ac:dyDescent="0.3">
      <c r="A39" s="132" t="str">
        <f t="shared" si="57"/>
        <v>American Express</v>
      </c>
      <c r="B39" s="148">
        <f>AVERAGE([21]DCF!$R$11:$W$11)/AVERAGE([21]DCF!$R$6:$W$6)</f>
        <v>0.14734017624648205</v>
      </c>
      <c r="C39" s="148">
        <f>C28</f>
        <v>1.9554070432756483E-2</v>
      </c>
      <c r="D39" s="148">
        <f>[21]Calc!L4</f>
        <v>0.27744963522103577</v>
      </c>
      <c r="E39" s="148">
        <f>([21]DCF!$W$3/[21]DCF!$R$3)^(1/6)-1</f>
        <v>9.2524859943257987E-2</v>
      </c>
      <c r="F39" s="148">
        <f>'USI-2'!BS4</f>
        <v>8.244464700000001E-2</v>
      </c>
      <c r="G39" s="148">
        <f>[21]DCF!$R$4/[21]DCF!$R$3</f>
        <v>6.8067617652182957E-2</v>
      </c>
      <c r="H39" s="180">
        <f t="shared" si="58"/>
        <v>0.94577983721846726</v>
      </c>
      <c r="K39" s="11" t="str">
        <v>American Express</v>
      </c>
      <c r="L39" s="187">
        <v>0.14734017624648205</v>
      </c>
      <c r="M39" s="187">
        <v>1.9554070432756483E-2</v>
      </c>
      <c r="N39" s="187">
        <v>0.27744963522103577</v>
      </c>
      <c r="O39" s="187">
        <v>9.2524859943257987E-2</v>
      </c>
      <c r="P39" s="187">
        <v>8.244464700000001E-2</v>
      </c>
      <c r="Q39" s="187">
        <v>6.8067617652182957E-2</v>
      </c>
      <c r="R39" s="187">
        <f t="shared" si="59"/>
        <v>0</v>
      </c>
      <c r="S39" s="187">
        <f t="shared" si="60"/>
        <v>1</v>
      </c>
      <c r="T39" s="187">
        <f t="shared" si="61"/>
        <v>1</v>
      </c>
      <c r="U39" s="187">
        <f t="shared" si="62"/>
        <v>1</v>
      </c>
      <c r="V39" s="187">
        <f t="shared" si="63"/>
        <v>0.555013143071724</v>
      </c>
      <c r="W39" s="187">
        <f t="shared" si="64"/>
        <v>1</v>
      </c>
      <c r="X39" s="187">
        <f t="shared" si="65"/>
        <v>4.555013143071724</v>
      </c>
      <c r="Y39" s="187">
        <f>(R39/$X$39)</f>
        <v>0</v>
      </c>
      <c r="Z39" s="187">
        <f t="shared" ref="Z39:AD39" si="68">(S39/$X$39)</f>
        <v>0.21953833470733716</v>
      </c>
      <c r="AA39" s="187">
        <f t="shared" si="68"/>
        <v>0.21953833470733716</v>
      </c>
      <c r="AB39" s="187">
        <f t="shared" si="68"/>
        <v>0.21953833470733716</v>
      </c>
      <c r="AC39" s="187">
        <f t="shared" si="68"/>
        <v>0.12184666117065135</v>
      </c>
      <c r="AD39" s="187">
        <f t="shared" si="68"/>
        <v>0.21953833470733716</v>
      </c>
      <c r="AE39" s="187">
        <f t="shared" si="67"/>
        <v>0.94577983721846726</v>
      </c>
    </row>
    <row r="40" spans="1:31" x14ac:dyDescent="0.3">
      <c r="A40" s="132" t="str">
        <f t="shared" si="57"/>
        <v>Goldman Sachs</v>
      </c>
      <c r="B40" s="148">
        <f>AVERAGE([21]DCF!$Z$11:$AE$11)/AVERAGE([21]DCF!$Z$6:$AE$6)</f>
        <v>0.22972247592182554</v>
      </c>
      <c r="C40" s="148">
        <f t="shared" ref="C40:C42" si="69">C29</f>
        <v>1.0252891048935779E-2</v>
      </c>
      <c r="D40" s="148">
        <f>[21]Calc!L6</f>
        <v>2.1044753892880817E-2</v>
      </c>
      <c r="E40" s="148">
        <f>([21]DCF!$AE$3/[21]DCF!$Z$3)^(1/6)-1</f>
        <v>9.1361040114021241E-2</v>
      </c>
      <c r="F40" s="148">
        <f>'USI-2'!BS5</f>
        <v>8.5453717500000012E-2</v>
      </c>
      <c r="G40" s="148">
        <f>[21]DCF!$Z$4/[21]DCF!$Z$3</f>
        <v>3.995820141304178E-2</v>
      </c>
      <c r="H40" s="180">
        <f t="shared" si="58"/>
        <v>0.80993988855810861</v>
      </c>
      <c r="K40" s="11" t="str">
        <v>Goldman Sachs</v>
      </c>
      <c r="L40" s="187">
        <v>0.22972247592182554</v>
      </c>
      <c r="M40" s="187">
        <v>1.0252891048935779E-2</v>
      </c>
      <c r="N40" s="187">
        <v>2.1044753892880817E-2</v>
      </c>
      <c r="O40" s="187">
        <v>9.1361040114021241E-2</v>
      </c>
      <c r="P40" s="187">
        <v>8.5453717500000012E-2</v>
      </c>
      <c r="Q40" s="187">
        <v>3.995820141304178E-2</v>
      </c>
      <c r="R40" s="187">
        <f t="shared" si="59"/>
        <v>0.50917140921916415</v>
      </c>
      <c r="S40" s="187">
        <f t="shared" si="60"/>
        <v>0.47540028033671949</v>
      </c>
      <c r="T40" s="187">
        <f t="shared" si="61"/>
        <v>7.1328572420786399E-2</v>
      </c>
      <c r="U40" s="187">
        <f t="shared" si="62"/>
        <v>0.9870417345998892</v>
      </c>
      <c r="V40" s="187">
        <f t="shared" si="63"/>
        <v>1</v>
      </c>
      <c r="W40" s="187">
        <f t="shared" si="64"/>
        <v>0</v>
      </c>
      <c r="X40" s="187">
        <f t="shared" si="65"/>
        <v>3.0429419965765589</v>
      </c>
      <c r="Y40" s="187">
        <f>(R40/$X$40)</f>
        <v>0.16732866081312228</v>
      </c>
      <c r="Z40" s="187">
        <f t="shared" ref="Z40:AD40" si="70">(S40/$X$40)</f>
        <v>0.15623047723931818</v>
      </c>
      <c r="AA40" s="187">
        <f t="shared" si="70"/>
        <v>2.3440661209130544E-2</v>
      </c>
      <c r="AB40" s="187">
        <f t="shared" si="70"/>
        <v>0.32437086730879316</v>
      </c>
      <c r="AC40" s="187">
        <f t="shared" si="70"/>
        <v>0.32862933342963591</v>
      </c>
      <c r="AD40" s="187">
        <f t="shared" si="70"/>
        <v>0</v>
      </c>
      <c r="AE40" s="187">
        <f t="shared" si="67"/>
        <v>0.80993988855810861</v>
      </c>
    </row>
    <row r="41" spans="1:31" x14ac:dyDescent="0.3">
      <c r="A41" s="132" t="str">
        <f t="shared" si="57"/>
        <v>Morgan Stanley</v>
      </c>
      <c r="B41" s="148">
        <f>AVERAGE([21]DCF!$AP$11:$AU$11)/AVERAGE([21]DCF!$AP$6:$AU$6)</f>
        <v>0.21489747410984478</v>
      </c>
      <c r="C41" s="148">
        <f t="shared" si="69"/>
        <v>1.8240201959954781E-3</v>
      </c>
      <c r="D41" s="148">
        <f>[21]Calc!L7</f>
        <v>4.8910009973678906E-2</v>
      </c>
      <c r="E41" s="148">
        <f>([21]DCF!$AU$3/[21]DCF!$AP$3)^(1/6)-1</f>
        <v>7.9377322441282594E-2</v>
      </c>
      <c r="F41" s="148">
        <f>'USI-2'!BS6</f>
        <v>8.3770161600000004E-2</v>
      </c>
      <c r="G41" s="148">
        <f>[21]DCF!$AP$4/[21]DCF!$AP$3</f>
        <v>4.0152222956497959E-2</v>
      </c>
      <c r="H41" s="180">
        <f t="shared" si="58"/>
        <v>0.67993236054081418</v>
      </c>
      <c r="K41" s="11" t="str">
        <v>Morgan Stanley</v>
      </c>
      <c r="L41" s="187">
        <v>0.21489747410984478</v>
      </c>
      <c r="M41" s="187">
        <v>1.8240201959954781E-3</v>
      </c>
      <c r="N41" s="187">
        <v>4.8910009973678906E-2</v>
      </c>
      <c r="O41" s="187">
        <v>7.9377322441282594E-2</v>
      </c>
      <c r="P41" s="187">
        <v>8.3770161600000004E-2</v>
      </c>
      <c r="Q41" s="187">
        <v>4.0152222956497959E-2</v>
      </c>
      <c r="R41" s="187">
        <f t="shared" si="59"/>
        <v>0.41754411677855124</v>
      </c>
      <c r="S41" s="187">
        <f t="shared" si="60"/>
        <v>0</v>
      </c>
      <c r="T41" s="187">
        <f t="shared" si="61"/>
        <v>0.17225358995700124</v>
      </c>
      <c r="U41" s="187">
        <f t="shared" si="62"/>
        <v>0.85361198011187156</v>
      </c>
      <c r="V41" s="187">
        <f t="shared" si="63"/>
        <v>0.75103266992114071</v>
      </c>
      <c r="W41" s="187">
        <f t="shared" si="64"/>
        <v>6.9023682955753323E-3</v>
      </c>
      <c r="X41" s="187">
        <f t="shared" si="65"/>
        <v>2.2013447250641396</v>
      </c>
      <c r="Y41" s="187">
        <f>(R41/$X$41)</f>
        <v>0.18967684253377692</v>
      </c>
      <c r="Z41" s="187">
        <f t="shared" ref="Z41:AD41" si="71">(S41/$X$41)</f>
        <v>0</v>
      </c>
      <c r="AA41" s="187">
        <f t="shared" si="71"/>
        <v>7.8249257372437375E-2</v>
      </c>
      <c r="AB41" s="187">
        <f t="shared" si="71"/>
        <v>0.38776842644988291</v>
      </c>
      <c r="AC41" s="187">
        <f t="shared" si="71"/>
        <v>0.34116995006279999</v>
      </c>
      <c r="AD41" s="187">
        <f t="shared" si="71"/>
        <v>3.1355235811030102E-3</v>
      </c>
      <c r="AE41" s="187">
        <f t="shared" si="67"/>
        <v>0.67993236054081418</v>
      </c>
    </row>
    <row r="42" spans="1:31" x14ac:dyDescent="0.3">
      <c r="A42" s="132" t="str">
        <f t="shared" si="57"/>
        <v>Wells Fargo</v>
      </c>
      <c r="B42" s="148">
        <f>AVERAGE([21]DCF!$AX$11:$BC$11)/AVERAGE([21]DCF!$AX$6:$BC$6)</f>
        <v>0.19947436796652734</v>
      </c>
      <c r="C42" s="148">
        <f t="shared" si="69"/>
        <v>4.4675476547530657E-3</v>
      </c>
      <c r="D42" s="148">
        <f>[21]Calc!L8</f>
        <v>1.3510348834215381E-3</v>
      </c>
      <c r="E42" s="148">
        <f>([21]DCF!$BC$3/[21]DCF!$AX$3)^(1/6)-1</f>
        <v>2.7119263984030084E-3</v>
      </c>
      <c r="F42" s="148">
        <f>'USI-2'!BS7</f>
        <v>8.0880438200000015E-2</v>
      </c>
      <c r="G42" s="148">
        <f>[21]DCF!$AX$4/[21]DCF!$AX$3</f>
        <v>4.6426655954031011E-2</v>
      </c>
      <c r="H42" s="180">
        <f t="shared" si="58"/>
        <v>0.27683156454004842</v>
      </c>
      <c r="K42" s="11" t="str">
        <v>Wells Fargo</v>
      </c>
      <c r="L42" s="187">
        <v>0.19947436796652734</v>
      </c>
      <c r="M42" s="187">
        <v>4.4675476547530657E-3</v>
      </c>
      <c r="N42" s="187">
        <v>1.3510348834215381E-3</v>
      </c>
      <c r="O42" s="187">
        <v>2.7119263984030084E-3</v>
      </c>
      <c r="P42" s="187">
        <v>8.0880438200000015E-2</v>
      </c>
      <c r="Q42" s="187">
        <v>4.6426655954031011E-2</v>
      </c>
      <c r="R42" s="187">
        <f t="shared" si="59"/>
        <v>0.32222018529718666</v>
      </c>
      <c r="S42" s="187">
        <f t="shared" si="60"/>
        <v>0.14909870098825606</v>
      </c>
      <c r="T42" s="187">
        <f t="shared" si="61"/>
        <v>0</v>
      </c>
      <c r="U42" s="187">
        <f t="shared" si="62"/>
        <v>0</v>
      </c>
      <c r="V42" s="187">
        <f t="shared" si="63"/>
        <v>0.32369508073601361</v>
      </c>
      <c r="W42" s="187">
        <f t="shared" si="64"/>
        <v>0.23011700015250336</v>
      </c>
      <c r="X42" s="187">
        <f t="shared" si="65"/>
        <v>1.0251309671739597</v>
      </c>
      <c r="Y42" s="187">
        <f>(R42/$X$42)</f>
        <v>0.31432099469736091</v>
      </c>
      <c r="Z42" s="187">
        <f t="shared" ref="Z42:AD42" si="72">(S42/$X$42)</f>
        <v>0.14544356356660013</v>
      </c>
      <c r="AA42" s="187">
        <f t="shared" si="72"/>
        <v>0</v>
      </c>
      <c r="AB42" s="187">
        <f t="shared" si="72"/>
        <v>0</v>
      </c>
      <c r="AC42" s="187">
        <f t="shared" si="72"/>
        <v>0.31575973324497586</v>
      </c>
      <c r="AD42" s="187">
        <f t="shared" si="72"/>
        <v>0.2244757084910631</v>
      </c>
      <c r="AE42" s="187">
        <f t="shared" si="67"/>
        <v>0.27683156454004842</v>
      </c>
    </row>
    <row r="44" spans="1:31" x14ac:dyDescent="0.3">
      <c r="A44" s="132" t="s">
        <v>9</v>
      </c>
      <c r="B44" s="132" t="s">
        <v>78</v>
      </c>
      <c r="C44" s="132" t="s">
        <v>367</v>
      </c>
      <c r="D44" s="132" t="s">
        <v>105</v>
      </c>
      <c r="E44" s="132" t="s">
        <v>368</v>
      </c>
      <c r="F44" s="132" t="s">
        <v>141</v>
      </c>
      <c r="G44" s="132" t="s">
        <v>302</v>
      </c>
      <c r="H44" s="132" t="s">
        <v>177</v>
      </c>
      <c r="I44" s="132" t="s">
        <v>330</v>
      </c>
      <c r="K44" s="226" t="str" cm="1">
        <f t="array" ref="K44:R45">Table176[[#All],[Company]:[Ke]]</f>
        <v>Company</v>
      </c>
      <c r="L44" s="226" t="str">
        <v>EBITDA Margin</v>
      </c>
      <c r="M44" s="226" t="str">
        <v>Capex Intensity</v>
      </c>
      <c r="N44" s="226" t="str">
        <v>ROCE</v>
      </c>
      <c r="O44" s="226" t="str">
        <v>NPM</v>
      </c>
      <c r="P44" s="226" t="str">
        <v>Revenue CAGR</v>
      </c>
      <c r="Q44" s="226" t="str">
        <v>WACC</v>
      </c>
      <c r="R44" s="226" t="str">
        <v>Ke</v>
      </c>
      <c r="S44" s="226" t="s">
        <v>341</v>
      </c>
      <c r="T44" s="226" t="s">
        <v>449</v>
      </c>
      <c r="U44" s="226" t="s">
        <v>450</v>
      </c>
      <c r="V44" s="226" t="s">
        <v>445</v>
      </c>
      <c r="W44" s="226" t="s">
        <v>443</v>
      </c>
      <c r="X44" s="226" t="s">
        <v>451</v>
      </c>
      <c r="Y44" s="226" t="s">
        <v>452</v>
      </c>
      <c r="Z44" s="226" t="s">
        <v>447</v>
      </c>
      <c r="AA44" s="226" t="s">
        <v>330</v>
      </c>
    </row>
    <row r="45" spans="1:31" x14ac:dyDescent="0.3">
      <c r="A45" s="132" t="s">
        <v>435</v>
      </c>
      <c r="B45" s="148">
        <f>(AVERAGE([21]DCF!$AH$4:$AM$4)+AVERAGE([21]DCF!$AH$7:$AM$7))/AVERAGE([21]DCF!$AH$3:$AM$3)</f>
        <v>0.38237859525938206</v>
      </c>
      <c r="C45" s="194">
        <f>[21]Calc!$D$77</f>
        <v>7.1172233506629221E-3</v>
      </c>
      <c r="D45" s="194">
        <f>[21]Calc!$L$5</f>
        <v>4.0654793964396876E-2</v>
      </c>
      <c r="E45" s="148">
        <f>AVERAGE([21]DCF!$AH$6:$AM$6)/AVERAGE([21]DCF!$AH$3:$AM$3)</f>
        <v>0.29106064240389024</v>
      </c>
      <c r="F45" s="148">
        <f>([21]DCF!$AM$3/[21]DCF!$AH$3)^(1/6)-1</f>
        <v>3.9174197747778861E-2</v>
      </c>
      <c r="G45" s="194">
        <f>'USI-2'!BW8</f>
        <v>8.3737340140405583E-2</v>
      </c>
      <c r="H45" s="194">
        <f>'USI-2'!BS8</f>
        <v>8.7759401900000006E-2</v>
      </c>
      <c r="K45" s="11" t="str">
        <v>Blackrock</v>
      </c>
      <c r="L45" s="187">
        <v>0.38237859525938206</v>
      </c>
      <c r="M45" s="187">
        <v>7.1172233506629221E-3</v>
      </c>
      <c r="N45" s="187">
        <v>4.0654793964396876E-2</v>
      </c>
      <c r="O45" s="187">
        <v>0.29106064240389024</v>
      </c>
      <c r="P45" s="187">
        <v>3.9174197747778861E-2</v>
      </c>
      <c r="Q45" s="187">
        <v>8.3737340140405583E-2</v>
      </c>
      <c r="R45" s="187">
        <v>8.7759401900000006E-2</v>
      </c>
      <c r="S45" s="187">
        <f>SUM(L45:R45)</f>
        <v>0.93188219476651646</v>
      </c>
      <c r="T45" s="187">
        <f>L45/$S$45</f>
        <v>0.41032932854263537</v>
      </c>
      <c r="U45" s="187">
        <f t="shared" ref="U45:Z45" si="73">M45/$S$45</f>
        <v>7.6374711209565987E-3</v>
      </c>
      <c r="V45" s="187">
        <f t="shared" si="73"/>
        <v>4.3626537981641504E-2</v>
      </c>
      <c r="W45" s="187">
        <f t="shared" si="73"/>
        <v>0.31233630606797419</v>
      </c>
      <c r="X45" s="187">
        <f t="shared" si="73"/>
        <v>4.2037714603608209E-2</v>
      </c>
      <c r="Y45" s="187">
        <f t="shared" si="73"/>
        <v>8.9858289610722758E-2</v>
      </c>
      <c r="Z45" s="187">
        <f t="shared" si="73"/>
        <v>9.4174352072461442E-2</v>
      </c>
      <c r="AA45" s="187">
        <f>(L45*T45)+(M45*U45)+(N45*V45)+(O45*W45)+(P45*X45)+(Q45*Y45)+(R45*Z45)</f>
        <v>0.26707391635140049</v>
      </c>
    </row>
  </sheetData>
  <pageMargins left="0.7" right="0.7" top="0.75" bottom="0.75" header="0.3" footer="0.3"/>
  <drawing r:id="rId1"/>
  <tableParts count="7">
    <tablePart r:id="rId2"/>
    <tablePart r:id="rId3"/>
    <tablePart r:id="rId4"/>
    <tablePart r:id="rId5"/>
    <tablePart r:id="rId6"/>
    <tablePart r:id="rId7"/>
    <tablePart r:id="rId8"/>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289A-F0BF-449A-B517-83C60EC43B26}">
  <dimension ref="A1:P56"/>
  <sheetViews>
    <sheetView topLeftCell="A34" workbookViewId="0">
      <selection activeCell="C60" sqref="C60"/>
    </sheetView>
  </sheetViews>
  <sheetFormatPr defaultRowHeight="14.4" x14ac:dyDescent="0.3"/>
  <cols>
    <col min="1" max="1" width="14.77734375" style="1" bestFit="1" customWidth="1"/>
    <col min="2" max="2" width="21.33203125" style="1" bestFit="1" customWidth="1"/>
    <col min="3" max="6" width="8.88671875" style="160"/>
    <col min="7" max="9" width="8.88671875" style="134"/>
    <col min="10" max="16384" width="8.88671875" style="1"/>
  </cols>
  <sheetData>
    <row r="1" spans="1:9" x14ac:dyDescent="0.3">
      <c r="A1" s="1" t="s">
        <v>514</v>
      </c>
      <c r="C1" s="134"/>
      <c r="D1" s="134"/>
      <c r="E1" s="134"/>
      <c r="F1" s="134"/>
    </row>
    <row r="2" spans="1:9" x14ac:dyDescent="0.3">
      <c r="A2" s="141" t="s">
        <v>8</v>
      </c>
      <c r="B2" s="141" t="s">
        <v>9</v>
      </c>
      <c r="C2" s="155" t="s">
        <v>119</v>
      </c>
      <c r="D2" s="155" t="s">
        <v>462</v>
      </c>
      <c r="E2" s="155" t="s">
        <v>328</v>
      </c>
      <c r="F2" s="155" t="s">
        <v>513</v>
      </c>
      <c r="G2" s="155" t="s">
        <v>298</v>
      </c>
      <c r="H2" s="155"/>
      <c r="I2" s="155"/>
    </row>
    <row r="3" spans="1:9" x14ac:dyDescent="0.3">
      <c r="A3" s="1" t="s">
        <v>525</v>
      </c>
      <c r="B3" s="1" t="s">
        <v>526</v>
      </c>
      <c r="C3" s="53">
        <v>1.2373935529894333</v>
      </c>
      <c r="D3" s="53">
        <v>4.3412325981542308</v>
      </c>
      <c r="E3" s="53">
        <v>4.680717488789238</v>
      </c>
      <c r="F3" s="1"/>
      <c r="G3" s="52">
        <v>1.0226057016375299E-2</v>
      </c>
    </row>
    <row r="4" spans="1:9" x14ac:dyDescent="0.3">
      <c r="A4" s="1" t="s">
        <v>525</v>
      </c>
      <c r="B4" s="1" t="s">
        <v>527</v>
      </c>
      <c r="C4" s="53">
        <v>1.9779234639426742</v>
      </c>
      <c r="D4" s="53">
        <v>6.3816223129519409</v>
      </c>
      <c r="E4" s="53">
        <v>15.111111111111111</v>
      </c>
      <c r="F4" s="1"/>
      <c r="G4" s="52">
        <v>5.0212746276940149E-3</v>
      </c>
    </row>
    <row r="5" spans="1:9" x14ac:dyDescent="0.3">
      <c r="A5" s="1" t="s">
        <v>525</v>
      </c>
      <c r="B5" s="1" t="s">
        <v>528</v>
      </c>
      <c r="C5" s="53">
        <v>2.2036985911033717</v>
      </c>
      <c r="D5" s="53">
        <v>12.056785033777937</v>
      </c>
      <c r="E5" s="53">
        <v>13.549726811499925</v>
      </c>
      <c r="F5" s="1"/>
      <c r="G5" s="52">
        <v>3.2338014276405858E-3</v>
      </c>
    </row>
    <row r="6" spans="1:9" x14ac:dyDescent="0.3">
      <c r="A6" s="1" t="s">
        <v>525</v>
      </c>
      <c r="B6" s="1" t="s">
        <v>529</v>
      </c>
      <c r="C6" s="53">
        <v>0.81651935385553187</v>
      </c>
      <c r="D6" s="53">
        <v>-1.4647348277747403</v>
      </c>
      <c r="E6" s="53">
        <v>-14.745283018867925</v>
      </c>
      <c r="F6" s="1"/>
      <c r="G6" s="52">
        <v>4.0063679428438297E-2</v>
      </c>
    </row>
    <row r="7" spans="1:9" x14ac:dyDescent="0.3">
      <c r="A7" s="1" t="s">
        <v>525</v>
      </c>
      <c r="B7" s="1" t="s">
        <v>530</v>
      </c>
      <c r="C7" s="53">
        <v>0.45335200633258238</v>
      </c>
      <c r="D7" s="53">
        <v>3.3312751677852348</v>
      </c>
      <c r="E7" s="53">
        <v>-11.446376811594202</v>
      </c>
      <c r="F7" s="1"/>
      <c r="G7" s="52">
        <v>1.0901361231166943E-2</v>
      </c>
    </row>
    <row r="8" spans="1:9" x14ac:dyDescent="0.3">
      <c r="A8" s="1" t="s">
        <v>525</v>
      </c>
      <c r="B8" s="1" t="s">
        <v>531</v>
      </c>
      <c r="C8" s="53">
        <v>0.11264109280923841</v>
      </c>
      <c r="D8" s="53">
        <v>0.65999678559948571</v>
      </c>
      <c r="E8" s="53">
        <v>20.217142857142857</v>
      </c>
      <c r="F8" s="1"/>
      <c r="G8" s="52">
        <v>3.9879078256901665E-2</v>
      </c>
    </row>
    <row r="9" spans="1:9" x14ac:dyDescent="0.3">
      <c r="A9" s="1" t="s">
        <v>148</v>
      </c>
      <c r="B9" s="1" t="s">
        <v>532</v>
      </c>
      <c r="C9" s="41">
        <v>0.27585562870616798</v>
      </c>
      <c r="D9" s="41">
        <v>1.3973509933774835</v>
      </c>
      <c r="E9" s="41">
        <v>95.733333333333334</v>
      </c>
      <c r="F9" s="41"/>
      <c r="G9" s="42">
        <v>1.4041026046624619E-2</v>
      </c>
    </row>
    <row r="10" spans="1:9" x14ac:dyDescent="0.3">
      <c r="A10" s="1" t="s">
        <v>148</v>
      </c>
      <c r="B10" s="1" t="s">
        <v>533</v>
      </c>
      <c r="C10" s="41">
        <v>0.310931961915352</v>
      </c>
      <c r="D10" s="41">
        <v>0.78864798166754801</v>
      </c>
      <c r="E10" s="41">
        <v>28.542319749216301</v>
      </c>
      <c r="F10" s="41"/>
      <c r="G10" s="42">
        <v>4.1481589167410848E-2</v>
      </c>
    </row>
    <row r="11" spans="1:9" x14ac:dyDescent="0.3">
      <c r="A11" s="1" t="s">
        <v>148</v>
      </c>
      <c r="B11" s="1" t="s">
        <v>534</v>
      </c>
      <c r="C11" s="41">
        <v>0.49350397517936784</v>
      </c>
      <c r="D11" s="41">
        <v>1.471949103528051</v>
      </c>
      <c r="E11" s="41">
        <v>6.9679487179487181</v>
      </c>
      <c r="F11" s="41"/>
      <c r="G11" s="42">
        <v>5.2795750845002418E-2</v>
      </c>
    </row>
    <row r="12" spans="1:9" x14ac:dyDescent="0.3">
      <c r="A12" s="1" t="s">
        <v>148</v>
      </c>
      <c r="B12" s="1" t="s">
        <v>535</v>
      </c>
      <c r="C12" s="41">
        <v>0.39133298208640677</v>
      </c>
      <c r="D12" s="41">
        <v>1.1139857517810274</v>
      </c>
      <c r="E12" s="41">
        <v>14.396694214876034</v>
      </c>
      <c r="F12" s="41"/>
      <c r="G12" s="42">
        <v>4.6115125535823635E-2</v>
      </c>
    </row>
    <row r="13" spans="1:9" x14ac:dyDescent="0.3">
      <c r="A13" s="1" t="s">
        <v>148</v>
      </c>
      <c r="B13" s="1" t="s">
        <v>536</v>
      </c>
      <c r="C13" s="41">
        <v>0.90796033835639456</v>
      </c>
      <c r="D13" s="41">
        <v>6.1324252743094965</v>
      </c>
      <c r="E13" s="41">
        <v>2.876695437731196</v>
      </c>
      <c r="F13" s="41"/>
      <c r="G13" s="42">
        <v>3.7403734856084572E-2</v>
      </c>
    </row>
    <row r="14" spans="1:9" x14ac:dyDescent="0.3">
      <c r="A14" s="1" t="s">
        <v>148</v>
      </c>
      <c r="B14" s="1" t="s">
        <v>537</v>
      </c>
      <c r="C14" s="41">
        <v>0.28151051180710085</v>
      </c>
      <c r="D14" s="41">
        <v>0.87571030065089372</v>
      </c>
      <c r="E14" s="41">
        <v>18.941333333333333</v>
      </c>
      <c r="F14" s="41"/>
      <c r="G14" s="42">
        <v>3.1753265518437171E-2</v>
      </c>
    </row>
    <row r="15" spans="1:9" x14ac:dyDescent="0.3">
      <c r="A15" s="1" t="s">
        <v>40</v>
      </c>
      <c r="B15" s="1" t="s">
        <v>538</v>
      </c>
      <c r="C15" s="160">
        <f>[48]Financials!$F$21/[48]Financials!$F$22</f>
        <v>0.66632753581060344</v>
      </c>
      <c r="D15" s="160">
        <f>[48]Financials!$F$21/([48]Financials!$F$7+[48]Financials!$F$28)</f>
        <v>3.7394417255754941</v>
      </c>
      <c r="E15" s="160">
        <f>[48]Financials!$F$7/[48]Financials!$F$8</f>
        <v>3.5821697099892589</v>
      </c>
      <c r="G15" s="159">
        <f>'[48]Assumptions &amp; WACC'!$B$14</f>
        <v>3.1306472186789419E-2</v>
      </c>
    </row>
    <row r="16" spans="1:9" x14ac:dyDescent="0.3">
      <c r="A16" s="1" t="s">
        <v>40</v>
      </c>
      <c r="B16" s="1" t="s">
        <v>539</v>
      </c>
      <c r="C16" s="160">
        <f>[48]Financials!$M$21/[48]Financials!$M$22</f>
        <v>3.2006947734091269</v>
      </c>
      <c r="D16" s="160">
        <f>[48]Financials!$M$21/([48]Financials!$M$7+[48]Financials!$M$29)</f>
        <v>2.3646756882874476</v>
      </c>
      <c r="E16" s="160">
        <f>[48]Financials!$M$7/[48]Financials!$M$8</f>
        <v>6.769305019305019</v>
      </c>
      <c r="G16" s="159">
        <f>'[48]Assumptions &amp; WACC'!$C$14</f>
        <v>3.7291399229781766E-2</v>
      </c>
    </row>
    <row r="17" spans="1:16" x14ac:dyDescent="0.3">
      <c r="A17" s="1" t="s">
        <v>40</v>
      </c>
      <c r="B17" s="1" t="s">
        <v>540</v>
      </c>
      <c r="C17" s="160">
        <f>[48]Financials!$T$21/[48]Financials!$T$22</f>
        <v>0.39713547568327062</v>
      </c>
      <c r="D17" s="160">
        <f>[48]Financials!$T$21/([48]Financials!$T$7+[48]Financials!$T$29)</f>
        <v>1.5420626539950721</v>
      </c>
      <c r="E17" s="160">
        <f>[48]Financials!$T$7/[48]Financials!$T$8</f>
        <v>14.802469135802468</v>
      </c>
      <c r="F17" s="160">
        <f>[48]Financials!$T$21/([48]Financials!$T$23-[48]Financials!$T$16)</f>
        <v>0.23023964683624132</v>
      </c>
      <c r="G17" s="159">
        <f>'[48]Assumptions &amp; WACC'!$D$14</f>
        <v>2.8062325511205011E-2</v>
      </c>
    </row>
    <row r="18" spans="1:16" x14ac:dyDescent="0.3">
      <c r="A18" s="1" t="s">
        <v>40</v>
      </c>
      <c r="B18" s="1" t="s">
        <v>541</v>
      </c>
      <c r="C18" s="160">
        <f>[48]Financials!$AA$21/[48]Financials!$AA$22</f>
        <v>0.69706304105369377</v>
      </c>
      <c r="D18" s="160">
        <f>[48]Financials!$AA$21/([48]Financials!$AA$7+[48]Financials!$AA$29)</f>
        <v>4.4795221843003414</v>
      </c>
      <c r="E18" s="160">
        <f>[48]Financials!$AA$7/[48]Financials!$AA$8</f>
        <v>3.2486187845303869</v>
      </c>
      <c r="F18" s="160">
        <f>[48]Financials!$AA$21/([48]Financials!$AA$23-[48]Financials!$AA$16)</f>
        <v>0.38966244099397324</v>
      </c>
      <c r="G18" s="159">
        <f>'[48]Assumptions &amp; WACC'!$E$14</f>
        <v>3.3731594265387514E-2</v>
      </c>
    </row>
    <row r="19" spans="1:16" x14ac:dyDescent="0.3">
      <c r="A19" s="1" t="s">
        <v>40</v>
      </c>
      <c r="B19" s="1" t="s">
        <v>542</v>
      </c>
      <c r="C19" s="160">
        <f>[48]Financials!$AH$21/[48]Financials!$AH$22</f>
        <v>0.77096394984326022</v>
      </c>
      <c r="D19" s="160">
        <f>[48]Financials!$AH$21/([48]Financials!$AH$7+[48]Financials!$AH$29)</f>
        <v>1.5363092139510672</v>
      </c>
      <c r="E19" s="160">
        <f>[48]Financials!$AH$7/[48]Financials!$AH$8</f>
        <v>12.533596837944664</v>
      </c>
      <c r="F19" s="53">
        <f>[48]Financials!$AH$21/([48]Financials!$AH$23-[48]Financials!$AH$16)</f>
        <v>0.36697960706291965</v>
      </c>
      <c r="G19" s="159">
        <f>'[48]Assumptions &amp; WACC'!$F$14</f>
        <v>3.2265860578422782E-2</v>
      </c>
    </row>
    <row r="20" spans="1:16" x14ac:dyDescent="0.3">
      <c r="A20" s="1" t="s">
        <v>43</v>
      </c>
      <c r="B20" s="1" t="s">
        <v>543</v>
      </c>
      <c r="C20" s="53">
        <v>1.3617763810783989</v>
      </c>
      <c r="D20" s="53">
        <v>4.0500270549461357</v>
      </c>
      <c r="E20" s="53">
        <v>6.6519015659955256</v>
      </c>
      <c r="G20" s="52">
        <v>2.2293307938706607E-2</v>
      </c>
      <c r="H20" s="159"/>
      <c r="I20" s="159"/>
      <c r="L20" s="53"/>
      <c r="M20" s="53"/>
      <c r="N20" s="53"/>
      <c r="P20" s="52"/>
    </row>
    <row r="21" spans="1:16" x14ac:dyDescent="0.3">
      <c r="A21" s="1" t="s">
        <v>43</v>
      </c>
      <c r="B21" s="1" t="s">
        <v>544</v>
      </c>
      <c r="C21" s="53">
        <v>1.6441587326361793</v>
      </c>
      <c r="D21" s="53">
        <v>4.3247972903623113</v>
      </c>
      <c r="E21" s="53">
        <v>4.0463947990543732</v>
      </c>
      <c r="F21" s="1"/>
      <c r="G21" s="52">
        <v>2.7830921280053135E-2</v>
      </c>
      <c r="H21" s="159"/>
      <c r="I21" s="159"/>
      <c r="L21" s="53"/>
      <c r="M21" s="53"/>
      <c r="N21" s="53"/>
      <c r="P21" s="52"/>
    </row>
    <row r="22" spans="1:16" x14ac:dyDescent="0.3">
      <c r="A22" s="1" t="s">
        <v>43</v>
      </c>
      <c r="B22" s="1" t="s">
        <v>545</v>
      </c>
      <c r="C22" s="53">
        <v>1.3256822999470059</v>
      </c>
      <c r="D22" s="53">
        <v>4.569585569128896</v>
      </c>
      <c r="E22" s="53">
        <v>3.3990461049284577</v>
      </c>
      <c r="F22" s="53">
        <f>[49]Financials!$T$20/([49]Financials!$T$14-[49]Financials!$T$18)</f>
        <v>0.42979404248008074</v>
      </c>
      <c r="G22" s="52">
        <v>3.210528388489936E-2</v>
      </c>
      <c r="H22" s="159"/>
      <c r="I22" s="159"/>
      <c r="L22" s="53"/>
      <c r="M22" s="53"/>
      <c r="N22" s="53"/>
      <c r="P22" s="52"/>
    </row>
    <row r="23" spans="1:16" x14ac:dyDescent="0.3">
      <c r="A23" s="1" t="s">
        <v>43</v>
      </c>
      <c r="B23" s="1" t="s">
        <v>546</v>
      </c>
      <c r="C23" s="53">
        <v>1.6024431477340895</v>
      </c>
      <c r="D23" s="53">
        <v>3.361629104221485</v>
      </c>
      <c r="E23" s="53">
        <v>4.6398104265402846</v>
      </c>
      <c r="F23" s="53">
        <f>[49]Financials!$AA$20/([49]Financials!$AA$14-[49]Financials!$AA$18)</f>
        <v>0.45490645343571723</v>
      </c>
      <c r="G23" s="52">
        <v>3.1964350506250308E-2</v>
      </c>
      <c r="H23" s="159"/>
      <c r="I23" s="159"/>
      <c r="L23" s="53"/>
      <c r="M23" s="53"/>
      <c r="N23" s="53"/>
      <c r="P23" s="52"/>
    </row>
    <row r="24" spans="1:16" x14ac:dyDescent="0.3">
      <c r="A24" s="1" t="s">
        <v>43</v>
      </c>
      <c r="B24" s="1" t="s">
        <v>547</v>
      </c>
      <c r="C24" s="53">
        <v>1.4913431000922037</v>
      </c>
      <c r="D24" s="53">
        <v>3.5487567040468067</v>
      </c>
      <c r="E24" s="53">
        <v>4.1114457831325302</v>
      </c>
      <c r="F24" s="53">
        <f>[49]Financials!$AH$20/([49]Financials!$AH$14-[49]Financials!$AH$18)</f>
        <v>0.4579401031835913</v>
      </c>
      <c r="G24" s="52">
        <v>5.3640920834869682E-2</v>
      </c>
      <c r="H24" s="159"/>
      <c r="I24" s="159"/>
      <c r="L24" s="53"/>
      <c r="M24" s="53"/>
      <c r="N24" s="53"/>
      <c r="P24" s="52"/>
    </row>
    <row r="25" spans="1:16" x14ac:dyDescent="0.3">
      <c r="A25" s="1" t="s">
        <v>523</v>
      </c>
      <c r="B25" s="1" t="s">
        <v>548</v>
      </c>
      <c r="C25" s="160">
        <f>[50]Financials!$F$21/[50]Financials!$F$22</f>
        <v>0.64202219189461818</v>
      </c>
      <c r="D25" s="160">
        <f>[50]Financials!$F$21/([50]Financials!$F$6+[50]Financials!$F$7)</f>
        <v>1.5139219252833356</v>
      </c>
      <c r="E25" s="160">
        <f>[50]Financials!$F$6/[50]Financials!$F$8</f>
        <v>20.048648648648648</v>
      </c>
      <c r="G25" s="159">
        <f>'[50]Assumptions &amp; WACC'!$B$15</f>
        <v>1.4470195047118124E-2</v>
      </c>
    </row>
    <row r="26" spans="1:16" x14ac:dyDescent="0.3">
      <c r="A26" s="1" t="s">
        <v>523</v>
      </c>
      <c r="B26" s="1" t="s">
        <v>549</v>
      </c>
      <c r="C26" s="160">
        <f>[50]Financials!$M$21/[50]Financials!$M$22</f>
        <v>2.438280777062352</v>
      </c>
      <c r="D26" s="160">
        <f>[50]Financials!$M$21/([50]Financials!$M$6+[50]Financials!$M$7)</f>
        <v>2.7610145198479468</v>
      </c>
      <c r="E26" s="160">
        <f>[50]Financials!$M$6/[50]Financials!$M$8</f>
        <v>14.022850924918389</v>
      </c>
      <c r="G26" s="159">
        <f>'[50]Assumptions &amp; WACC'!$C$15</f>
        <v>2.0589905928309258E-2</v>
      </c>
    </row>
    <row r="27" spans="1:16" x14ac:dyDescent="0.3">
      <c r="A27" s="1" t="s">
        <v>523</v>
      </c>
      <c r="B27" s="1" t="s">
        <v>550</v>
      </c>
      <c r="C27" s="160">
        <f>[50]Financials!$T$21/[50]Financials!$T$22</f>
        <v>1.6882299408463521</v>
      </c>
      <c r="D27" s="160">
        <f>[50]Financials!$T$21/([50]Financials!$T$6+[50]Financials!$T$7)</f>
        <v>2.8148194980084718</v>
      </c>
      <c r="E27" s="160">
        <f>[50]Financials!$T$6/[50]Financials!$T$8</f>
        <v>8.9021739130434785</v>
      </c>
      <c r="F27" s="160">
        <f>[50]Financials!$T$21/([50]Financials!$T$15-[50]Financials!$T$20)</f>
        <v>0.59126162018592299</v>
      </c>
      <c r="G27" s="159">
        <f>'[50]Assumptions &amp; WACC'!$D$15</f>
        <v>2.5870868810018502E-2</v>
      </c>
    </row>
    <row r="28" spans="1:16" x14ac:dyDescent="0.3">
      <c r="A28" s="1" t="s">
        <v>523</v>
      </c>
      <c r="B28" s="1" t="s">
        <v>551</v>
      </c>
      <c r="C28" s="160">
        <f>[50]Financials!$AA$21/[50]Financials!$AA$22</f>
        <v>8.9331243469174506</v>
      </c>
      <c r="D28" s="160">
        <f>[50]Financials!$AA$21/([50]Financials!$AA$6+[50]Financials!$AA$7)</f>
        <v>2.0669729206963248</v>
      </c>
      <c r="E28" s="160">
        <f>[50]Financials!$AA$6/[50]Financials!$AA$8</f>
        <v>12.435540069686411</v>
      </c>
      <c r="F28" s="160">
        <f>[50]Financials!$AA$21/([50]Financials!$AA$15-[50]Financials!$AA$20)</f>
        <v>0.73369378647442496</v>
      </c>
      <c r="G28" s="159">
        <f>'[50]Assumptions &amp; WACC'!$E$15</f>
        <v>2.0560209424083768E-2</v>
      </c>
    </row>
    <row r="29" spans="1:16" x14ac:dyDescent="0.3">
      <c r="A29" s="1" t="s">
        <v>523</v>
      </c>
      <c r="B29" s="1" t="s">
        <v>552</v>
      </c>
      <c r="C29" s="160">
        <f>[50]Financials!$AH$21/[50]Financials!$AH$22</f>
        <v>0.70352460777992698</v>
      </c>
      <c r="D29" s="160">
        <f>[50]Financials!$AH$21/([50]Financials!$AH$6+[50]Financials!$AH$7)</f>
        <v>1.9749622926093515</v>
      </c>
      <c r="E29" s="160">
        <f>[50]Financials!$AH$6/[50]Financials!$AH$8</f>
        <v>10.080042689434364</v>
      </c>
      <c r="F29" s="160">
        <f>[50]Financials!$AH$21/([50]Financials!$AH$15-[50]Financials!$AH$20)</f>
        <v>0.39022112729223374</v>
      </c>
      <c r="G29" s="159">
        <f>'[50]Assumptions &amp; WACC'!$F$15</f>
        <v>2.6319406367657269E-2</v>
      </c>
    </row>
    <row r="30" spans="1:16" x14ac:dyDescent="0.3">
      <c r="A30" s="1" t="s">
        <v>146</v>
      </c>
      <c r="B30" s="1" t="s">
        <v>553</v>
      </c>
      <c r="C30" s="160">
        <f>[51]Financials!$F$21/[51]Financials!$F$22</f>
        <v>1.9702985534010464</v>
      </c>
      <c r="D30" s="160">
        <f>[51]Financials!$F$21/([51]Financials!$F$6+[51]Financials!$F$7)</f>
        <v>2.3262673369268971</v>
      </c>
      <c r="E30" s="160">
        <f>[51]Financials!$F$6/[51]Financials!$F$8</f>
        <v>7.9855394883203559</v>
      </c>
      <c r="G30" s="159">
        <f>'[51]Assumptions &amp; WACC'!$B$15</f>
        <v>2.9404691504040997E-2</v>
      </c>
    </row>
    <row r="31" spans="1:16" x14ac:dyDescent="0.3">
      <c r="A31" s="1" t="s">
        <v>146</v>
      </c>
      <c r="B31" s="1" t="s">
        <v>554</v>
      </c>
      <c r="C31" s="160">
        <f>[51]Financials!$M$21/[51]Financials!$M$22</f>
        <v>0.48701695508268233</v>
      </c>
      <c r="D31" s="160">
        <f>[51]Financials!$M$21/([51]Financials!$M$6+[51]Financials!$M$7)</f>
        <v>2.2217434514445507</v>
      </c>
      <c r="E31" s="160">
        <f>[51]Financials!$M$6/[51]Financials!$M$8</f>
        <v>4.0958487619633566</v>
      </c>
      <c r="G31" s="159">
        <f>'[51]Assumptions &amp; WACC'!$C$15</f>
        <v>3.3698042616891487E-2</v>
      </c>
    </row>
    <row r="32" spans="1:16" x14ac:dyDescent="0.3">
      <c r="A32" s="1" t="s">
        <v>146</v>
      </c>
      <c r="B32" s="1" t="s">
        <v>555</v>
      </c>
      <c r="C32" s="160">
        <f>[51]Financials!$T$21/[51]Financials!$T$22</f>
        <v>1.061948776793888</v>
      </c>
      <c r="D32" s="160">
        <f>[51]Financials!$T$21/([51]Financials!$T$6+[51]Financials!$T$7)</f>
        <v>2.3256570681015227</v>
      </c>
      <c r="E32" s="160">
        <f>[51]Financials!$T$6/[51]Financials!$T$8</f>
        <v>4.8731096969043275</v>
      </c>
      <c r="F32" s="160">
        <f>[51]Financials!$T$21/([51]Financials!$T$15-[51]Financials!$T$20)</f>
        <v>0.44258726194654041</v>
      </c>
      <c r="G32" s="159">
        <f>'[51]Assumptions &amp; WACC'!$D$15</f>
        <v>5.8669976141528156E-2</v>
      </c>
    </row>
    <row r="33" spans="1:14" x14ac:dyDescent="0.3">
      <c r="A33" s="1" t="s">
        <v>146</v>
      </c>
      <c r="B33" s="1" t="s">
        <v>556</v>
      </c>
      <c r="C33" s="160">
        <f>[51]Financials!$AA$21/[51]Financials!$AA$22</f>
        <v>0.56432748538011701</v>
      </c>
      <c r="D33" s="160">
        <f>[51]Financials!$AA$21/([51]Financials!$AA$6+[51]Financials!$AA$7)</f>
        <v>2.5790645879732739</v>
      </c>
      <c r="E33" s="160">
        <f>[51]Financials!$AA$6/[51]Financials!$AA$8</f>
        <v>6.25</v>
      </c>
      <c r="F33" s="160">
        <f>[51]Financials!$AA$21/([51]Financials!$AA$15-[51]Financials!$AA$20)</f>
        <v>0.30393700787401573</v>
      </c>
      <c r="G33" s="159">
        <f>'[51]Assumptions &amp; WACC'!$E$15</f>
        <v>3.9858291420389887E-2</v>
      </c>
    </row>
    <row r="34" spans="1:14" x14ac:dyDescent="0.3">
      <c r="A34" s="1" t="s">
        <v>146</v>
      </c>
      <c r="B34" s="1" t="s">
        <v>557</v>
      </c>
      <c r="C34" s="160">
        <f>[51]Financials!$AH$21/[51]Financials!$AH$22</f>
        <v>0.57186214435718186</v>
      </c>
      <c r="D34" s="160">
        <f>[51]Financials!$AH$21/([51]Financials!$AH$6+[51]Financials!$AH$7)</f>
        <v>2.3018179712830014</v>
      </c>
      <c r="E34" s="160">
        <f>[51]Financials!$AH$6/[51]Financials!$AH$8</f>
        <v>6.7358156028368787</v>
      </c>
      <c r="F34" s="160">
        <f>[51]Financials!$AH$21/([51]Financials!$AH$15-[51]Financials!$AH$20)</f>
        <v>0.29942009338755837</v>
      </c>
      <c r="G34" s="159">
        <f>'[51]Assumptions &amp; WACC'!$F$15</f>
        <v>3.188394661209653E-2</v>
      </c>
    </row>
    <row r="35" spans="1:14" x14ac:dyDescent="0.3">
      <c r="A35" s="1" t="s">
        <v>27</v>
      </c>
      <c r="B35" s="1" t="s">
        <v>558</v>
      </c>
      <c r="C35" s="160">
        <f>[52]Financials!$F$21/[52]Financials!$F$22</f>
        <v>3.5136049309509435E-2</v>
      </c>
      <c r="D35" s="160">
        <f>[52]Financials!$F$21/([52]Financials!$F$6+[52]Financials!$F$7)</f>
        <v>8.7118923722902739E-2</v>
      </c>
      <c r="E35" s="160">
        <f>[52]Financials!$F$6/[52]Financials!$F$8</f>
        <v>162.7269751903543</v>
      </c>
      <c r="G35" s="159">
        <f>'[52]Assumptions &amp; WACC'!$B$15</f>
        <v>0.13998145733674819</v>
      </c>
    </row>
    <row r="36" spans="1:14" x14ac:dyDescent="0.3">
      <c r="A36" s="1" t="s">
        <v>27</v>
      </c>
      <c r="B36" s="1" t="s">
        <v>559</v>
      </c>
      <c r="C36" s="160">
        <f>[52]Financials!$M$21/[52]Financials!$M$22</f>
        <v>2.006826561530318</v>
      </c>
      <c r="D36" s="160">
        <f>[52]Financials!$M$21/([52]Financials!$M$6+[52]Financials!$M$7)</f>
        <v>4.514494538884783</v>
      </c>
      <c r="E36" s="160">
        <f>[52]Financials!$M$6/[52]Financials!$M$8</f>
        <v>4.3866822429906538</v>
      </c>
      <c r="G36" s="159">
        <f>'[52]Assumptions &amp; WACC'!$C$15</f>
        <v>1.9488014624008471E-2</v>
      </c>
    </row>
    <row r="37" spans="1:14" x14ac:dyDescent="0.3">
      <c r="A37" s="1" t="s">
        <v>27</v>
      </c>
      <c r="B37" s="1" t="s">
        <v>560</v>
      </c>
      <c r="C37" s="160">
        <f>[52]Financials!$T$21/[52]Financials!$T$22</f>
        <v>3.3477501199689924E-2</v>
      </c>
      <c r="D37" s="160">
        <f>[52]Financials!$T$21/([52]Financials!$T$6+[52]Financials!$T$7)</f>
        <v>8.0539644479966851E-2</v>
      </c>
      <c r="E37" s="160">
        <f>[52]Financials!$T$6/[52]Financials!$T$8</f>
        <v>447.07089552238807</v>
      </c>
      <c r="F37" s="160">
        <f>[52]Financials!$T$21/([52]Financials!$T$15-[52]Financials!$T$20)</f>
        <v>3.0135628326327622E-2</v>
      </c>
      <c r="G37" s="159">
        <f>'[52]Assumptions &amp; WACC'!$D$15</f>
        <v>1.6446082503814026E-2</v>
      </c>
    </row>
    <row r="38" spans="1:14" x14ac:dyDescent="0.3">
      <c r="A38" s="1" t="s">
        <v>27</v>
      </c>
      <c r="B38" s="1" t="s">
        <v>561</v>
      </c>
      <c r="C38" s="160">
        <f>[52]Financials!$AA$21/[52]Financials!$AA$22</f>
        <v>0.19230697601656752</v>
      </c>
      <c r="D38" s="160">
        <f>[52]Financials!$AA$21/([52]Financials!$AA$6+[52]Financials!$AA$7)</f>
        <v>0.39692790257853222</v>
      </c>
      <c r="E38" s="160">
        <f>[52]Financials!$AA$6/[52]Financials!$AA$8</f>
        <v>36.133757961783438</v>
      </c>
      <c r="F38" s="160">
        <f>[52]Financials!$AA$21/([52]Financials!$AA$15-[52]Financials!$AA$20)</f>
        <v>0.13345326809295976</v>
      </c>
      <c r="G38" s="159">
        <f>'[52]Assumptions &amp; WACC'!$E$15</f>
        <v>3.6290383884454581E-2</v>
      </c>
    </row>
    <row r="39" spans="1:14" x14ac:dyDescent="0.3">
      <c r="A39" s="1" t="s">
        <v>27</v>
      </c>
      <c r="B39" s="1" t="s">
        <v>562</v>
      </c>
      <c r="C39" s="160">
        <f>[52]Financials!$AH$21/[52]Financials!$AH$22</f>
        <v>58.149742930591259</v>
      </c>
      <c r="D39" s="160">
        <f>[52]Financials!$AH$21/([52]Financials!$AH$6+[52]Financials!$AH$7)</f>
        <v>4.5709017428643595</v>
      </c>
      <c r="E39" s="160">
        <f>[52]Financials!$AH$6/[52]Financials!$AH$8</f>
        <v>4.6256776034236804</v>
      </c>
      <c r="F39" s="160">
        <f>[52]Financials!$AH$21/([52]Financials!$AH$15-[52]Financials!$AH$20)</f>
        <v>0.81299081711502863</v>
      </c>
      <c r="G39" s="159">
        <f>'[52]Assumptions &amp; WACC'!$F$15</f>
        <v>2.8932598655197598E-2</v>
      </c>
    </row>
    <row r="40" spans="1:14" x14ac:dyDescent="0.3">
      <c r="A40" s="1" t="s">
        <v>147</v>
      </c>
      <c r="B40" s="1" t="s">
        <v>563</v>
      </c>
      <c r="C40" s="160">
        <f>[53]Financials!$F$21/[53]Financials!$F$22</f>
        <v>0.15413553284110479</v>
      </c>
      <c r="D40" s="160">
        <f>[53]Financials!$F$21/([53]Financials!$F$6+[53]Financials!$F$7)</f>
        <v>0.43109774373921222</v>
      </c>
      <c r="E40" s="160">
        <f>[53]Financials!$F$6/[53]Financials!$F$8</f>
        <v>73.605421686746993</v>
      </c>
      <c r="G40" s="159">
        <f>'[53]Assumptions &amp; WACC'!$B$15</f>
        <v>1.5640563756150447E-2</v>
      </c>
    </row>
    <row r="41" spans="1:14" x14ac:dyDescent="0.3">
      <c r="A41" s="1" t="s">
        <v>147</v>
      </c>
      <c r="B41" s="1" t="s">
        <v>564</v>
      </c>
      <c r="C41" s="160">
        <f>[53]Financials!$M$21/[53]Financials!$M$22</f>
        <v>0.1602342694098213</v>
      </c>
      <c r="D41" s="160">
        <f>[53]Financials!$M$21/([53]Financials!$M$6+[53]Financials!$M$7)</f>
        <v>0.39162836716456018</v>
      </c>
      <c r="E41" s="160">
        <f>[53]Financials!$M$6/[53]Financials!$M$8</f>
        <v>76.400673400673398</v>
      </c>
      <c r="G41" s="159">
        <f>'[53]Assumptions &amp; WACC'!$C$15</f>
        <v>1.6347091412742383E-2</v>
      </c>
    </row>
    <row r="42" spans="1:14" x14ac:dyDescent="0.3">
      <c r="A42" s="1" t="s">
        <v>147</v>
      </c>
      <c r="B42" s="1" t="s">
        <v>565</v>
      </c>
      <c r="C42" s="160">
        <f>[53]Financials!$T$21/[53]Financials!$T$22</f>
        <v>0.37539354281128462</v>
      </c>
      <c r="D42" s="160">
        <f>[53]Financials!$T$21/([53]Financials!$T$6+[53]Financials!$T$7)</f>
        <v>0.72278845868124686</v>
      </c>
      <c r="E42" s="160">
        <f>[53]Financials!$T$6/[53]Financials!$T$8</f>
        <v>30.720306513409962</v>
      </c>
      <c r="F42" s="160">
        <f>[53]Financials!$T$21/([53]Financials!$T$15-[53]Financials!$T$20)</f>
        <v>0.21981636784268363</v>
      </c>
      <c r="G42" s="159">
        <f>'[53]Assumptions &amp; WACC'!$D$15</f>
        <v>3.3672103941937037E-2</v>
      </c>
    </row>
    <row r="43" spans="1:14" x14ac:dyDescent="0.3">
      <c r="A43" s="1" t="s">
        <v>147</v>
      </c>
      <c r="B43" s="1" t="s">
        <v>566</v>
      </c>
      <c r="C43" s="160">
        <f>[53]Financials!$AA$21/[53]Financials!$AA$22</f>
        <v>0.89440729084710202</v>
      </c>
      <c r="D43" s="160">
        <f>[53]Financials!$AA$21/([53]Financials!$AA$6+[53]Financials!$AA$7)</f>
        <v>1.2913195759182128</v>
      </c>
      <c r="E43" s="160">
        <f>[53]Financials!$AA$6/[53]Financials!$AA$8</f>
        <v>33.944761904761904</v>
      </c>
      <c r="F43" s="160">
        <f>[53]Financials!$AA$21/([53]Financials!$AA$15-[53]Financials!$AA$20)</f>
        <v>0.41440223582484015</v>
      </c>
      <c r="G43" s="159">
        <f>'[53]Assumptions &amp; WACC'!$E$15</f>
        <v>2.971043460064797E-2</v>
      </c>
    </row>
    <row r="44" spans="1:14" x14ac:dyDescent="0.3">
      <c r="A44" s="1" t="s">
        <v>147</v>
      </c>
      <c r="B44" s="1" t="s">
        <v>567</v>
      </c>
      <c r="C44" s="160">
        <f>[53]Financials!$AH$21/[53]Financials!$AH$22</f>
        <v>0.50401688852401338</v>
      </c>
      <c r="D44" s="160">
        <f>[53]Financials!$AH$21/([53]Financials!$AH$6+[53]Financials!$AH$7)</f>
        <v>0.92838626053143225</v>
      </c>
      <c r="E44" s="160">
        <f>[53]Financials!$AH$6/[53]Financials!$AH$8</f>
        <v>27.281098546042003</v>
      </c>
      <c r="F44" s="160">
        <f>[53]Financials!$AH$21/([53]Financials!$AH$15-[53]Financials!$AH$20)</f>
        <v>0.28388354003930444</v>
      </c>
      <c r="G44" s="159">
        <f>'[53]Assumptions &amp; WACC'!$F$15</f>
        <v>3.1826409973318613E-2</v>
      </c>
    </row>
    <row r="45" spans="1:14" x14ac:dyDescent="0.3">
      <c r="A45" s="1" t="s">
        <v>145</v>
      </c>
      <c r="B45" s="1" t="s">
        <v>568</v>
      </c>
      <c r="C45" s="160">
        <f>[54]Financials!$F$22/[54]Financials!$F$23</f>
        <v>0.72715459281105577</v>
      </c>
      <c r="D45" s="160">
        <f>[54]Financials!$F$22/([54]Financials!$F$7+[54]Financials!$F$8)</f>
        <v>3.4606614681365957</v>
      </c>
      <c r="E45" s="160">
        <f>[54]Financials!$F$7/[54]Financials!$F$9</f>
        <v>4.3057263021675833</v>
      </c>
      <c r="G45" s="235">
        <f>'[54]Assumptions &amp; WACC'!$B$15</f>
        <v>3.3587920428217628E-2</v>
      </c>
      <c r="H45" s="235"/>
      <c r="I45" s="235"/>
      <c r="J45" s="160"/>
      <c r="K45" s="160"/>
      <c r="L45" s="160"/>
      <c r="N45" s="235"/>
    </row>
    <row r="46" spans="1:14" x14ac:dyDescent="0.3">
      <c r="A46" s="1" t="s">
        <v>145</v>
      </c>
      <c r="B46" s="1" t="s">
        <v>569</v>
      </c>
      <c r="C46" s="160">
        <f>[54]Financials!$M$22/[54]Financials!$M$23</f>
        <v>0.80028896748037603</v>
      </c>
      <c r="D46" s="160">
        <f>[54]Financials!$M$22/([54]Financials!$M$7+[54]Financials!$M$8)</f>
        <v>1.5187640679353387</v>
      </c>
      <c r="E46" s="160">
        <f>[54]Financials!$M$7/[54]Financials!$M$9</f>
        <v>15.6852871754524</v>
      </c>
      <c r="G46" s="235">
        <f>'[54]Assumptions &amp; WACC'!$C$15</f>
        <v>2.3024262295081969E-2</v>
      </c>
      <c r="H46" s="235"/>
      <c r="I46" s="235"/>
      <c r="J46" s="160"/>
      <c r="K46" s="160"/>
      <c r="L46" s="160"/>
      <c r="N46" s="235"/>
    </row>
    <row r="47" spans="1:14" x14ac:dyDescent="0.3">
      <c r="A47" s="1" t="s">
        <v>145</v>
      </c>
      <c r="B47" s="1" t="s">
        <v>570</v>
      </c>
      <c r="C47" s="160">
        <f>[54]Financials!$T$22/[54]Financials!$T$23</f>
        <v>10.226135783563043</v>
      </c>
      <c r="D47" s="160">
        <f>[54]Financials!$T$22/([54]Financials!$T$7+[54]Financials!$T$31)</f>
        <v>4.5004493035794519</v>
      </c>
      <c r="E47" s="160">
        <f>[54]Financials!$T$7/[54]Financials!$T$9</f>
        <v>2.4608557844690968</v>
      </c>
      <c r="F47" s="160">
        <f>[54]Financials!$T$22/([54]Financials!$T$16-[54]Financials!$T$20)</f>
        <v>0.87429444282804769</v>
      </c>
      <c r="G47" s="235">
        <f>'[54]Assumptions &amp; WACC'!$D$15</f>
        <v>3.3133653979961035E-2</v>
      </c>
      <c r="H47" s="235"/>
      <c r="I47" s="235"/>
      <c r="J47" s="160"/>
      <c r="K47" s="160"/>
      <c r="L47" s="160"/>
      <c r="N47" s="235"/>
    </row>
    <row r="48" spans="1:14" x14ac:dyDescent="0.3">
      <c r="A48" s="1" t="s">
        <v>145</v>
      </c>
      <c r="B48" s="1" t="s">
        <v>571</v>
      </c>
      <c r="C48" s="160">
        <f>[54]Financials!$AA$22/[54]Financials!$AA$23</f>
        <v>2.3219805406997613</v>
      </c>
      <c r="D48" s="160">
        <f>[54]Financials!$AA$22/([54]Financials!$AA$7+[54]Financials!$AA$31)</f>
        <v>3.1213249851514555</v>
      </c>
      <c r="E48" s="160">
        <f>[54]Financials!$AA$7/[54]Financials!$AA$9</f>
        <v>8.392573623559537</v>
      </c>
      <c r="F48" s="160">
        <f>[54]Financials!$AA$22/([54]Financials!$AA$16-[54]Financials!$AA$20)</f>
        <v>0.68709261816626754</v>
      </c>
      <c r="G48" s="235">
        <f>'[54]Assumptions &amp; WACC'!$E$15</f>
        <v>1.9308837708736044E-2</v>
      </c>
      <c r="H48" s="235"/>
      <c r="I48" s="235"/>
      <c r="J48" s="160"/>
      <c r="K48" s="160"/>
      <c r="L48" s="160"/>
      <c r="N48" s="235"/>
    </row>
    <row r="49" spans="1:14" x14ac:dyDescent="0.3">
      <c r="A49" s="1" t="s">
        <v>145</v>
      </c>
      <c r="B49" s="1" t="s">
        <v>572</v>
      </c>
      <c r="C49" s="160">
        <f>[54]Financials!$AH$22/[54]Financials!$AH$23</f>
        <v>0.51636633508671426</v>
      </c>
      <c r="D49" s="160">
        <f>[54]Financials!$AH$22/([54]Financials!$AH$7+[54]Financials!$AH$31)</f>
        <v>1.3689206447827138</v>
      </c>
      <c r="E49" s="160">
        <f>[54]Financials!$AH$7/[54]Financials!$AH$9</f>
        <v>79.713768115942031</v>
      </c>
      <c r="F49" s="160">
        <f>[54]Financials!$AH$22/([54]Financials!$AH$16-[54]Financials!$AH$20)</f>
        <v>0.30141515169939809</v>
      </c>
      <c r="G49" s="235">
        <f>'[54]Assumptions &amp; WACC'!$F$15</f>
        <v>9.6425258528876207E-3</v>
      </c>
      <c r="H49" s="235"/>
      <c r="I49" s="235"/>
      <c r="J49" s="160"/>
      <c r="K49" s="160"/>
      <c r="L49" s="160"/>
      <c r="N49" s="235"/>
    </row>
    <row r="50" spans="1:14" x14ac:dyDescent="0.3">
      <c r="A50" s="1" t="s">
        <v>149</v>
      </c>
      <c r="B50" s="1" t="s">
        <v>573</v>
      </c>
      <c r="C50" s="160">
        <f>[55]Financials!$F$21/[55]Financials!$F$22</f>
        <v>1.0447122499894288</v>
      </c>
      <c r="D50" s="160">
        <f>[55]Financials!$F$21/([55]Financials!$F$6+[55]Financials!$F$7)</f>
        <v>2.0517198425484562</v>
      </c>
      <c r="E50" s="160">
        <f>[55]Financials!$F$6/[55]Financials!$F$8</f>
        <v>5.8631454357153423</v>
      </c>
      <c r="G50" s="159">
        <f>'[55]Assumptions &amp; WACC'!$B$15</f>
        <v>3.610497937993145E-2</v>
      </c>
    </row>
    <row r="51" spans="1:14" x14ac:dyDescent="0.3">
      <c r="A51" s="1" t="s">
        <v>149</v>
      </c>
      <c r="B51" s="1" t="s">
        <v>574</v>
      </c>
      <c r="C51" s="160">
        <f>[55]Financials!$M$21/[55]Financials!$M$22</f>
        <v>1.4319065374098932</v>
      </c>
      <c r="D51" s="160">
        <f>[55]Financials!$M$21/([55]Financials!$M$6+[55]Financials!$M$7)</f>
        <v>2.2338141771366526</v>
      </c>
      <c r="E51" s="160">
        <f>[55]Financials!$M$6/[55]Financials!$M$8</f>
        <v>7.0052639494660855</v>
      </c>
      <c r="G51" s="159">
        <f>'[55]Assumptions &amp; WACC'!$C$15</f>
        <v>2.4968886891129631E-2</v>
      </c>
    </row>
    <row r="52" spans="1:14" x14ac:dyDescent="0.3">
      <c r="A52" s="1" t="s">
        <v>149</v>
      </c>
      <c r="B52" s="1" t="s">
        <v>575</v>
      </c>
      <c r="C52" s="160">
        <f>[55]Financials!$T$21/[55]Financials!$T$22</f>
        <v>4.7664789161211756</v>
      </c>
      <c r="D52" s="160">
        <f>[55]Financials!$T$21/([55]Financials!$T$6+[55]Financials!$T$7)</f>
        <v>3.1230840841839278</v>
      </c>
      <c r="E52" s="160">
        <f>[55]Financials!$T$6/[55]Financials!$T$8</f>
        <v>4.0933256836871292</v>
      </c>
      <c r="F52" s="160">
        <f>[55]Financials!$T$21/([55]Financials!$T$15-[55]Financials!$T$20)</f>
        <v>0.68798248055429412</v>
      </c>
      <c r="G52" s="159">
        <f>'[55]Assumptions &amp; WACC'!$D$15</f>
        <v>3.7963056429104497E-2</v>
      </c>
    </row>
    <row r="53" spans="1:14" x14ac:dyDescent="0.3">
      <c r="A53" s="1" t="s">
        <v>149</v>
      </c>
      <c r="B53" s="1" t="s">
        <v>576</v>
      </c>
      <c r="C53" s="160">
        <f>[55]Financials!$AA$21/[55]Financials!$AA$22</f>
        <v>1.1665825583351357</v>
      </c>
      <c r="D53" s="160">
        <f>[55]Financials!$AA$21/([55]Financials!$AA$6+[55]Financials!$AA$7)</f>
        <v>2.2966835407106023</v>
      </c>
      <c r="E53" s="160">
        <f>[55]Financials!$AA$6/[55]Financials!$AA$8</f>
        <v>6.8358208955223878</v>
      </c>
      <c r="F53" s="160">
        <f>[55]Financials!$AA$21/([55]Financials!$AA$15-[55]Financials!$AA$20)</f>
        <v>0.43225458900419833</v>
      </c>
      <c r="G53" s="159">
        <f>'[55]Assumptions &amp; WACC'!$E$15</f>
        <v>3.3004673164434929E-2</v>
      </c>
    </row>
    <row r="54" spans="1:14" x14ac:dyDescent="0.3">
      <c r="A54" s="1" t="s">
        <v>149</v>
      </c>
      <c r="B54" s="1" t="s">
        <v>577</v>
      </c>
      <c r="C54" s="160">
        <f>[55]Financials!$AH$21/[55]Financials!$AH$22</f>
        <v>1.0330768347306765</v>
      </c>
      <c r="D54" s="160">
        <f>[55]Financials!$AH$21/([55]Financials!$AH$6+[55]Financials!$AH$7)</f>
        <v>2.1282384952088016</v>
      </c>
      <c r="E54" s="160">
        <f>[55]Financials!$AH$6/[55]Financials!$AH$8</f>
        <v>5.9931629013079668</v>
      </c>
      <c r="F54" s="160">
        <f>[55]Financials!$AH$21/([55]Financials!$AH$15-[55]Financials!$AH$20)</f>
        <v>0.38564599455508158</v>
      </c>
      <c r="G54" s="159">
        <f>'[55]Assumptions &amp; WACC'!$F$15</f>
        <v>3.3625071175865787E-2</v>
      </c>
    </row>
    <row r="56" spans="1:14" x14ac:dyDescent="0.3">
      <c r="B56" s="141" t="s">
        <v>155</v>
      </c>
      <c r="C56" s="161">
        <f>AVERAGE(C3:C54)</f>
        <v>2.4657924718306727</v>
      </c>
      <c r="D56" s="161">
        <f t="shared" ref="D56:G56" si="0">AVERAGE(D3:D54)</f>
        <v>2.5520799808603369</v>
      </c>
      <c r="E56" s="161">
        <f t="shared" si="0"/>
        <v>26.755478300526207</v>
      </c>
      <c r="F56" s="161">
        <f t="shared" si="0"/>
        <v>0.43141709688340218</v>
      </c>
      <c r="G56" s="156">
        <f t="shared" si="0"/>
        <v>3.110447542385518E-2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6778-1214-4308-8766-F799396861DE}">
  <dimension ref="A1:AA20"/>
  <sheetViews>
    <sheetView workbookViewId="0">
      <selection activeCell="Q23" sqref="Q23"/>
    </sheetView>
  </sheetViews>
  <sheetFormatPr defaultRowHeight="14.4" x14ac:dyDescent="0.3"/>
  <cols>
    <col min="1" max="1" width="18.77734375" style="1" bestFit="1" customWidth="1"/>
    <col min="2" max="2" width="13.6640625" style="1" bestFit="1" customWidth="1"/>
    <col min="3" max="3" width="14" style="1" bestFit="1" customWidth="1"/>
    <col min="4" max="4" width="9.6640625" style="1" bestFit="1" customWidth="1"/>
    <col min="5" max="5" width="5.5546875" style="1" bestFit="1" customWidth="1"/>
    <col min="6" max="6" width="13.5546875" style="1" bestFit="1" customWidth="1"/>
    <col min="7" max="7" width="6.21875" style="1" bestFit="1" customWidth="1"/>
    <col min="8" max="8" width="4.5546875" style="1" bestFit="1" customWidth="1"/>
    <col min="9" max="9" width="17.33203125" style="1" bestFit="1" customWidth="1"/>
    <col min="10" max="10" width="24.109375" style="132" bestFit="1" customWidth="1"/>
    <col min="11" max="11" width="15.6640625" style="132" bestFit="1" customWidth="1"/>
    <col min="12" max="12" width="19.88671875" style="132" bestFit="1" customWidth="1"/>
    <col min="13" max="13" width="23.77734375" style="132" bestFit="1" customWidth="1"/>
    <col min="14" max="14" width="16.33203125" style="132" bestFit="1" customWidth="1"/>
    <col min="15" max="16" width="13.21875" style="132" bestFit="1" customWidth="1"/>
    <col min="17" max="17" width="13.6640625" style="132" bestFit="1" customWidth="1"/>
    <col min="18" max="18" width="12.5546875" style="1" bestFit="1" customWidth="1"/>
    <col min="19" max="19" width="12" style="1" bestFit="1" customWidth="1"/>
    <col min="20" max="20" width="11.6640625" style="1" bestFit="1" customWidth="1"/>
    <col min="21" max="21" width="20.109375" style="1" bestFit="1" customWidth="1"/>
    <col min="22" max="22" width="12.6640625" style="1" bestFit="1" customWidth="1"/>
    <col min="23" max="23" width="10.77734375" style="1" bestFit="1" customWidth="1"/>
    <col min="24" max="24" width="12.6640625" style="1" bestFit="1" customWidth="1"/>
    <col min="25" max="25" width="9.5546875" style="1" bestFit="1" customWidth="1"/>
    <col min="26" max="26" width="9.6640625" style="1" bestFit="1" customWidth="1"/>
    <col min="27" max="27" width="4.5546875" style="1" bestFit="1" customWidth="1"/>
    <col min="28" max="16384" width="8.88671875" style="1"/>
  </cols>
  <sheetData>
    <row r="1" spans="1:27" s="3" customFormat="1" ht="28.8" x14ac:dyDescent="0.3">
      <c r="A1" s="103" t="s">
        <v>71</v>
      </c>
      <c r="B1" s="103" t="s">
        <v>368</v>
      </c>
      <c r="C1" s="103" t="s">
        <v>369</v>
      </c>
      <c r="D1" s="103" t="s">
        <v>370</v>
      </c>
      <c r="E1" s="103" t="s">
        <v>105</v>
      </c>
      <c r="F1" s="103" t="s">
        <v>371</v>
      </c>
      <c r="G1" s="103" t="s">
        <v>302</v>
      </c>
      <c r="H1" s="103" t="s">
        <v>177</v>
      </c>
      <c r="I1" s="103" t="s">
        <v>298</v>
      </c>
      <c r="J1" s="103" t="s">
        <v>393</v>
      </c>
      <c r="K1" s="103" t="s">
        <v>359</v>
      </c>
      <c r="L1" s="103" t="s">
        <v>394</v>
      </c>
      <c r="M1" s="103" t="s">
        <v>395</v>
      </c>
      <c r="N1" s="103" t="s">
        <v>396</v>
      </c>
      <c r="O1" s="103" t="s">
        <v>397</v>
      </c>
      <c r="P1" s="103" t="s">
        <v>398</v>
      </c>
      <c r="Q1" s="103" t="s">
        <v>399</v>
      </c>
      <c r="R1" s="3" t="s">
        <v>341</v>
      </c>
      <c r="S1" s="3" t="s">
        <v>400</v>
      </c>
      <c r="T1" s="3" t="s">
        <v>350</v>
      </c>
      <c r="U1" s="3" t="s">
        <v>354</v>
      </c>
      <c r="V1" s="3" t="s">
        <v>401</v>
      </c>
      <c r="W1" s="3" t="s">
        <v>402</v>
      </c>
      <c r="X1" s="3" t="s">
        <v>403</v>
      </c>
      <c r="Y1" s="3" t="s">
        <v>404</v>
      </c>
      <c r="Z1" s="3" t="s">
        <v>405</v>
      </c>
      <c r="AA1" s="3" t="s">
        <v>330</v>
      </c>
    </row>
    <row r="2" spans="1:27" x14ac:dyDescent="0.3">
      <c r="A2" s="132" t="str">
        <f>'USI-3'!AF14</f>
        <v>Axis Bank</v>
      </c>
      <c r="B2" s="183">
        <f>AVERAGE('[31]Financial Projections'!$D$14:$I$14)/AVERAGE('[31]Financial Projections'!$D$8:$I$8)</f>
        <v>0.33298878430227064</v>
      </c>
      <c r="C2" s="183">
        <f>AVERAGE('[31]Financial Projections'!$D$11:$I$11)/AVERAGE('[31]Financial Projections'!$D$16:$I$16)</f>
        <v>6.9576142449745929E-2</v>
      </c>
      <c r="D2" s="183">
        <f>AVERAGE('[31]Financial Projections'!$D$16:$I$16)/AVERAGE('[31]Financial Projections'!$D$5:$I$5)</f>
        <v>2.9660000000000002E-2</v>
      </c>
      <c r="E2" s="180">
        <f>'USI-3'!AJ14</f>
        <v>0.10845284340510614</v>
      </c>
      <c r="F2" s="183">
        <f>('[31]Financial Projections'!$I$5-'[31]Financial Projections'!$D$5)/'[31]Financial Projections'!$D$5</f>
        <v>0.71424375101636695</v>
      </c>
      <c r="G2" s="180">
        <f>'USI-3'!AJ14</f>
        <v>0.10845284340510614</v>
      </c>
      <c r="H2" s="180">
        <f>'USI-2'!AI2</f>
        <v>0.55194606239027355</v>
      </c>
      <c r="I2" s="180">
        <f>'USI-2'!AJ2</f>
        <v>0.38951340711971566</v>
      </c>
      <c r="J2" s="188">
        <f>(B2-MIN($B$2:$B$8))/(MAX($B$2:$B$8)-MIN($B$2:$B$8))</f>
        <v>0.3543571355794225</v>
      </c>
      <c r="K2" s="188">
        <f>(C2-MIN($C$2:$C$8))/(MAX($C$2:$C$8)-MIN($C$2:$C$8))</f>
        <v>0.22099725301653678</v>
      </c>
      <c r="L2" s="188">
        <f>(D2-MIN($D$2:$D$8))/(MAX($D$2:$D$8)-MIN($D$2:$D$8))</f>
        <v>0.93388429752066138</v>
      </c>
      <c r="M2" s="188">
        <f>(E2-MIN($E$2:$E$8))/(MAX($E$2:$E$8)-MIN($E$2:$E$8))</f>
        <v>0.3748026469328648</v>
      </c>
      <c r="N2" s="188">
        <f>(F2-MIN($F$2:$F$8))/(MAX($F$2:$F$8)-MIN($F$2:$F$8))</f>
        <v>9.7035523274554961E-2</v>
      </c>
      <c r="O2" s="188">
        <f>(G2-MIN($G$2:$G$8))/(MAX($G$2:$G$8)-MIN($G$2:$G$8))</f>
        <v>0.3748026469328648</v>
      </c>
      <c r="P2" s="188">
        <f>(H2-MIN($H$2:$H$8))/(MAX($H$2:$H$8)-MIN($H$2:$H$8))</f>
        <v>0.30353920138465157</v>
      </c>
      <c r="Q2" s="188">
        <f>(I2-MIN($I$2:$I$8))/(MAX($I$2:$I$8)-MIN($I$2:$I$8))</f>
        <v>0.47943033708475979</v>
      </c>
      <c r="R2" s="180">
        <f>SUM(J2:Q2)</f>
        <v>3.1388490417263166</v>
      </c>
      <c r="S2" s="180">
        <f>J2/$R$2</f>
        <v>0.11289397192052657</v>
      </c>
      <c r="T2" s="180">
        <f t="shared" ref="T2:Z2" si="0">K2/$R$2</f>
        <v>7.0407098295810946E-2</v>
      </c>
      <c r="U2" s="180">
        <f t="shared" si="0"/>
        <v>0.29752443813195933</v>
      </c>
      <c r="V2" s="180">
        <f t="shared" si="0"/>
        <v>0.11940766884626262</v>
      </c>
      <c r="W2" s="180">
        <f t="shared" si="0"/>
        <v>3.0914364464366524E-2</v>
      </c>
      <c r="X2" s="180">
        <f t="shared" si="0"/>
        <v>0.11940766884626262</v>
      </c>
      <c r="Y2" s="180">
        <f t="shared" si="0"/>
        <v>9.6703982048690643E-2</v>
      </c>
      <c r="Z2" s="180">
        <f t="shared" si="0"/>
        <v>0.1527408074461207</v>
      </c>
      <c r="AA2" s="180">
        <f>(J2*S2)+(K2*T2)+(L2*U2)+(M2*V2)+(N2*W2)+(O2*X2)+(P2*Y2)+(Q2*Z2)</f>
        <v>0.52850839924036719</v>
      </c>
    </row>
    <row r="3" spans="1:27" x14ac:dyDescent="0.3">
      <c r="A3" s="132" t="str">
        <f>'USI-3'!AF15</f>
        <v>HDFC Bank</v>
      </c>
      <c r="B3" s="183">
        <f>AVERAGE('[31]Financial Projections'!$M$14:$R$14)/AVERAGE('[31]Financial Projections'!$M$8:$R$8)</f>
        <v>0.17706245461759129</v>
      </c>
      <c r="C3" s="183">
        <f>AVERAGE('[31]Financial Projections'!$M$11:$R$11)/AVERAGE('[31]Financial Projections'!$M$16:$R$16)</f>
        <v>0.12222555644449645</v>
      </c>
      <c r="D3" s="183">
        <f>'[31]Financial Projections'!$L$16</f>
        <v>1.222E-2</v>
      </c>
      <c r="E3" s="180">
        <f>'USI-3'!AJ15</f>
        <v>0.12660997794714582</v>
      </c>
      <c r="F3" s="183">
        <f>('[31]Financial Projections'!$R$5-'[31]Financial Projections'!$M$5)/'[31]Financial Projections'!$M$5</f>
        <v>1.4585255487115616</v>
      </c>
      <c r="G3" s="180">
        <f>'USI-3'!AJ15</f>
        <v>0.12660997794714582</v>
      </c>
      <c r="H3" s="180">
        <f>'USI-2'!AI3</f>
        <v>0.38146476542531632</v>
      </c>
      <c r="I3" s="180">
        <f>'USI-2'!AJ3</f>
        <v>0.81190312062526715</v>
      </c>
      <c r="J3" s="188">
        <f t="shared" ref="J3:J8" si="1">(B3-MIN($B$2:$B$8))/(MAX($B$2:$B$8)-MIN($B$2:$B$8))</f>
        <v>1.4957169486836706E-2</v>
      </c>
      <c r="K3" s="188">
        <f t="shared" ref="K3:K8" si="2">(C3-MIN($C$2:$C$8))/(MAX($C$2:$C$8)-MIN($C$2:$C$8))</f>
        <v>0.49835070879368465</v>
      </c>
      <c r="L3" s="188">
        <f t="shared" ref="L3:L8" si="3">(D3-MIN($D$2:$D$8))/(MAX($D$2:$D$8)-MIN($D$2:$D$8))</f>
        <v>0.33333333333333343</v>
      </c>
      <c r="M3" s="188">
        <f t="shared" ref="M3:M8" si="4">(E3-MIN($E$2:$E$8))/(MAX($E$2:$E$8)-MIN($E$2:$E$8))</f>
        <v>0.48539593193358405</v>
      </c>
      <c r="N3" s="188">
        <f t="shared" ref="N3:N8" si="5">(F3-MIN($F$2:$F$8))/(MAX($F$2:$F$8)-MIN($F$2:$F$8))</f>
        <v>0.69686668055408307</v>
      </c>
      <c r="O3" s="188">
        <f t="shared" ref="O3:O8" si="6">(G3-MIN($G$2:$G$8))/(MAX($G$2:$G$8)-MIN($G$2:$G$8))</f>
        <v>0.48539593193358405</v>
      </c>
      <c r="P3" s="188">
        <f>H3</f>
        <v>0.38146476542531632</v>
      </c>
      <c r="Q3" s="188">
        <f>I3</f>
        <v>0.81190312062526715</v>
      </c>
      <c r="R3" s="180">
        <f t="shared" ref="R3:R8" si="7">SUM(J3:Q3)</f>
        <v>3.7076676420856893</v>
      </c>
      <c r="S3" s="180">
        <f>J3/$R$3</f>
        <v>4.0341181925418719E-3</v>
      </c>
      <c r="T3" s="180">
        <f t="shared" ref="T3:Z3" si="8">K3/$R$3</f>
        <v>0.13441083638050833</v>
      </c>
      <c r="U3" s="180">
        <f t="shared" si="8"/>
        <v>8.990377927883042E-2</v>
      </c>
      <c r="V3" s="180">
        <f t="shared" si="8"/>
        <v>0.13091678618219738</v>
      </c>
      <c r="W3" s="180">
        <f t="shared" si="8"/>
        <v>0.18795284470591647</v>
      </c>
      <c r="X3" s="180">
        <f t="shared" si="8"/>
        <v>0.13091678618219738</v>
      </c>
      <c r="Y3" s="180">
        <f t="shared" si="8"/>
        <v>0.10288537222034534</v>
      </c>
      <c r="Z3" s="180">
        <f t="shared" si="8"/>
        <v>0.21897947685746288</v>
      </c>
      <c r="AA3" s="180">
        <f t="shared" ref="AA3:AA8" si="9">(J3*S3)+(K3*T3)+(L3*U3)+(M3*V3)+(N3*W3)+(O3*X3)+(P3*Y3)+(Q3*Z3)</f>
        <v>0.57212029184900781</v>
      </c>
    </row>
    <row r="4" spans="1:27" x14ac:dyDescent="0.3">
      <c r="A4" s="132" t="str">
        <f>'USI-3'!AF16</f>
        <v>ICICI Bank</v>
      </c>
      <c r="B4" s="183">
        <f>AVERAGE('[31]Financial Projections'!$V$14:$AA$14)/AVERAGE('[31]Financial Projections'!$V$8:$AA$8)</f>
        <v>0.35394475513100937</v>
      </c>
      <c r="C4" s="183">
        <f>AVERAGE('[31]Financial Projections'!$V$11:$AA$11)/AVERAGE('[31]Financial Projections'!$V$16:$AA$16)</f>
        <v>3.006855528108859E-2</v>
      </c>
      <c r="D4" s="183">
        <f>'[31]Financial Projections'!$U$16</f>
        <v>3.04E-2</v>
      </c>
      <c r="E4" s="180">
        <f>'USI-3'!AJ16</f>
        <v>0.16098068852918873</v>
      </c>
      <c r="F4" s="183">
        <f>('[31]Financial Projections'!$AA$5-'[31]Financial Projections'!$V$5)/'[31]Financial Projections'!$V$5</f>
        <v>0.78517969235946206</v>
      </c>
      <c r="G4" s="180">
        <f>'USI-3'!AJ16</f>
        <v>0.16098068852918873</v>
      </c>
      <c r="H4" s="180">
        <f>'USI-2'!AI4</f>
        <v>0.85645670624223558</v>
      </c>
      <c r="I4" s="180">
        <f>'USI-2'!AJ4</f>
        <v>5.041022112311389E-4</v>
      </c>
      <c r="J4" s="188">
        <f t="shared" si="1"/>
        <v>0.39997134200045636</v>
      </c>
      <c r="K4" s="188">
        <f t="shared" si="2"/>
        <v>1.287402809827737E-2</v>
      </c>
      <c r="L4" s="188">
        <f t="shared" si="3"/>
        <v>0.95936639118457312</v>
      </c>
      <c r="M4" s="188">
        <f t="shared" si="4"/>
        <v>0.69474448207381467</v>
      </c>
      <c r="N4" s="188">
        <f t="shared" si="5"/>
        <v>0.15420417622334945</v>
      </c>
      <c r="O4" s="188">
        <f t="shared" si="6"/>
        <v>0.69474448207381467</v>
      </c>
      <c r="P4" s="188">
        <f t="shared" ref="P4:P7" si="10">(H4-MIN($H$2:$H$8))/(MAX($H$2:$H$8)-MIN($H$2:$H$8))</f>
        <v>0.84571549458208051</v>
      </c>
      <c r="Q4" s="188">
        <f>I4</f>
        <v>5.041022112311389E-4</v>
      </c>
      <c r="R4" s="180">
        <f t="shared" si="7"/>
        <v>3.762124498447597</v>
      </c>
      <c r="S4" s="180">
        <f>J4/$R$4</f>
        <v>0.10631528599478846</v>
      </c>
      <c r="T4" s="180">
        <f t="shared" ref="T4:Z4" si="11">K4/$R$4</f>
        <v>3.4220101178442418E-3</v>
      </c>
      <c r="U4" s="180">
        <f t="shared" si="11"/>
        <v>0.25500655057546501</v>
      </c>
      <c r="V4" s="180">
        <f t="shared" si="11"/>
        <v>0.18466812631014579</v>
      </c>
      <c r="W4" s="180">
        <f t="shared" si="11"/>
        <v>4.0988589369378992E-2</v>
      </c>
      <c r="X4" s="180">
        <f t="shared" si="11"/>
        <v>0.18466812631014579</v>
      </c>
      <c r="Y4" s="180">
        <f t="shared" si="11"/>
        <v>0.22479731729533581</v>
      </c>
      <c r="Z4" s="180">
        <f t="shared" si="11"/>
        <v>1.3399402689601357E-4</v>
      </c>
      <c r="AA4" s="180">
        <f t="shared" si="9"/>
        <v>0.7402414139427832</v>
      </c>
    </row>
    <row r="5" spans="1:27" x14ac:dyDescent="0.3">
      <c r="A5" s="132" t="str">
        <f>'USI-3'!AF17</f>
        <v>SBI</v>
      </c>
      <c r="B5" s="183">
        <f>AVERAGE('[31]Financial Projections'!$AE$14:$AJ$14)/AVERAGE('[31]Financial Projections'!$AE$8:$AJ$8)</f>
        <v>0.17019086718815143</v>
      </c>
      <c r="C5" s="183">
        <f>AVERAGE('[31]Financial Projections'!$AE$11:$AJ$11)/AVERAGE('[31]Financial Projections'!$AE$16:$AJ$16)</f>
        <v>3.5796848041407141E-2</v>
      </c>
      <c r="D5" s="183">
        <f>'[31]Financial Projections'!$AD$16</f>
        <v>3.1579999999999997E-2</v>
      </c>
      <c r="E5" s="180">
        <f>'USI-3'!AJ17</f>
        <v>4.6917985415958194E-2</v>
      </c>
      <c r="F5" s="183">
        <f>('[31]Financial Projections'!$AJ$5-'[31]Financial Projections'!$AE$5)/'[31]Financial Projections'!$AE$5</f>
        <v>0.59384024608568942</v>
      </c>
      <c r="G5" s="180">
        <f>'USI-3'!AJ17</f>
        <v>4.6917985415958194E-2</v>
      </c>
      <c r="H5" s="180">
        <f>'USI-2'!AI5</f>
        <v>0.60651683803045642</v>
      </c>
      <c r="I5" s="180">
        <f>'USI-2'!AJ5</f>
        <v>0.35705940336804726</v>
      </c>
      <c r="J5" s="188">
        <f>B5</f>
        <v>0.17019086718815143</v>
      </c>
      <c r="K5" s="188">
        <f t="shared" si="2"/>
        <v>4.3050276459483762E-2</v>
      </c>
      <c r="L5" s="188">
        <f>D5</f>
        <v>3.1579999999999997E-2</v>
      </c>
      <c r="M5" s="188">
        <f>E5</f>
        <v>4.6917985415958194E-2</v>
      </c>
      <c r="N5" s="188">
        <f>F5</f>
        <v>0.59384024608568942</v>
      </c>
      <c r="O5" s="188">
        <f>G5</f>
        <v>4.6917985415958194E-2</v>
      </c>
      <c r="P5" s="188">
        <f t="shared" si="10"/>
        <v>0.40070158782617976</v>
      </c>
      <c r="Q5" s="188">
        <f t="shared" ref="Q5:Q8" si="12">(I5-MIN($I$2:$I$8))/(MAX($I$2:$I$8)-MIN($I$2:$I$8))</f>
        <v>0.43943274894975914</v>
      </c>
      <c r="R5" s="180">
        <f t="shared" si="7"/>
        <v>1.77263169734118</v>
      </c>
      <c r="S5" s="180">
        <f>J5/$R$5</f>
        <v>9.6010280896717287E-2</v>
      </c>
      <c r="T5" s="180">
        <f t="shared" ref="T5:Z5" si="13">K5/$R$5</f>
        <v>2.428608070365439E-2</v>
      </c>
      <c r="U5" s="180">
        <f t="shared" si="13"/>
        <v>1.7815319475200476E-2</v>
      </c>
      <c r="V5" s="180">
        <f t="shared" si="13"/>
        <v>2.6467982878976944E-2</v>
      </c>
      <c r="W5" s="180">
        <f t="shared" si="13"/>
        <v>0.33500486704395904</v>
      </c>
      <c r="X5" s="180">
        <f t="shared" si="13"/>
        <v>2.6467982878976944E-2</v>
      </c>
      <c r="Y5" s="180">
        <f t="shared" si="13"/>
        <v>0.22604898040986365</v>
      </c>
      <c r="Z5" s="180">
        <f t="shared" si="13"/>
        <v>0.24789850571265123</v>
      </c>
      <c r="AA5" s="180">
        <f t="shared" si="9"/>
        <v>0.4188841319994957</v>
      </c>
    </row>
    <row r="6" spans="1:27" x14ac:dyDescent="0.3">
      <c r="A6" s="132" t="str">
        <f>'USI-3'!AF18</f>
        <v>Bajaj Finance</v>
      </c>
      <c r="B6" s="183">
        <f>AVERAGE('[31]Financial Projections'!$AW$14:$BB$14)/AVERAGE('[31]Financial Projections'!$AW$8:$BB$8)</f>
        <v>0.48302570512170145</v>
      </c>
      <c r="C6" s="183">
        <f>AVERAGE('[31]Financial Projections'!$AW$11:$BB$11)/AVERAGE('[31]Financial Projections'!$AW$16:$BB$16)</f>
        <v>2.7624706030221952E-2</v>
      </c>
      <c r="D6" s="183">
        <f>'[31]Financial Projections'!$AV$16</f>
        <v>1.358E-2</v>
      </c>
      <c r="E6" s="180">
        <f>'USI-3'!AJ18</f>
        <v>0.21033738600177054</v>
      </c>
      <c r="F6" s="183">
        <f>('[31]Financial Projections'!$BB$5-'[31]Financial Projections'!$AW$5)/'[31]Financial Projections'!$AW$5</f>
        <v>1.3079815852826566</v>
      </c>
      <c r="G6" s="180">
        <f>'USI-3'!AJ18</f>
        <v>0.21033738600177054</v>
      </c>
      <c r="H6" s="180">
        <f>'USI-2'!AI6</f>
        <v>0.88573994835081749</v>
      </c>
      <c r="I6" s="180">
        <f>'USI-2'!AJ6</f>
        <v>0.12403545170958451</v>
      </c>
      <c r="J6" s="188">
        <f t="shared" si="1"/>
        <v>0.68093780955365402</v>
      </c>
      <c r="K6" s="188">
        <f>C6</f>
        <v>2.7624706030221952E-2</v>
      </c>
      <c r="L6" s="188">
        <f t="shared" si="3"/>
        <v>0.38016528925619841</v>
      </c>
      <c r="M6" s="188">
        <f>E6</f>
        <v>0.21033738600177054</v>
      </c>
      <c r="N6" s="188">
        <f t="shared" si="5"/>
        <v>0.57554037634425215</v>
      </c>
      <c r="O6" s="188">
        <f>G6</f>
        <v>0.21033738600177054</v>
      </c>
      <c r="P6" s="188">
        <f t="shared" si="10"/>
        <v>0.89785383516157202</v>
      </c>
      <c r="Q6" s="188">
        <f t="shared" si="12"/>
        <v>0.15224488407665104</v>
      </c>
      <c r="R6" s="180">
        <f t="shared" si="7"/>
        <v>3.1350416724260906</v>
      </c>
      <c r="S6" s="180">
        <f>J6/$R$6</f>
        <v>0.21720215572978394</v>
      </c>
      <c r="T6" s="180">
        <f t="shared" ref="T6:Z6" si="14">K6/$R$6</f>
        <v>8.8115913332801835E-3</v>
      </c>
      <c r="U6" s="180">
        <f t="shared" si="14"/>
        <v>0.12126323314930702</v>
      </c>
      <c r="V6" s="180">
        <f t="shared" si="14"/>
        <v>6.7092373237577538E-2</v>
      </c>
      <c r="W6" s="180">
        <f t="shared" si="14"/>
        <v>0.18358300669696143</v>
      </c>
      <c r="X6" s="180">
        <f t="shared" si="14"/>
        <v>6.7092373237577538E-2</v>
      </c>
      <c r="Y6" s="180">
        <f t="shared" si="14"/>
        <v>0.28639295070893167</v>
      </c>
      <c r="Z6" s="180">
        <f t="shared" si="14"/>
        <v>4.856231590658075E-2</v>
      </c>
      <c r="AA6" s="180">
        <f t="shared" si="9"/>
        <v>0.59266052477217657</v>
      </c>
    </row>
    <row r="7" spans="1:27" x14ac:dyDescent="0.3">
      <c r="A7" s="132" t="str">
        <f>'USI-3'!AF19</f>
        <v>Bajaj Housing Finance</v>
      </c>
      <c r="B7" s="183">
        <f>AVERAGE('[31]Financial Projections'!$AN$14:$AS$14)/AVERAGE('[31]Financial Projections'!$AN$8:$AS$8)</f>
        <v>0.62960850202121976</v>
      </c>
      <c r="C7" s="183">
        <f>AVERAGE('[31]Financial Projections'!$AN$11:$AS$11)/AVERAGE('[31]Financial Projections'!$AN$16:$AS$16)</f>
        <v>0.21745256971133675</v>
      </c>
      <c r="D7" s="183">
        <f>'[31]Financial Projections'!$AM$16</f>
        <v>2.5399999999999997E-3</v>
      </c>
      <c r="E7" s="180">
        <f>'USI-3'!AJ19</f>
        <v>0.21109734352003837</v>
      </c>
      <c r="F7" s="183">
        <f>('[31]Financial Projections'!$AS$5-'[31]Financial Projections'!$AN$5)/'[31]Financial Projections'!$AN$5</f>
        <v>1.8346590809571679</v>
      </c>
      <c r="G7" s="180">
        <f>'USI-3'!AJ19</f>
        <v>0.21109734352003837</v>
      </c>
      <c r="H7" s="180">
        <f>'USI-2'!AI7</f>
        <v>0.87859066326376956</v>
      </c>
      <c r="I7" s="180">
        <f>'USI-2'!AJ7</f>
        <v>0.13053886791064437</v>
      </c>
      <c r="J7" s="188">
        <f>B7</f>
        <v>0.62960850202121976</v>
      </c>
      <c r="K7" s="188">
        <f>C7</f>
        <v>0.21745256971133675</v>
      </c>
      <c r="L7" s="188">
        <f t="shared" si="3"/>
        <v>0</v>
      </c>
      <c r="M7" s="188">
        <f>E7</f>
        <v>0.21109734352003837</v>
      </c>
      <c r="N7" s="188">
        <f t="shared" si="5"/>
        <v>1</v>
      </c>
      <c r="O7" s="188">
        <f>G7</f>
        <v>0.21109734352003837</v>
      </c>
      <c r="P7" s="188">
        <f t="shared" si="10"/>
        <v>0.88512464829810156</v>
      </c>
      <c r="Q7" s="188">
        <f t="shared" si="12"/>
        <v>0.16025994948031824</v>
      </c>
      <c r="R7" s="180">
        <f t="shared" si="7"/>
        <v>3.3146403565510529</v>
      </c>
      <c r="S7" s="180">
        <f>J7/$R$7</f>
        <v>0.18994775731154723</v>
      </c>
      <c r="T7" s="180">
        <f t="shared" ref="T7:Z7" si="15">K7/$R$7</f>
        <v>6.5603669273368873E-2</v>
      </c>
      <c r="U7" s="180">
        <f t="shared" si="15"/>
        <v>0</v>
      </c>
      <c r="V7" s="180">
        <f t="shared" si="15"/>
        <v>6.368634929060274E-2</v>
      </c>
      <c r="W7" s="180">
        <f t="shared" si="15"/>
        <v>0.30169185565595397</v>
      </c>
      <c r="X7" s="180">
        <f t="shared" si="15"/>
        <v>6.368634929060274E-2</v>
      </c>
      <c r="Y7" s="180">
        <f t="shared" si="15"/>
        <v>0.26703489763187788</v>
      </c>
      <c r="Z7" s="180">
        <f t="shared" si="15"/>
        <v>4.834912154604664E-2</v>
      </c>
      <c r="AA7" s="180">
        <f t="shared" si="9"/>
        <v>0.70654590099874781</v>
      </c>
    </row>
    <row r="8" spans="1:27" x14ac:dyDescent="0.3">
      <c r="A8" s="132" t="str">
        <f>'USI-3'!AF20</f>
        <v>Muthoot Finance</v>
      </c>
      <c r="B8" s="183">
        <f>AVERAGE('[31]Financial Projections'!$BF$14:$BK$14)/AVERAGE('[31]Financial Projections'!$BF$8:$BK$8)</f>
        <v>0.57499110628533678</v>
      </c>
      <c r="C8" s="183">
        <f>AVERAGE('[31]Financial Projections'!$BF$11:$BK$11)/AVERAGE('[31]Financial Projections'!$BF$16:$BK$16)</f>
        <v>6.1007535126258859E-2</v>
      </c>
      <c r="D8" s="183">
        <f>'[31]Financial Projections'!$BE$16</f>
        <v>9.4000000000000004E-3</v>
      </c>
      <c r="E8" s="180">
        <f>'USI-3'!AJ20</f>
        <v>0.1824223667718893</v>
      </c>
      <c r="F8" s="183">
        <f>('[31]Financial Projections'!$BK$5-'[31]Financial Projections'!$BF$5)/'[31]Financial Projections'!$BF$5</f>
        <v>0.87362233934277744</v>
      </c>
      <c r="G8" s="180">
        <f>'USI-3'!AJ20</f>
        <v>0.1824223667718893</v>
      </c>
      <c r="H8" s="180">
        <f>'USI-2'!AI8</f>
        <v>0.94310983857328046</v>
      </c>
      <c r="I8" s="180">
        <f>'USI-2'!AJ8</f>
        <v>1.8901246088097512E-2</v>
      </c>
      <c r="J8" s="188">
        <f t="shared" si="1"/>
        <v>0.88111602255814914</v>
      </c>
      <c r="K8" s="188">
        <f t="shared" si="2"/>
        <v>0.17585842483122263</v>
      </c>
      <c r="L8" s="188">
        <f t="shared" si="3"/>
        <v>0.23622589531680446</v>
      </c>
      <c r="M8" s="188">
        <f t="shared" si="4"/>
        <v>0.82534359325506201</v>
      </c>
      <c r="N8" s="188">
        <f t="shared" si="5"/>
        <v>0.22548182328814123</v>
      </c>
      <c r="O8" s="188">
        <f t="shared" si="6"/>
        <v>0.82534359325506201</v>
      </c>
      <c r="P8" s="188">
        <f>H8</f>
        <v>0.94310983857328046</v>
      </c>
      <c r="Q8" s="188">
        <f t="shared" si="12"/>
        <v>2.2673362253784218E-2</v>
      </c>
      <c r="R8" s="180">
        <f t="shared" si="7"/>
        <v>4.1351525533315066</v>
      </c>
      <c r="S8" s="180">
        <f>J8/$R$8</f>
        <v>0.21307944778198656</v>
      </c>
      <c r="T8" s="180">
        <f t="shared" ref="T8:Z8" si="16">K8/$R$8</f>
        <v>4.2527675234022844E-2</v>
      </c>
      <c r="U8" s="180">
        <f t="shared" si="16"/>
        <v>5.7126283074245443E-2</v>
      </c>
      <c r="V8" s="180">
        <f t="shared" si="16"/>
        <v>0.1995920543705503</v>
      </c>
      <c r="W8" s="180">
        <f t="shared" si="16"/>
        <v>5.4528054377698996E-2</v>
      </c>
      <c r="X8" s="180">
        <f t="shared" si="16"/>
        <v>0.1995920543705503</v>
      </c>
      <c r="Y8" s="180">
        <f t="shared" si="16"/>
        <v>0.22807135321125196</v>
      </c>
      <c r="Z8" s="180">
        <f t="shared" si="16"/>
        <v>5.4830775796934766E-3</v>
      </c>
      <c r="AA8" s="180">
        <f t="shared" si="9"/>
        <v>0.76570106157689599</v>
      </c>
    </row>
    <row r="10" spans="1:27" s="3" customFormat="1" ht="28.8" x14ac:dyDescent="0.3">
      <c r="A10" s="103" t="s">
        <v>8</v>
      </c>
      <c r="B10" s="103" t="s">
        <v>78</v>
      </c>
      <c r="C10" s="103" t="s">
        <v>367</v>
      </c>
      <c r="D10" s="103" t="s">
        <v>105</v>
      </c>
      <c r="E10" s="103" t="s">
        <v>368</v>
      </c>
      <c r="F10" s="103" t="s">
        <v>141</v>
      </c>
      <c r="G10" s="103" t="s">
        <v>302</v>
      </c>
      <c r="H10" s="103" t="s">
        <v>177</v>
      </c>
      <c r="I10" s="103" t="s">
        <v>406</v>
      </c>
      <c r="J10" s="103" t="s">
        <v>407</v>
      </c>
      <c r="K10" s="103" t="s">
        <v>395</v>
      </c>
      <c r="L10" s="103" t="s">
        <v>393</v>
      </c>
      <c r="M10" s="103" t="s">
        <v>408</v>
      </c>
      <c r="N10" s="103" t="s">
        <v>397</v>
      </c>
      <c r="O10" s="103" t="s">
        <v>398</v>
      </c>
      <c r="P10" s="103" t="s">
        <v>341</v>
      </c>
      <c r="Q10" s="103" t="s">
        <v>344</v>
      </c>
      <c r="R10" s="103" t="s">
        <v>409</v>
      </c>
      <c r="S10" s="103" t="s">
        <v>401</v>
      </c>
      <c r="T10" s="103" t="s">
        <v>400</v>
      </c>
      <c r="U10" s="103" t="s">
        <v>410</v>
      </c>
      <c r="V10" s="103" t="s">
        <v>403</v>
      </c>
      <c r="W10" s="103" t="s">
        <v>404</v>
      </c>
      <c r="X10" s="103" t="s">
        <v>330</v>
      </c>
    </row>
    <row r="11" spans="1:27" x14ac:dyDescent="0.3">
      <c r="A11" s="132" t="s">
        <v>33</v>
      </c>
      <c r="B11" s="180">
        <v>0.14154823851860587</v>
      </c>
      <c r="C11" s="180">
        <v>7.1946331082550899E-2</v>
      </c>
      <c r="D11" s="180">
        <v>0.38476513696975428</v>
      </c>
      <c r="E11" s="180">
        <v>7.8758987363634972E-2</v>
      </c>
      <c r="F11" s="180">
        <v>9.1680897524922852E-2</v>
      </c>
      <c r="G11" s="180">
        <v>0.12513998230048126</v>
      </c>
      <c r="H11" s="180">
        <v>0.13077778897499998</v>
      </c>
      <c r="I11" s="180">
        <f>(B11-MIN($B$11:$B$20))/(MAX($B$11:$B$20)-MIN($B$11:$B$20))</f>
        <v>0.16023440890739019</v>
      </c>
      <c r="J11" s="180">
        <f>(C11-MIN($C$11:$C$20))/(MAX($C$11:$C$20)-MIN($C$11:$C$20))</f>
        <v>0.27102606683602204</v>
      </c>
      <c r="K11" s="180">
        <f>(D11-MIN($D$11:$D$20))/(MAX($D$11:$D$20)-MIN($D$11:$D$20))</f>
        <v>0.44315224237517231</v>
      </c>
      <c r="L11" s="180">
        <f>(E11-MIN($E$11:$E$20))/(MAX($E$11:$E$20)-MIN($E$11:$E$20))</f>
        <v>0.12839415679043653</v>
      </c>
      <c r="M11" s="180">
        <f>(F11-MIN($F$11:$F$20))/(MAX($F$11:$F$20)-MIN($F$11:$F$20))</f>
        <v>0.3890198762506204</v>
      </c>
      <c r="N11" s="180">
        <f>(G11-MIN($G$11:$G$20))/(MAX($G$11:$G$20)-MIN($G$11:$G$20))</f>
        <v>0.27281426974077688</v>
      </c>
      <c r="O11" s="180">
        <f>(H11-MIN($H$11:$H$20))/(MAX($H$11:$H$20)-MIN($H$11:$H$20))</f>
        <v>0.40555812512544775</v>
      </c>
      <c r="P11" s="180">
        <f>SUM(I11:O11)</f>
        <v>2.0701991460258662</v>
      </c>
      <c r="Q11" s="180">
        <f>I11/$P$11</f>
        <v>7.7400480632498589E-2</v>
      </c>
      <c r="R11" s="180">
        <f t="shared" ref="R11:W11" si="17">J11/$P$11</f>
        <v>0.13091787201067451</v>
      </c>
      <c r="S11" s="180">
        <f t="shared" si="17"/>
        <v>0.21406261480973257</v>
      </c>
      <c r="T11" s="180">
        <f t="shared" si="17"/>
        <v>6.2020195997526659E-2</v>
      </c>
      <c r="U11" s="180">
        <f t="shared" si="17"/>
        <v>0.18791422892692072</v>
      </c>
      <c r="V11" s="180">
        <f t="shared" si="17"/>
        <v>0.13178165504729089</v>
      </c>
      <c r="W11" s="180">
        <f t="shared" si="17"/>
        <v>0.195902952575356</v>
      </c>
      <c r="X11" s="180">
        <f>(I11*Q11)+(J11*R11)+(K11*S11)+(L11*T11)+(M11*U11)+(N11*V11)+(O11*W11)</f>
        <v>0.33921405494643692</v>
      </c>
    </row>
    <row r="12" spans="1:27" x14ac:dyDescent="0.3">
      <c r="A12" s="132" t="s">
        <v>40</v>
      </c>
      <c r="B12" s="180">
        <v>0.38048842946631573</v>
      </c>
      <c r="C12" s="180">
        <v>2.9634974948604242E-2</v>
      </c>
      <c r="D12" s="180">
        <v>0.35</v>
      </c>
      <c r="E12" s="180">
        <v>0.26913367883969941</v>
      </c>
      <c r="F12" s="180">
        <v>9.4896022862696189E-2</v>
      </c>
      <c r="G12" s="180">
        <v>0.15185650843855811</v>
      </c>
      <c r="H12" s="180">
        <v>0.15187778306999999</v>
      </c>
      <c r="I12" s="180">
        <f t="shared" ref="I12:I20" si="18">(B12-MIN($B$11:$B$20))/(MAX($B$11:$B$20)-MIN($B$11:$B$20))</f>
        <v>0.94562566455475749</v>
      </c>
      <c r="J12" s="180">
        <f t="shared" ref="J12:J20" si="19">(C12-MIN($C$11:$C$20))/(MAX($C$11:$C$20)-MIN($C$11:$C$20))</f>
        <v>5.0027131496097235E-2</v>
      </c>
      <c r="K12" s="180">
        <f t="shared" ref="K12:K20" si="20">(D12-MIN($D$11:$D$20))/(MAX($D$11:$D$20)-MIN($D$11:$D$20))</f>
        <v>0.38174124113299612</v>
      </c>
      <c r="L12" s="180">
        <f t="shared" ref="L12:L20" si="21">(E12-MIN($E$11:$E$20))/(MAX($E$11:$E$20)-MIN($E$11:$E$20))</f>
        <v>1</v>
      </c>
      <c r="M12" s="180">
        <f t="shared" ref="M12:M20" si="22">(F12-MIN($F$11:$F$20))/(MAX($F$11:$F$20)-MIN($F$11:$F$20))</f>
        <v>0.43514236795101713</v>
      </c>
      <c r="N12" s="180">
        <f t="shared" ref="N12:N20" si="23">(G12-MIN($G$11:$G$20))/(MAX($G$11:$G$20)-MIN($G$11:$G$20))</f>
        <v>1</v>
      </c>
      <c r="O12" s="180">
        <f t="shared" ref="O12:O20" si="24">(H12-MIN($H$11:$H$20))/(MAX($H$11:$H$20)-MIN($H$11:$H$20))</f>
        <v>1</v>
      </c>
      <c r="P12" s="180">
        <f t="shared" ref="P12:P20" si="25">SUM(I12:O12)</f>
        <v>4.8125364051348676</v>
      </c>
      <c r="Q12" s="180">
        <f>I12/$P$12</f>
        <v>0.19649215817791971</v>
      </c>
      <c r="R12" s="180">
        <f t="shared" ref="R12:W12" si="26">J12/$P$12</f>
        <v>1.0395169466711861E-2</v>
      </c>
      <c r="S12" s="180">
        <f t="shared" si="26"/>
        <v>7.9322255251032869E-2</v>
      </c>
      <c r="T12" s="180">
        <f t="shared" si="26"/>
        <v>0.20779063591768834</v>
      </c>
      <c r="U12" s="180">
        <f t="shared" si="26"/>
        <v>9.0418509351270576E-2</v>
      </c>
      <c r="V12" s="180">
        <f t="shared" si="26"/>
        <v>0.20779063591768834</v>
      </c>
      <c r="W12" s="180">
        <f t="shared" si="26"/>
        <v>0.20779063591768834</v>
      </c>
      <c r="X12" s="180">
        <f t="shared" ref="X12:X20" si="27">(I12*Q12)+(J12*R12)+(K12*S12)+(L12*T12)+(M12*U12)+(N12*V12)+(O12*W12)</f>
        <v>0.87932547635440494</v>
      </c>
    </row>
    <row r="13" spans="1:27" x14ac:dyDescent="0.3">
      <c r="A13" s="132" t="s">
        <v>43</v>
      </c>
      <c r="B13" s="180">
        <v>0.2468047328043278</v>
      </c>
      <c r="C13" s="180">
        <v>0.14019600882941585</v>
      </c>
      <c r="D13" s="180">
        <v>0.18836444254685528</v>
      </c>
      <c r="E13" s="180">
        <v>0.11526876094592094</v>
      </c>
      <c r="F13" s="180">
        <v>0.11021801478270014</v>
      </c>
      <c r="G13" s="180">
        <v>0.12728402349853973</v>
      </c>
      <c r="H13" s="180">
        <v>0.14967908292999998</v>
      </c>
      <c r="I13" s="180">
        <f t="shared" si="18"/>
        <v>0.50621023609752669</v>
      </c>
      <c r="J13" s="180">
        <f t="shared" si="19"/>
        <v>0.62750497693289897</v>
      </c>
      <c r="K13" s="180">
        <f t="shared" si="20"/>
        <v>9.6219529305117429E-2</v>
      </c>
      <c r="L13" s="180">
        <f t="shared" si="21"/>
        <v>0.29554942171481619</v>
      </c>
      <c r="M13" s="180">
        <f t="shared" si="22"/>
        <v>0.6549435796989086</v>
      </c>
      <c r="N13" s="180">
        <f t="shared" si="23"/>
        <v>0.33117201266956026</v>
      </c>
      <c r="O13" s="180">
        <f t="shared" si="24"/>
        <v>0.93805688155058486</v>
      </c>
      <c r="P13" s="180">
        <f t="shared" si="25"/>
        <v>3.4496566379694129</v>
      </c>
      <c r="Q13" s="180">
        <f>I13/$P$13</f>
        <v>0.14674220921752362</v>
      </c>
      <c r="R13" s="180">
        <f t="shared" ref="R13:W13" si="28">J13/$P$13</f>
        <v>0.18190360455766116</v>
      </c>
      <c r="S13" s="180">
        <f t="shared" si="28"/>
        <v>2.7892494646004993E-2</v>
      </c>
      <c r="T13" s="180">
        <f t="shared" si="28"/>
        <v>8.567502587410751E-2</v>
      </c>
      <c r="U13" s="180">
        <f t="shared" si="28"/>
        <v>0.18985761437533419</v>
      </c>
      <c r="V13" s="180">
        <f t="shared" si="28"/>
        <v>9.6001442295572795E-2</v>
      </c>
      <c r="W13" s="180">
        <f t="shared" si="28"/>
        <v>0.27192760903379576</v>
      </c>
      <c r="X13" s="180">
        <f t="shared" si="27"/>
        <v>0.62765541400795111</v>
      </c>
    </row>
    <row r="14" spans="1:27" x14ac:dyDescent="0.3">
      <c r="A14" s="132" t="s">
        <v>150</v>
      </c>
      <c r="B14" s="180">
        <v>0.19907738821958076</v>
      </c>
      <c r="C14" s="180">
        <v>5.4512789960205109E-2</v>
      </c>
      <c r="D14" s="180">
        <v>0.29165116823801068</v>
      </c>
      <c r="E14" s="180">
        <v>0.13472985202606222</v>
      </c>
      <c r="F14" s="180">
        <v>0.13427134752712042</v>
      </c>
      <c r="G14" s="180">
        <v>0.13306230921818624</v>
      </c>
      <c r="H14" s="180">
        <v>0.13964011794166667</v>
      </c>
      <c r="I14" s="180">
        <f t="shared" si="18"/>
        <v>0.34933148353834648</v>
      </c>
      <c r="J14" s="180">
        <f t="shared" si="19"/>
        <v>0.17996791178548949</v>
      </c>
      <c r="K14" s="180">
        <f t="shared" si="20"/>
        <v>0.27867073740011866</v>
      </c>
      <c r="L14" s="180">
        <f t="shared" si="21"/>
        <v>0.38464950413211235</v>
      </c>
      <c r="M14" s="180">
        <f t="shared" si="22"/>
        <v>1</v>
      </c>
      <c r="N14" s="180">
        <f t="shared" si="23"/>
        <v>0.48844870721327871</v>
      </c>
      <c r="O14" s="180">
        <f t="shared" si="24"/>
        <v>0.65523305029278567</v>
      </c>
      <c r="P14" s="180">
        <f t="shared" si="25"/>
        <v>3.3363013943621311</v>
      </c>
      <c r="Q14" s="180">
        <f>I14/$P$14</f>
        <v>0.1047062127326585</v>
      </c>
      <c r="R14" s="180">
        <f t="shared" ref="R14:W14" si="29">J14/$P$14</f>
        <v>5.3942342286464086E-2</v>
      </c>
      <c r="S14" s="180">
        <f t="shared" si="29"/>
        <v>8.3526847385860303E-2</v>
      </c>
      <c r="T14" s="180">
        <f t="shared" si="29"/>
        <v>0.11529219296017879</v>
      </c>
      <c r="U14" s="180">
        <f t="shared" si="29"/>
        <v>0.29973311214923687</v>
      </c>
      <c r="V14" s="180">
        <f t="shared" si="29"/>
        <v>0.14640425113830743</v>
      </c>
      <c r="W14" s="180">
        <f t="shared" si="29"/>
        <v>0.1963950413472941</v>
      </c>
      <c r="X14" s="180">
        <f t="shared" si="27"/>
        <v>0.61383724168649234</v>
      </c>
    </row>
    <row r="15" spans="1:27" x14ac:dyDescent="0.3">
      <c r="A15" s="132" t="s">
        <v>146</v>
      </c>
      <c r="B15" s="180">
        <v>0.19338222198892593</v>
      </c>
      <c r="C15" s="180">
        <v>6.4902825257354926E-2</v>
      </c>
      <c r="D15" s="180">
        <v>0.15</v>
      </c>
      <c r="E15" s="180">
        <v>0.12315392860099941</v>
      </c>
      <c r="F15" s="180">
        <v>9.4926545637935164E-2</v>
      </c>
      <c r="G15" s="180">
        <v>0.13182615194956873</v>
      </c>
      <c r="H15" s="180">
        <v>0.13854804730999998</v>
      </c>
      <c r="I15" s="180">
        <f t="shared" si="18"/>
        <v>0.33061159493662795</v>
      </c>
      <c r="J15" s="180">
        <f t="shared" si="19"/>
        <v>0.23423671686810663</v>
      </c>
      <c r="K15" s="180">
        <f t="shared" si="20"/>
        <v>2.8450521780422497E-2</v>
      </c>
      <c r="L15" s="180">
        <f t="shared" si="21"/>
        <v>0.33165063952673091</v>
      </c>
      <c r="M15" s="180">
        <f t="shared" si="22"/>
        <v>0.43558023157987574</v>
      </c>
      <c r="N15" s="180">
        <f t="shared" si="23"/>
        <v>0.45480226974423532</v>
      </c>
      <c r="O15" s="180">
        <f t="shared" si="24"/>
        <v>0.62446657183499232</v>
      </c>
      <c r="P15" s="180">
        <f t="shared" si="25"/>
        <v>2.4397985462709912</v>
      </c>
      <c r="Q15" s="180">
        <f>I15/$P$15</f>
        <v>0.13550774322820117</v>
      </c>
      <c r="R15" s="180">
        <f t="shared" ref="R15:W15" si="30">J15/$P$15</f>
        <v>9.6006581045847417E-2</v>
      </c>
      <c r="S15" s="180">
        <f t="shared" si="30"/>
        <v>1.1661012678242027E-2</v>
      </c>
      <c r="T15" s="180">
        <f t="shared" si="30"/>
        <v>0.13593361633632767</v>
      </c>
      <c r="U15" s="180">
        <f t="shared" si="30"/>
        <v>0.17853122842687985</v>
      </c>
      <c r="V15" s="180">
        <f t="shared" si="30"/>
        <v>0.18640976339598159</v>
      </c>
      <c r="W15" s="180">
        <f t="shared" si="30"/>
        <v>0.25595005488852035</v>
      </c>
      <c r="X15" s="180">
        <f t="shared" si="27"/>
        <v>0.43507944079776895</v>
      </c>
    </row>
    <row r="16" spans="1:27" x14ac:dyDescent="0.3">
      <c r="A16" s="132" t="s">
        <v>27</v>
      </c>
      <c r="B16" s="180">
        <v>0.27630745450500838</v>
      </c>
      <c r="C16" s="180">
        <v>2.0057029363321814E-2</v>
      </c>
      <c r="D16" s="180">
        <v>0.7</v>
      </c>
      <c r="E16" s="180">
        <v>0.18629972684158341</v>
      </c>
      <c r="F16" s="180">
        <v>0.10593601098318235</v>
      </c>
      <c r="G16" s="180">
        <v>0.12940390212625372</v>
      </c>
      <c r="H16" s="180">
        <v>0.13080148587000001</v>
      </c>
      <c r="I16" s="180">
        <f t="shared" si="18"/>
        <v>0.6031850461937619</v>
      </c>
      <c r="J16" s="180">
        <f t="shared" si="19"/>
        <v>0</v>
      </c>
      <c r="K16" s="180">
        <f t="shared" si="20"/>
        <v>1</v>
      </c>
      <c r="L16" s="180">
        <f t="shared" si="21"/>
        <v>0.62075549003962105</v>
      </c>
      <c r="M16" s="180">
        <f t="shared" si="22"/>
        <v>0.59351621250298314</v>
      </c>
      <c r="N16" s="180">
        <f t="shared" si="23"/>
        <v>0.38887208490155883</v>
      </c>
      <c r="O16" s="180">
        <f t="shared" si="24"/>
        <v>0.40622572847306504</v>
      </c>
      <c r="P16" s="180">
        <f t="shared" si="25"/>
        <v>3.61255456211099</v>
      </c>
      <c r="Q16" s="180">
        <f>I16/$P$16</f>
        <v>0.16696911723356553</v>
      </c>
      <c r="R16" s="180">
        <f t="shared" ref="R16:W16" si="31">J16/$P$16</f>
        <v>0</v>
      </c>
      <c r="S16" s="180">
        <f t="shared" si="31"/>
        <v>0.27681242810507245</v>
      </c>
      <c r="T16" s="180">
        <f t="shared" si="31"/>
        <v>0.17183283445742165</v>
      </c>
      <c r="U16" s="180">
        <f t="shared" si="31"/>
        <v>0.16429266390267694</v>
      </c>
      <c r="V16" s="180">
        <f t="shared" si="31"/>
        <v>0.10764462604388239</v>
      </c>
      <c r="W16" s="180">
        <f t="shared" si="31"/>
        <v>0.112448330257381</v>
      </c>
      <c r="X16" s="180">
        <f t="shared" si="27"/>
        <v>0.66924163280910609</v>
      </c>
    </row>
    <row r="17" spans="1:24" x14ac:dyDescent="0.3">
      <c r="A17" s="132" t="s">
        <v>148</v>
      </c>
      <c r="B17" s="180">
        <v>0.25223075203825768</v>
      </c>
      <c r="C17" s="180">
        <v>8.482991040983219E-2</v>
      </c>
      <c r="D17" s="180">
        <v>0.39999999999999997</v>
      </c>
      <c r="E17" s="180">
        <v>0.14599999999999999</v>
      </c>
      <c r="F17" s="180">
        <v>7.8343638700905507E-2</v>
      </c>
      <c r="G17" s="180">
        <v>0.12675569058593961</v>
      </c>
      <c r="H17" s="180">
        <v>0.14119745309999998</v>
      </c>
      <c r="I17" s="180">
        <f t="shared" si="18"/>
        <v>0.52404544432432332</v>
      </c>
      <c r="J17" s="180">
        <f t="shared" si="19"/>
        <v>0.33831904855192269</v>
      </c>
      <c r="K17" s="180">
        <f t="shared" si="20"/>
        <v>0.47006392097113947</v>
      </c>
      <c r="L17" s="180">
        <f t="shared" si="21"/>
        <v>0.43624841547771859</v>
      </c>
      <c r="M17" s="180">
        <f t="shared" si="22"/>
        <v>0.19769059829382107</v>
      </c>
      <c r="N17" s="180">
        <f t="shared" si="23"/>
        <v>0.31679154445735724</v>
      </c>
      <c r="O17" s="180">
        <f t="shared" si="24"/>
        <v>0.69910724415083436</v>
      </c>
      <c r="P17" s="180">
        <f t="shared" si="25"/>
        <v>2.9822662162271167</v>
      </c>
      <c r="Q17" s="180">
        <f>I17/$P$17</f>
        <v>0.1757205448235592</v>
      </c>
      <c r="R17" s="180">
        <f t="shared" ref="R17:W17" si="32">J17/$P$17</f>
        <v>0.11344361100664319</v>
      </c>
      <c r="S17" s="180">
        <f t="shared" si="32"/>
        <v>0.15761970491213229</v>
      </c>
      <c r="T17" s="180">
        <f t="shared" si="32"/>
        <v>0.14628084277117928</v>
      </c>
      <c r="U17" s="180">
        <f t="shared" si="32"/>
        <v>6.6288716016748045E-2</v>
      </c>
      <c r="V17" s="180">
        <f t="shared" si="32"/>
        <v>0.10622510583851638</v>
      </c>
      <c r="W17" s="180">
        <f t="shared" si="32"/>
        <v>0.23442147463122162</v>
      </c>
      <c r="X17" s="180">
        <f t="shared" si="27"/>
        <v>0.47901343028343735</v>
      </c>
    </row>
    <row r="18" spans="1:24" x14ac:dyDescent="0.3">
      <c r="A18" s="132" t="s">
        <v>147</v>
      </c>
      <c r="B18" s="180">
        <v>9.2799999999999994E-2</v>
      </c>
      <c r="C18" s="180">
        <v>4.112892423100159E-2</v>
      </c>
      <c r="D18" s="180">
        <v>0.3</v>
      </c>
      <c r="E18" s="180">
        <v>5.0715350234837205E-2</v>
      </c>
      <c r="F18" s="180">
        <v>6.4562942381574451E-2</v>
      </c>
      <c r="G18" s="180">
        <v>0.11932665588095032</v>
      </c>
      <c r="H18" s="180">
        <v>0.14540558798333333</v>
      </c>
      <c r="I18" s="180">
        <f t="shared" si="18"/>
        <v>0</v>
      </c>
      <c r="J18" s="180">
        <f t="shared" si="19"/>
        <v>0.11006185470892588</v>
      </c>
      <c r="K18" s="180">
        <f t="shared" si="20"/>
        <v>0.29341856129485272</v>
      </c>
      <c r="L18" s="180">
        <f t="shared" si="21"/>
        <v>0</v>
      </c>
      <c r="M18" s="180">
        <f t="shared" si="22"/>
        <v>0</v>
      </c>
      <c r="N18" s="180">
        <f t="shared" si="23"/>
        <v>0.11458381733188649</v>
      </c>
      <c r="O18" s="180">
        <f t="shared" si="24"/>
        <v>0.81766138110987985</v>
      </c>
      <c r="P18" s="180">
        <f t="shared" si="25"/>
        <v>1.3357256144455449</v>
      </c>
      <c r="Q18" s="180">
        <f>I18/$P$18</f>
        <v>0</v>
      </c>
      <c r="R18" s="180">
        <f t="shared" ref="R18:W18" si="33">J18/$P$18</f>
        <v>8.2398550659382369E-2</v>
      </c>
      <c r="S18" s="180">
        <f t="shared" si="33"/>
        <v>0.21966978705926049</v>
      </c>
      <c r="T18" s="180">
        <f t="shared" si="33"/>
        <v>0</v>
      </c>
      <c r="U18" s="180">
        <f t="shared" si="33"/>
        <v>0</v>
      </c>
      <c r="V18" s="180">
        <f t="shared" si="33"/>
        <v>8.5783948509102925E-2</v>
      </c>
      <c r="W18" s="180">
        <f t="shared" si="33"/>
        <v>0.61214771377225419</v>
      </c>
      <c r="X18" s="180">
        <f t="shared" si="27"/>
        <v>0.58388312756202565</v>
      </c>
    </row>
    <row r="19" spans="1:24" x14ac:dyDescent="0.3">
      <c r="A19" s="132" t="s">
        <v>145</v>
      </c>
      <c r="B19" s="180">
        <v>0.24878558052509112</v>
      </c>
      <c r="C19" s="180">
        <v>6.0397061943283974E-2</v>
      </c>
      <c r="D19" s="180">
        <v>0.15031580928325544</v>
      </c>
      <c r="E19" s="180">
        <v>0.12508594308923932</v>
      </c>
      <c r="F19" s="180">
        <v>7.6933593166442549E-2</v>
      </c>
      <c r="G19" s="180">
        <v>0.11511689017273613</v>
      </c>
      <c r="H19" s="180">
        <v>0.11638231246666667</v>
      </c>
      <c r="I19" s="180">
        <f t="shared" si="18"/>
        <v>0.51272123984489115</v>
      </c>
      <c r="J19" s="180">
        <f t="shared" si="19"/>
        <v>0.21070239922177481</v>
      </c>
      <c r="K19" s="180">
        <f t="shared" si="20"/>
        <v>2.9008384224720185E-2</v>
      </c>
      <c r="L19" s="180">
        <f t="shared" si="21"/>
        <v>0.34049611737916463</v>
      </c>
      <c r="M19" s="180">
        <f t="shared" si="22"/>
        <v>0.17746282903817839</v>
      </c>
      <c r="N19" s="180">
        <f t="shared" si="23"/>
        <v>0</v>
      </c>
      <c r="O19" s="180">
        <f t="shared" si="24"/>
        <v>0</v>
      </c>
      <c r="P19" s="180">
        <f t="shared" si="25"/>
        <v>1.2703909697087292</v>
      </c>
      <c r="Q19" s="180">
        <f>I19/$P$19</f>
        <v>0.40359326543579421</v>
      </c>
      <c r="R19" s="180">
        <f t="shared" ref="R19:W19" si="34">J19/$P$19</f>
        <v>0.16585634205986516</v>
      </c>
      <c r="S19" s="180">
        <f t="shared" si="34"/>
        <v>2.2834217903305094E-2</v>
      </c>
      <c r="T19" s="180">
        <f t="shared" si="34"/>
        <v>0.26802466760074056</v>
      </c>
      <c r="U19" s="180">
        <f t="shared" si="34"/>
        <v>0.13969150700029492</v>
      </c>
      <c r="V19" s="180">
        <f t="shared" si="34"/>
        <v>0</v>
      </c>
      <c r="W19" s="180">
        <f t="shared" si="34"/>
        <v>0</v>
      </c>
      <c r="X19" s="180">
        <f t="shared" si="27"/>
        <v>0.35859096111663186</v>
      </c>
    </row>
    <row r="20" spans="1:24" x14ac:dyDescent="0.3">
      <c r="A20" s="132" t="s">
        <v>149</v>
      </c>
      <c r="B20" s="180">
        <v>0.39703077571797102</v>
      </c>
      <c r="C20" s="180">
        <v>0.21151205184506519</v>
      </c>
      <c r="D20" s="180">
        <v>0.13389398859242055</v>
      </c>
      <c r="E20" s="180">
        <v>0.17733197197177036</v>
      </c>
      <c r="F20" s="180">
        <v>0.11957547741869638</v>
      </c>
      <c r="G20" s="180">
        <v>0.12179274990606964</v>
      </c>
      <c r="H20" s="180">
        <v>0.13521384269966075</v>
      </c>
      <c r="I20" s="180">
        <f t="shared" si="18"/>
        <v>1</v>
      </c>
      <c r="J20" s="180">
        <f t="shared" si="19"/>
        <v>1</v>
      </c>
      <c r="K20" s="180">
        <f t="shared" si="20"/>
        <v>0</v>
      </c>
      <c r="L20" s="180">
        <f t="shared" si="21"/>
        <v>0.57969778702040009</v>
      </c>
      <c r="M20" s="180">
        <f t="shared" si="22"/>
        <v>0.7891808014006324</v>
      </c>
      <c r="N20" s="180">
        <f t="shared" si="23"/>
        <v>0.181707378803767</v>
      </c>
      <c r="O20" s="180">
        <f t="shared" si="24"/>
        <v>0.53053333039133277</v>
      </c>
      <c r="P20" s="180">
        <f t="shared" si="25"/>
        <v>4.0811192976161328</v>
      </c>
      <c r="Q20" s="180">
        <f>I20/$P$20</f>
        <v>0.24503081803664031</v>
      </c>
      <c r="R20" s="180">
        <f t="shared" ref="R20:W20" si="35">J20/$P$20</f>
        <v>0.24503081803664031</v>
      </c>
      <c r="S20" s="180">
        <f t="shared" si="35"/>
        <v>0</v>
      </c>
      <c r="T20" s="180">
        <f t="shared" si="35"/>
        <v>0.14204382296763873</v>
      </c>
      <c r="U20" s="180">
        <f t="shared" si="35"/>
        <v>0.19337361734600833</v>
      </c>
      <c r="V20" s="180">
        <f t="shared" si="35"/>
        <v>4.4523907671580709E-2</v>
      </c>
      <c r="W20" s="180">
        <f t="shared" si="35"/>
        <v>0.12999701594149143</v>
      </c>
      <c r="X20" s="180">
        <f t="shared" si="27"/>
        <v>0.80206894457987887</v>
      </c>
    </row>
  </sheetData>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47D42-DFEE-4CEE-9DAF-E2143D35DAEA}">
  <dimension ref="A1:AG19"/>
  <sheetViews>
    <sheetView zoomScale="72" workbookViewId="0">
      <selection activeCell="D6" sqref="D6"/>
    </sheetView>
  </sheetViews>
  <sheetFormatPr defaultRowHeight="14.4" x14ac:dyDescent="0.3"/>
  <cols>
    <col min="1" max="1" width="15.6640625" style="3" customWidth="1"/>
    <col min="2" max="2" width="22" style="3" customWidth="1"/>
    <col min="3" max="3" width="26.21875" style="3" customWidth="1"/>
    <col min="4" max="4" width="8.88671875" style="3"/>
    <col min="5" max="5" width="12.77734375" style="3" bestFit="1" customWidth="1"/>
    <col min="6" max="6" width="7.44140625" style="99" bestFit="1" customWidth="1"/>
    <col min="7" max="7" width="9" style="106" customWidth="1"/>
    <col min="8" max="8" width="7" style="3" bestFit="1" customWidth="1"/>
    <col min="9" max="9" width="10.5546875" style="3" bestFit="1" customWidth="1"/>
    <col min="10" max="10" width="10.21875" style="105" customWidth="1"/>
    <col min="11" max="11" width="11.109375" style="99" customWidth="1"/>
    <col min="12" max="12" width="5.88671875" style="3" bestFit="1" customWidth="1"/>
    <col min="13" max="13" width="4.77734375" style="3" bestFit="1" customWidth="1"/>
    <col min="14" max="14" width="7.5546875" style="3" bestFit="1" customWidth="1"/>
    <col min="15" max="15" width="10.21875" style="99" customWidth="1"/>
    <col min="16" max="16" width="8.88671875" style="3"/>
    <col min="17" max="17" width="13.21875" style="103" customWidth="1"/>
    <col min="18" max="18" width="15.21875" style="99" bestFit="1" customWidth="1"/>
    <col min="19" max="19" width="12.6640625" style="99" bestFit="1" customWidth="1"/>
    <col min="20" max="20" width="14.21875" style="99" bestFit="1" customWidth="1"/>
    <col min="21" max="21" width="11.5546875" style="99" bestFit="1" customWidth="1"/>
    <col min="22" max="22" width="11.77734375" style="3" bestFit="1" customWidth="1"/>
    <col min="23" max="23" width="12" style="3" customWidth="1"/>
    <col min="24" max="24" width="12.21875" style="113" bestFit="1" customWidth="1"/>
    <col min="25" max="25" width="12.77734375" style="3" bestFit="1" customWidth="1"/>
    <col min="26" max="26" width="10.44140625" style="3" bestFit="1" customWidth="1"/>
    <col min="27" max="28" width="8.88671875" style="3"/>
    <col min="29" max="29" width="12.44140625" style="3" customWidth="1"/>
    <col min="30" max="30" width="13.6640625" style="3" bestFit="1" customWidth="1"/>
    <col min="31" max="31" width="21" style="3" bestFit="1" customWidth="1"/>
    <col min="32" max="32" width="18" style="3" customWidth="1"/>
    <col min="33" max="33" width="16.77734375" style="3" bestFit="1" customWidth="1"/>
    <col min="34" max="16384" width="8.88671875" style="3"/>
  </cols>
  <sheetData>
    <row r="1" spans="1:33" s="99" customFormat="1" ht="28.8" x14ac:dyDescent="0.3">
      <c r="A1" s="103" t="s">
        <v>8</v>
      </c>
      <c r="B1" s="104" t="s">
        <v>162</v>
      </c>
      <c r="C1" s="103" t="s">
        <v>163</v>
      </c>
      <c r="E1" s="107" t="s">
        <v>8</v>
      </c>
      <c r="F1" s="98" t="s">
        <v>175</v>
      </c>
      <c r="G1" s="98" t="s">
        <v>176</v>
      </c>
      <c r="H1" s="98" t="s">
        <v>105</v>
      </c>
      <c r="I1" s="98" t="s">
        <v>177</v>
      </c>
      <c r="J1" s="111" t="s">
        <v>178</v>
      </c>
      <c r="K1" s="98" t="s">
        <v>179</v>
      </c>
      <c r="L1" s="98" t="s">
        <v>180</v>
      </c>
      <c r="M1" s="98" t="s">
        <v>181</v>
      </c>
      <c r="N1" s="98" t="s">
        <v>182</v>
      </c>
      <c r="O1" s="98" t="s">
        <v>183</v>
      </c>
      <c r="Q1" s="103" t="s">
        <v>8</v>
      </c>
      <c r="R1" s="99" t="s">
        <v>184</v>
      </c>
      <c r="S1" s="99" t="s">
        <v>183</v>
      </c>
      <c r="T1" s="99" t="s">
        <v>185</v>
      </c>
      <c r="U1" s="99" t="s">
        <v>186</v>
      </c>
      <c r="V1" s="99" t="s">
        <v>193</v>
      </c>
      <c r="W1" s="99" t="s">
        <v>194</v>
      </c>
      <c r="X1" s="99" t="s">
        <v>195</v>
      </c>
      <c r="Y1" s="99" t="s">
        <v>196</v>
      </c>
      <c r="Z1" s="99" t="s">
        <v>197</v>
      </c>
    </row>
    <row r="2" spans="1:33" ht="28.8" x14ac:dyDescent="0.3">
      <c r="A2" s="3" t="s">
        <v>33</v>
      </c>
      <c r="B2" s="104">
        <f>Table144[[#This Row],[Avg Valuation Multiple]]</f>
        <v>36.386922016455642</v>
      </c>
      <c r="C2" s="3" t="s">
        <v>164</v>
      </c>
      <c r="E2" s="108" t="str">
        <f>Table126[[#This Row],[Sector]]</f>
        <v>Automotive</v>
      </c>
      <c r="F2" s="112">
        <f>Table126[[#This Row],[Avg Valuation multiple]]</f>
        <v>36.386922016455642</v>
      </c>
      <c r="G2" s="109">
        <f>'[11]5c'!$D$29</f>
        <v>0.12298559710009734</v>
      </c>
      <c r="H2" s="110">
        <f>Table5[[#This Row],[Incremental ROCE (Forecast)]]</f>
        <v>0.18333333333333335</v>
      </c>
      <c r="I2" s="109">
        <f>AVERAGE(Table234589[Cost of Equity])</f>
        <v>0.13610528</v>
      </c>
      <c r="J2" s="112">
        <f>India!D15</f>
        <v>63.562236795303598</v>
      </c>
      <c r="K2" s="112">
        <f>MIN(0.5,Table127[[#This Row],[Earnings Sensitivity]]/100)</f>
        <v>0.5</v>
      </c>
      <c r="L2" s="112">
        <v>0.4</v>
      </c>
      <c r="M2" s="112">
        <v>0.4</v>
      </c>
      <c r="N2" s="112">
        <v>0.2</v>
      </c>
      <c r="O2" s="117">
        <f>Table127[[#This Row],[Base PE]]*(1+Table127[[#This Row],[Alpha]]*(Table127[[#This Row],[Earnings CAGR]]/0.15)+Table127[[#This Row],[Beta]]*((Table127[[#This Row],[ROCE]]-Table127[[#This Row],[Ke]])/Table127[[#This Row],[Ke]])-Table127[[#This Row],[Gamma]]*Table127[[#This Row],[Risk Adjustment]])</f>
        <v>49.73219626834004</v>
      </c>
      <c r="Q2" s="103" t="str">
        <f>Table127[[#This Row],[Sector]]</f>
        <v>Automotive</v>
      </c>
      <c r="R2" s="118">
        <f>Table127[[#This Row],[ROCE]]</f>
        <v>0.18333333333333335</v>
      </c>
      <c r="S2" s="104">
        <f>Table127[[#This Row],[Forecasted PE]]</f>
        <v>49.73219626834004</v>
      </c>
      <c r="T2" s="99" t="str">
        <f>IF(R2&gt;= $AA$16,
    IF(S2&gt;= $AA$18,"High ROCE &amp; High PE",
       IF(S2&gt;= $AA$19,"High ROCE &amp; Moderate PE","High ROCE &amp; Low PE")),
 IF(R2&gt;= $AA$17,
    IF(S2&gt;= $AA$18,"Moderate ROCE &amp; High PE",
       IF(S2&gt;= $AA$19,"Moderate ROCE &amp; Moderate PE","Moderate ROCE &amp; Low PE")),
 IF(S2&gt;= $AA$18,"Low ROCE &amp; High PE",
    IF(S2&gt;= $AA$19,"Low ROCE &amp; Moderate PE","Low ROCE &amp; Low PE"))))</f>
        <v>Moderate ROCE &amp; Moderate PE</v>
      </c>
      <c r="U2"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Balanced Compounder</v>
      </c>
      <c r="V2" s="118" t="e">
        <f>IF($U2="Premium Efficiency",$S2,NA())</f>
        <v>#N/A</v>
      </c>
      <c r="W2" s="118">
        <f>IF($U2="Balanced Compounder",$S2,NA())</f>
        <v>49.73219626834004</v>
      </c>
      <c r="X2" s="118" t="e">
        <f>IF($U2="Undervalued Efficient",$S2,NA())</f>
        <v>#N/A</v>
      </c>
      <c r="Y2" s="118" t="e">
        <f>IF($U2="Value Anchor",$S2,NA())</f>
        <v>#N/A</v>
      </c>
      <c r="Z2" s="118" t="e">
        <f>IF($U2="Mid-Tier Performer",$S2,NA())</f>
        <v>#N/A</v>
      </c>
    </row>
    <row r="3" spans="1:33" ht="28.8" x14ac:dyDescent="0.3">
      <c r="A3" s="3" t="s">
        <v>0</v>
      </c>
      <c r="B3" s="104">
        <f>Table144[[#This Row],[Avg Valuation Multiple]]</f>
        <v>25.153557142857146</v>
      </c>
      <c r="C3" s="3" t="s">
        <v>165</v>
      </c>
      <c r="E3" s="108" t="str">
        <f>Table126[[#This Row],[Sector]]</f>
        <v>BFSI</v>
      </c>
      <c r="F3" s="112">
        <f>Table126[[#This Row],[Avg Valuation multiple]]</f>
        <v>25.153557142857146</v>
      </c>
      <c r="G3" s="109">
        <f>[7]Calc!$D$25</f>
        <v>0.13286506259654182</v>
      </c>
      <c r="H3" s="110">
        <f>Table5[[#This Row],[Incremental ROCE (Forecast)]]</f>
        <v>0.14954551308444244</v>
      </c>
      <c r="I3" s="109">
        <f>AVERAGE(Table23[Cost of Equity])</f>
        <v>8.6751964285714286E-2</v>
      </c>
      <c r="J3" s="112">
        <f>India!D16</f>
        <v>62.232733257080184</v>
      </c>
      <c r="K3" s="112">
        <f>MIN(0.5,Table127[[#This Row],[Earnings Sensitivity]]/100)</f>
        <v>0.5</v>
      </c>
      <c r="L3" s="112">
        <v>0.4</v>
      </c>
      <c r="M3" s="112">
        <v>0.4</v>
      </c>
      <c r="N3" s="112">
        <v>0.2</v>
      </c>
      <c r="O3" s="117">
        <f>Table127[[#This Row],[Base PE]]*(1+Table127[[#This Row],[Alpha]]*(Table127[[#This Row],[Earnings CAGR]]/0.15)+Table127[[#This Row],[Beta]]*((Table127[[#This Row],[ROCE]]-Table127[[#This Row],[Ke]])/Table127[[#This Row],[Ke]])-Table127[[#This Row],[Gamma]]*Table127[[#This Row],[Risk Adjustment]])</f>
        <v>38.833023763515733</v>
      </c>
      <c r="Q3" s="103" t="str">
        <f>Table127[[#This Row],[Sector]]</f>
        <v>BFSI</v>
      </c>
      <c r="R3" s="118">
        <f>Table127[[#This Row],[ROCE]]</f>
        <v>0.14954551308444244</v>
      </c>
      <c r="S3" s="104">
        <f>Table127[[#This Row],[Forecasted PE]]</f>
        <v>38.833023763515733</v>
      </c>
      <c r="T3" s="99" t="str">
        <f t="shared" ref="T3:T12" si="0">IF(R3&gt;= $AA$16,
    IF(S3&gt;= $AA$18,"High ROCE &amp; High PE",
       IF(S3&gt;= $AA$19,"High ROCE &amp; Moderate PE","High ROCE &amp; Low PE")),
 IF(R3&gt;= $AA$17,
    IF(S3&gt;= $AA$18,"Moderate ROCE &amp; High PE",
       IF(S3&gt;= $AA$19,"Moderate ROCE &amp; Moderate PE","Moderate ROCE &amp; Low PE")),
 IF(S3&gt;= $AA$18,"Low ROCE &amp; High PE",
    IF(S3&gt;= $AA$19,"Low ROCE &amp; Moderate PE","Low ROCE &amp; Low PE"))))</f>
        <v>Low ROCE &amp; Moderate PE</v>
      </c>
      <c r="U3"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Mid-tier Performer</v>
      </c>
      <c r="V3" s="118" t="e">
        <f t="shared" ref="V3:V12" si="1">IF($U3="Premium Efficiency",$S3,NA())</f>
        <v>#N/A</v>
      </c>
      <c r="W3" s="118" t="e">
        <f t="shared" ref="W3:W12" si="2">IF($U3="Balanced Compounder",$S3,NA())</f>
        <v>#N/A</v>
      </c>
      <c r="X3" s="118" t="e">
        <f t="shared" ref="X3:X12" si="3">IF($U3="Undervalued Efficient",$S3,NA())</f>
        <v>#N/A</v>
      </c>
      <c r="Y3" s="118" t="e">
        <f t="shared" ref="Y3:Y12" si="4">IF($U3="Value Anchor",$S3,NA())</f>
        <v>#N/A</v>
      </c>
      <c r="Z3" s="118">
        <f t="shared" ref="Z3:Z12" si="5">IF($U3="Mid-Tier Performer",$S3,NA())</f>
        <v>38.833023763515733</v>
      </c>
    </row>
    <row r="4" spans="1:33" ht="28.8" x14ac:dyDescent="0.3">
      <c r="A4" s="3" t="s">
        <v>40</v>
      </c>
      <c r="B4" s="104">
        <f>Table144[[#This Row],[Avg Valuation Multiple]]</f>
        <v>75.725357888656362</v>
      </c>
      <c r="C4" s="3" t="s">
        <v>166</v>
      </c>
      <c r="E4" s="108" t="str">
        <f>Table126[[#This Row],[Sector]]</f>
        <v>Defence</v>
      </c>
      <c r="F4" s="112">
        <f>Table126[[#This Row],[Avg Valuation multiple]]</f>
        <v>75.725357888656362</v>
      </c>
      <c r="G4" s="109">
        <f>[14]Calc!$D$25</f>
        <v>0.16950159526034972</v>
      </c>
      <c r="H4" s="110">
        <f>Table5[[#This Row],[Incremental ROCE (Forecast)]]</f>
        <v>0.35</v>
      </c>
      <c r="I4" s="109">
        <f>AVERAGE(Table2369109137[Cost of Equity])</f>
        <v>0.17473533599999999</v>
      </c>
      <c r="J4" s="112">
        <f>India!D17</f>
        <v>24.969914154087061</v>
      </c>
      <c r="K4" s="112">
        <f>MIN(0.5,Table127[[#This Row],[Earnings Sensitivity]]/100)</f>
        <v>0.24969914154087061</v>
      </c>
      <c r="L4" s="112">
        <v>0.4</v>
      </c>
      <c r="M4" s="112">
        <v>0.4</v>
      </c>
      <c r="N4" s="112">
        <v>0.2</v>
      </c>
      <c r="O4" s="117">
        <f>Table127[[#This Row],[Base PE]]*(1+Table127[[#This Row],[Alpha]]*(Table127[[#This Row],[Earnings CAGR]]/0.15)+Table127[[#This Row],[Beta]]*((Table127[[#This Row],[ROCE]]-Table127[[#This Row],[Ke]])/Table127[[#This Row],[Ke]])-Table127[[#This Row],[Gamma]]*Table127[[#This Row],[Risk Adjustment]])</f>
        <v>136.55373189613508</v>
      </c>
      <c r="Q4" s="103" t="str">
        <f>Table127[[#This Row],[Sector]]</f>
        <v>Defence</v>
      </c>
      <c r="R4" s="118">
        <f>Table127[[#This Row],[ROCE]]</f>
        <v>0.35</v>
      </c>
      <c r="S4" s="104">
        <f>Table127[[#This Row],[Forecasted PE]]</f>
        <v>136.55373189613508</v>
      </c>
      <c r="T4" s="99" t="str">
        <f t="shared" si="0"/>
        <v>High ROCE &amp; High PE</v>
      </c>
      <c r="U4"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Premium Efficiency</v>
      </c>
      <c r="V4" s="118">
        <f t="shared" si="1"/>
        <v>136.55373189613508</v>
      </c>
      <c r="W4" s="118" t="e">
        <f t="shared" si="2"/>
        <v>#N/A</v>
      </c>
      <c r="X4" s="118" t="e">
        <f t="shared" si="3"/>
        <v>#N/A</v>
      </c>
      <c r="Y4" s="118" t="e">
        <f t="shared" si="4"/>
        <v>#N/A</v>
      </c>
      <c r="Z4" s="118" t="e">
        <f t="shared" si="5"/>
        <v>#N/A</v>
      </c>
      <c r="AC4" s="3" t="s">
        <v>192</v>
      </c>
      <c r="AD4" s="113">
        <f>CORREL(Table139[Forecasted ROCE],Table139[Forecasted PE])</f>
        <v>0.40831413557849872</v>
      </c>
    </row>
    <row r="5" spans="1:33" ht="28.8" x14ac:dyDescent="0.3">
      <c r="A5" s="3" t="s">
        <v>43</v>
      </c>
      <c r="B5" s="104">
        <f>Table144[[#This Row],[Avg Valuation Multiple]]</f>
        <v>13.417327376400326</v>
      </c>
      <c r="C5" s="3" t="s">
        <v>167</v>
      </c>
      <c r="E5" s="108" t="str">
        <f>Table126[[#This Row],[Sector]]</f>
        <v>Energy</v>
      </c>
      <c r="F5" s="112">
        <f>Table126[[#This Row],[Avg Valuation multiple]]</f>
        <v>13.417327376400326</v>
      </c>
      <c r="G5" s="109">
        <f>[12]Calc!$D$25</f>
        <v>7.829750260738004E-2</v>
      </c>
      <c r="H5" s="110">
        <f>Table5[[#This Row],[Incremental ROCE (Forecast)]]</f>
        <v>0.18836444254685528</v>
      </c>
      <c r="I5" s="109">
        <f>AVERAGE(Table2369109[Cost of Equity])</f>
        <v>0.137132</v>
      </c>
      <c r="J5" s="112">
        <f>India!D18</f>
        <v>156.4424941941773</v>
      </c>
      <c r="K5" s="112">
        <f>MIN(0.5,Table127[[#This Row],[Earnings Sensitivity]]/100)</f>
        <v>0.5</v>
      </c>
      <c r="L5" s="112">
        <v>0.4</v>
      </c>
      <c r="M5" s="112">
        <v>0.4</v>
      </c>
      <c r="N5" s="112">
        <v>0.2</v>
      </c>
      <c r="O5" s="117">
        <f>Table127[[#This Row],[Base PE]]*(1+Table127[[#This Row],[Alpha]]*(Table127[[#This Row],[Earnings CAGR]]/0.15)+Table127[[#This Row],[Beta]]*((Table127[[#This Row],[ROCE]]-Table127[[#This Row],[Ke]])/Table127[[#This Row],[Ke]])-Table127[[#This Row],[Gamma]]*Table127[[#This Row],[Risk Adjustment]])</f>
        <v>16.882125799099693</v>
      </c>
      <c r="Q5" s="103" t="str">
        <f>Table127[[#This Row],[Sector]]</f>
        <v>Energy</v>
      </c>
      <c r="R5" s="118">
        <f>Table127[[#This Row],[ROCE]]</f>
        <v>0.18836444254685528</v>
      </c>
      <c r="S5" s="104">
        <f>Table127[[#This Row],[Forecasted PE]]</f>
        <v>16.882125799099693</v>
      </c>
      <c r="T5" s="99" t="str">
        <f t="shared" si="0"/>
        <v>Moderate ROCE &amp; Low PE</v>
      </c>
      <c r="U5"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Mid-tier Performer</v>
      </c>
      <c r="V5" s="118" t="e">
        <f t="shared" si="1"/>
        <v>#N/A</v>
      </c>
      <c r="W5" s="118" t="e">
        <f t="shared" si="2"/>
        <v>#N/A</v>
      </c>
      <c r="X5" s="118" t="e">
        <f t="shared" si="3"/>
        <v>#N/A</v>
      </c>
      <c r="Y5" s="118" t="e">
        <f t="shared" si="4"/>
        <v>#N/A</v>
      </c>
      <c r="Z5" s="118">
        <f t="shared" si="5"/>
        <v>16.882125799099693</v>
      </c>
    </row>
    <row r="6" spans="1:33" ht="28.8" x14ac:dyDescent="0.3">
      <c r="A6" s="3" t="s">
        <v>150</v>
      </c>
      <c r="B6" s="104">
        <f>Table144[[#This Row],[Avg Valuation Multiple]]</f>
        <v>107.04129328101216</v>
      </c>
      <c r="C6" s="3" t="s">
        <v>168</v>
      </c>
      <c r="E6" s="108" t="str">
        <f>Table126[[#This Row],[Sector]]</f>
        <v>FMCG &amp; Retail</v>
      </c>
      <c r="F6" s="112">
        <f>Table126[[#This Row],[Avg Valuation multiple]]</f>
        <v>107.04129328101216</v>
      </c>
      <c r="G6" s="109">
        <f>[8]Calc!$D$29</f>
        <v>0.12342315219805859</v>
      </c>
      <c r="H6" s="110">
        <f>Table5[[#This Row],[Incremental ROCE (Forecast)]]</f>
        <v>0.29165116823801068</v>
      </c>
      <c r="I6" s="109">
        <f>AVERAGE(Table2345[Cost of Equity])</f>
        <v>0.15508542</v>
      </c>
      <c r="J6" s="112">
        <f>India!D19</f>
        <v>68.198838217276105</v>
      </c>
      <c r="K6" s="112">
        <f>MIN(0.5,Table127[[#This Row],[Earnings Sensitivity]]/100)</f>
        <v>0.5</v>
      </c>
      <c r="L6" s="112">
        <v>0.4</v>
      </c>
      <c r="M6" s="112">
        <v>0.4</v>
      </c>
      <c r="N6" s="112">
        <v>0.2</v>
      </c>
      <c r="O6" s="117">
        <f>Table127[[#This Row],[Base PE]]*(1+Table127[[#This Row],[Alpha]]*(Table127[[#This Row],[Earnings CAGR]]/0.15)+Table127[[#This Row],[Beta]]*((Table127[[#This Row],[ROCE]]-Table127[[#This Row],[Ke]])/Table127[[#This Row],[Ke]])-Table127[[#This Row],[Gamma]]*Table127[[#This Row],[Risk Adjustment]])</f>
        <v>169.27103666935344</v>
      </c>
      <c r="Q6" s="103" t="str">
        <f>Table127[[#This Row],[Sector]]</f>
        <v>FMCG &amp; Retail</v>
      </c>
      <c r="R6" s="118">
        <f>Table127[[#This Row],[ROCE]]</f>
        <v>0.29165116823801068</v>
      </c>
      <c r="S6" s="104">
        <f>Table127[[#This Row],[Forecasted PE]]</f>
        <v>169.27103666935344</v>
      </c>
      <c r="T6" s="99" t="str">
        <f t="shared" si="0"/>
        <v>Moderate ROCE &amp; High PE</v>
      </c>
      <c r="U6"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Balanced Compounder</v>
      </c>
      <c r="V6" s="118" t="e">
        <f t="shared" si="1"/>
        <v>#N/A</v>
      </c>
      <c r="W6" s="118">
        <f t="shared" si="2"/>
        <v>169.27103666935344</v>
      </c>
      <c r="X6" s="118" t="e">
        <f t="shared" si="3"/>
        <v>#N/A</v>
      </c>
      <c r="Y6" s="118" t="e">
        <f t="shared" si="4"/>
        <v>#N/A</v>
      </c>
      <c r="Z6" s="118" t="e">
        <f t="shared" si="5"/>
        <v>#N/A</v>
      </c>
    </row>
    <row r="7" spans="1:33" ht="28.8" x14ac:dyDescent="0.3">
      <c r="A7" s="3" t="s">
        <v>146</v>
      </c>
      <c r="B7" s="104">
        <f>Table144[[#This Row],[Avg Valuation Multiple]]</f>
        <v>24.806680215765947</v>
      </c>
      <c r="C7" s="3" t="s">
        <v>169</v>
      </c>
      <c r="E7" s="108" t="str">
        <f>Table126[[#This Row],[Sector]]</f>
        <v>Infrastructure</v>
      </c>
      <c r="F7" s="112">
        <f>Table126[[#This Row],[Avg Valuation multiple]]</f>
        <v>24.806680215765947</v>
      </c>
      <c r="G7" s="109">
        <f>'[17]WACC &amp; Key Assumptions'!$O$24</f>
        <v>9.4926545637935164E-2</v>
      </c>
      <c r="H7" s="110">
        <f>Table5[[#This Row],[Incremental ROCE (Forecast)]]</f>
        <v>0.15</v>
      </c>
      <c r="I7" s="109">
        <f>AVERAGE(Table236910913736[Cost of Equity])</f>
        <v>0.13856400000000002</v>
      </c>
      <c r="J7" s="112">
        <f>India!D20</f>
        <v>14.699628421637179</v>
      </c>
      <c r="K7" s="112">
        <f>MIN(0.5,Table127[[#This Row],[Earnings Sensitivity]]/100)</f>
        <v>0.14699628421637179</v>
      </c>
      <c r="L7" s="112">
        <v>0.4</v>
      </c>
      <c r="M7" s="112">
        <v>0.4</v>
      </c>
      <c r="N7" s="112">
        <v>0.2</v>
      </c>
      <c r="O7" s="117">
        <f>Table127[[#This Row],[Base PE]]*(1+Table127[[#This Row],[Alpha]]*(Table127[[#This Row],[Earnings CAGR]]/0.15)+Table127[[#This Row],[Beta]]*((Table127[[#This Row],[ROCE]]-Table127[[#This Row],[Ke]])/Table127[[#This Row],[Ke]])-Table127[[#This Row],[Gamma]]*Table127[[#This Row],[Risk Adjustment]])</f>
        <v>31.175822697523945</v>
      </c>
      <c r="Q7" s="103" t="str">
        <f>Table127[[#This Row],[Sector]]</f>
        <v>Infrastructure</v>
      </c>
      <c r="R7" s="118">
        <f>Table127[[#This Row],[ROCE]]</f>
        <v>0.15</v>
      </c>
      <c r="S7" s="104">
        <f>Table127[[#This Row],[Forecasted PE]]</f>
        <v>31.175822697523945</v>
      </c>
      <c r="T7" s="99" t="str">
        <f t="shared" si="0"/>
        <v>Moderate ROCE &amp; Moderate PE</v>
      </c>
      <c r="U7"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Balanced Compounder</v>
      </c>
      <c r="V7" s="118" t="e">
        <f t="shared" si="1"/>
        <v>#N/A</v>
      </c>
      <c r="W7" s="118">
        <f t="shared" si="2"/>
        <v>31.175822697523945</v>
      </c>
      <c r="X7" s="118" t="e">
        <f t="shared" si="3"/>
        <v>#N/A</v>
      </c>
      <c r="Y7" s="118" t="e">
        <f t="shared" si="4"/>
        <v>#N/A</v>
      </c>
      <c r="Z7" s="118" t="e">
        <f t="shared" si="5"/>
        <v>#N/A</v>
      </c>
    </row>
    <row r="8" spans="1:33" ht="28.8" x14ac:dyDescent="0.3">
      <c r="A8" s="3" t="s">
        <v>27</v>
      </c>
      <c r="B8" s="104">
        <f>Table144[[#This Row],[Avg Valuation Multiple]]</f>
        <v>33.858522556853316</v>
      </c>
      <c r="C8" s="3" t="s">
        <v>170</v>
      </c>
      <c r="E8" s="108" t="str">
        <f>Table126[[#This Row],[Sector]]</f>
        <v>IT</v>
      </c>
      <c r="F8" s="112">
        <f>Table126[[#This Row],[Avg Valuation multiple]]</f>
        <v>33.858522556853316</v>
      </c>
      <c r="G8" s="109">
        <f>[10]Calc!$D$25</f>
        <v>0.11180390243982168</v>
      </c>
      <c r="H8" s="110">
        <f>Table5[[#This Row],[Incremental ROCE (Forecast)]]</f>
        <v>0.7</v>
      </c>
      <c r="I8" s="109">
        <f>AVERAGE(Table2369[Cost of Equity])</f>
        <v>0.134391436</v>
      </c>
      <c r="J8" s="112">
        <f>India!D21</f>
        <v>12.313121925749821</v>
      </c>
      <c r="K8" s="112">
        <f>MIN(0.5,Table127[[#This Row],[Earnings Sensitivity]]/100)</f>
        <v>0.1231312192574982</v>
      </c>
      <c r="L8" s="112">
        <v>0.4</v>
      </c>
      <c r="M8" s="112">
        <v>0.4</v>
      </c>
      <c r="N8" s="112">
        <v>0.2</v>
      </c>
      <c r="O8" s="117">
        <f>Table127[[#This Row],[Base PE]]*(1+Table127[[#This Row],[Alpha]]*(Table127[[#This Row],[Earnings CAGR]]/0.15)+Table127[[#This Row],[Beta]]*((Table127[[#This Row],[ROCE]]-Table127[[#This Row],[Ke]])/Table127[[#This Row],[Ke]])-Table127[[#This Row],[Gamma]]*Table127[[#This Row],[Risk Adjustment]])</f>
        <v>100.11909552391585</v>
      </c>
      <c r="Q8" s="103" t="str">
        <f>Table127[[#This Row],[Sector]]</f>
        <v>IT</v>
      </c>
      <c r="R8" s="118">
        <f>Table127[[#This Row],[ROCE]]</f>
        <v>0.7</v>
      </c>
      <c r="S8" s="104">
        <f>Table127[[#This Row],[Forecasted PE]]</f>
        <v>100.11909552391585</v>
      </c>
      <c r="T8" s="99" t="str">
        <f t="shared" si="0"/>
        <v>High ROCE &amp; High PE</v>
      </c>
      <c r="U8"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Premium Efficiency</v>
      </c>
      <c r="V8" s="118">
        <f t="shared" si="1"/>
        <v>100.11909552391585</v>
      </c>
      <c r="W8" s="118" t="e">
        <f t="shared" si="2"/>
        <v>#N/A</v>
      </c>
      <c r="X8" s="118" t="e">
        <f t="shared" si="3"/>
        <v>#N/A</v>
      </c>
      <c r="Y8" s="118" t="e">
        <f t="shared" si="4"/>
        <v>#N/A</v>
      </c>
      <c r="Z8" s="118" t="e">
        <f t="shared" si="5"/>
        <v>#N/A</v>
      </c>
      <c r="AD8" s="3" t="s">
        <v>198</v>
      </c>
      <c r="AE8" s="3" t="s">
        <v>199</v>
      </c>
      <c r="AF8" s="3" t="s">
        <v>200</v>
      </c>
      <c r="AG8" s="3" t="s">
        <v>201</v>
      </c>
    </row>
    <row r="9" spans="1:33" ht="28.8" x14ac:dyDescent="0.3">
      <c r="A9" s="3" t="s">
        <v>148</v>
      </c>
      <c r="B9" s="104">
        <f>Table144[[#This Row],[Avg Valuation Multiple]]</f>
        <v>14.637596146490015</v>
      </c>
      <c r="C9" s="3" t="s">
        <v>171</v>
      </c>
      <c r="E9" s="108" t="str">
        <f>Table126[[#This Row],[Sector]]</f>
        <v>Minerals</v>
      </c>
      <c r="F9" s="112">
        <f>Table126[[#This Row],[Avg Valuation multiple]]</f>
        <v>14.637596146490015</v>
      </c>
      <c r="G9" s="109">
        <f>[18]Calc!$C$35</f>
        <v>7.834363870090548E-2</v>
      </c>
      <c r="H9" s="110">
        <f>Table5[[#This Row],[Incremental ROCE (Forecast)]]</f>
        <v>0.39999999999999997</v>
      </c>
      <c r="I9" s="109">
        <f>AVERAGE(Table23458912377144[Cost of Equity])</f>
        <v>0.15126125000000001</v>
      </c>
      <c r="J9" s="112">
        <f>India!D22</f>
        <v>11.87628915488275</v>
      </c>
      <c r="K9" s="112">
        <f>MIN(0.5,Table127[[#This Row],[Earnings Sensitivity]]/100)</f>
        <v>0.11876289154882751</v>
      </c>
      <c r="L9" s="112">
        <v>0.4</v>
      </c>
      <c r="M9" s="112">
        <v>0.4</v>
      </c>
      <c r="N9" s="112">
        <v>0.2</v>
      </c>
      <c r="O9" s="117">
        <f>Table127[[#This Row],[Base PE]]*(1+Table127[[#This Row],[Alpha]]*(Table127[[#This Row],[Earnings CAGR]]/0.15)+Table127[[#This Row],[Beta]]*((Table127[[#This Row],[ROCE]]-Table127[[#This Row],[Ke]])/Table127[[#This Row],[Ke]])-Table127[[#This Row],[Gamma]]*Table127[[#This Row],[Risk Adjustment]])</f>
        <v>26.976158072522512</v>
      </c>
      <c r="Q9" s="103" t="str">
        <f>Table127[[#This Row],[Sector]]</f>
        <v>Minerals</v>
      </c>
      <c r="R9" s="118">
        <f>Table127[[#This Row],[ROCE]]</f>
        <v>0.39999999999999997</v>
      </c>
      <c r="S9" s="104">
        <f>Table127[[#This Row],[Forecasted PE]]</f>
        <v>26.976158072522512</v>
      </c>
      <c r="T9" s="99" t="str">
        <f t="shared" si="0"/>
        <v>High ROCE &amp; Low PE</v>
      </c>
      <c r="U9"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Mid-tier Performer</v>
      </c>
      <c r="V9" s="118" t="e">
        <f t="shared" si="1"/>
        <v>#N/A</v>
      </c>
      <c r="W9" s="118" t="e">
        <f t="shared" si="2"/>
        <v>#N/A</v>
      </c>
      <c r="X9" s="118" t="e">
        <f t="shared" si="3"/>
        <v>#N/A</v>
      </c>
      <c r="Y9" s="118" t="e">
        <f t="shared" si="4"/>
        <v>#N/A</v>
      </c>
      <c r="Z9" s="118">
        <f t="shared" si="5"/>
        <v>26.976158072522512</v>
      </c>
      <c r="AD9" s="3" t="s">
        <v>202</v>
      </c>
      <c r="AE9" s="3" t="str" cm="1">
        <f t="array" ref="AE9">_xlfn.TEXTJOIN(",",TRUE,IF((Table139[Forecasted ROCE]&gt;$AA$16)*(Table139[Forecasted PE]&gt;$AA$18),Table139[Sector],""))</f>
        <v>Defence,IT</v>
      </c>
      <c r="AF9" s="3" t="str" cm="1">
        <f t="array" ref="AF9">_xlfn.TEXTJOIN(",",TRUE,IF((Table139[Forecasted ROCE]&gt;$AA$17)*(Table139[Forecasted ROCE]&lt;=$AA$16)*(Table139[Forecasted PE]&gt;$AA$18),Table139[Sector],""))</f>
        <v>FMCG &amp; Retail</v>
      </c>
      <c r="AG9" s="3" t="str" cm="1">
        <f t="array" ref="AG9">_xlfn.TEXTJOIN(",",TRUE,IF((Table139[Forecasted ROCE]&lt;=$AA$17)*(Table139[Forecasted PE]&gt;$AA$18),Table139[Sector],""))</f>
        <v/>
      </c>
    </row>
    <row r="10" spans="1:33" ht="28.8" x14ac:dyDescent="0.3">
      <c r="A10" s="3" t="s">
        <v>147</v>
      </c>
      <c r="B10" s="104">
        <f>Table144[[#This Row],[Avg Valuation Multiple]]</f>
        <v>13.135594105904921</v>
      </c>
      <c r="C10" s="3" t="s">
        <v>172</v>
      </c>
      <c r="E10" s="108" t="str">
        <f>Table126[[#This Row],[Sector]]</f>
        <v>Oil &amp; Gas</v>
      </c>
      <c r="F10" s="112">
        <f>Table126[[#This Row],[Avg Valuation multiple]]</f>
        <v>13.135594105904921</v>
      </c>
      <c r="G10" s="109">
        <f>[16]Calc!$C$35</f>
        <v>6.4562942381574409E-2</v>
      </c>
      <c r="H10" s="110">
        <f>Table5[[#This Row],[Incremental ROCE (Forecast)]]</f>
        <v>0.3</v>
      </c>
      <c r="I10" s="109">
        <f>AVERAGE(Table23458912377[Cost of Equity])</f>
        <v>0.16256486999999997</v>
      </c>
      <c r="J10" s="112">
        <f>India!D23</f>
        <v>19.577900404682961</v>
      </c>
      <c r="K10" s="112">
        <f>MIN(0.5,Table127[[#This Row],[Earnings Sensitivity]]/100)</f>
        <v>0.1957790040468296</v>
      </c>
      <c r="L10" s="112">
        <v>0.4</v>
      </c>
      <c r="M10" s="112">
        <v>0.4</v>
      </c>
      <c r="N10" s="112">
        <v>0.2</v>
      </c>
      <c r="O10" s="117">
        <f>Table127[[#This Row],[Base PE]]*(1+Table127[[#This Row],[Alpha]]*(Table127[[#This Row],[Earnings CAGR]]/0.15)+Table127[[#This Row],[Beta]]*((Table127[[#This Row],[ROCE]]-Table127[[#This Row],[Ke]])/Table127[[#This Row],[Ke]])-Table127[[#This Row],[Gamma]]*Table127[[#This Row],[Risk Adjustment]])</f>
        <v>19.324808989919344</v>
      </c>
      <c r="Q10" s="103" t="str">
        <f>Table127[[#This Row],[Sector]]</f>
        <v>Oil &amp; Gas</v>
      </c>
      <c r="R10" s="118">
        <f>Table127[[#This Row],[ROCE]]</f>
        <v>0.3</v>
      </c>
      <c r="S10" s="104">
        <f>Table127[[#This Row],[Forecasted PE]]</f>
        <v>19.324808989919344</v>
      </c>
      <c r="T10" s="99" t="str">
        <f t="shared" si="0"/>
        <v>High ROCE &amp; Low PE</v>
      </c>
      <c r="U10"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Mid-tier Performer</v>
      </c>
      <c r="V10" s="118" t="e">
        <f t="shared" si="1"/>
        <v>#N/A</v>
      </c>
      <c r="W10" s="118" t="e">
        <f t="shared" si="2"/>
        <v>#N/A</v>
      </c>
      <c r="X10" s="118" t="e">
        <f t="shared" si="3"/>
        <v>#N/A</v>
      </c>
      <c r="Y10" s="118" t="e">
        <f t="shared" si="4"/>
        <v>#N/A</v>
      </c>
      <c r="Z10" s="118">
        <f t="shared" si="5"/>
        <v>19.324808989919344</v>
      </c>
      <c r="AD10" s="3" t="s">
        <v>203</v>
      </c>
      <c r="AE10" s="3" t="str" cm="1">
        <f t="array" ref="AE10">_xlfn.TEXTJOIN(",",TRUE,IF((Table139[Forecasted ROCE]&gt;$AA$16)*(Table139[Forecasted PE]&gt;$AA$19)*(Table139[Forecasted PE]&lt;=$AA$18),Table139[Sector],""))</f>
        <v/>
      </c>
      <c r="AF10" s="3" t="str" cm="1">
        <f t="array" ref="AF10">_xlfn.TEXTJOIN(",",TRUE,IF((Table139[Forecasted ROCE]&gt;$AA$17)*(Table139[Forecasted ROCE]&lt;=$AA$16)*(Table139[Forecasted PE]&gt;$AA$19)*(Table139[Forecasted PE]&lt;=$AA$18),Table139[Sector],""))</f>
        <v>Automotive,Pharma</v>
      </c>
      <c r="AG10" s="3" t="str" cm="1">
        <f t="array" ref="AG10">_xlfn.TEXTJOIN(",",TRUE,IF((Table139[Forecasted ROCE]&lt;=$AA$17)*(Table139[Forecasted PE]&gt;$AA$19)*(Table139[Forecasted PE]&lt;=$AA$18),Table139[Sector],""))</f>
        <v>BFSI,Infrastructure</v>
      </c>
    </row>
    <row r="11" spans="1:33" ht="28.8" x14ac:dyDescent="0.3">
      <c r="A11" s="3" t="s">
        <v>145</v>
      </c>
      <c r="B11" s="104">
        <f>Table144[[#This Row],[Avg Valuation Multiple]]</f>
        <v>45.303416666666664</v>
      </c>
      <c r="C11" s="3" t="s">
        <v>173</v>
      </c>
      <c r="E11" s="108" t="str">
        <f>Table126[[#This Row],[Sector]]</f>
        <v>Pharma</v>
      </c>
      <c r="F11" s="112">
        <f>Table126[[#This Row],[Avg Valuation multiple]]</f>
        <v>45.303416666666664</v>
      </c>
      <c r="G11" s="109">
        <f>[9]Calc!$C$17</f>
        <v>6.6114713311466164E-2</v>
      </c>
      <c r="H11" s="110">
        <f>Table5[[#This Row],[Incremental ROCE (Forecast)]]</f>
        <v>0.15031580928325544</v>
      </c>
      <c r="I11" s="109">
        <f>AVERAGE(Table234558[Cost of Equity])</f>
        <v>0.11815137999999999</v>
      </c>
      <c r="J11" s="112">
        <f>India!D24</f>
        <v>24.499671989513079</v>
      </c>
      <c r="K11" s="112">
        <f>MIN(0.5,Table127[[#This Row],[Earnings Sensitivity]]/100)</f>
        <v>0.24499671989513078</v>
      </c>
      <c r="L11" s="112">
        <v>0.4</v>
      </c>
      <c r="M11" s="112">
        <v>0.4</v>
      </c>
      <c r="N11" s="112">
        <v>0.2</v>
      </c>
      <c r="O11" s="117">
        <f>Table127[[#This Row],[Base PE]]*(1+Table127[[#This Row],[Alpha]]*(Table127[[#This Row],[Earnings CAGR]]/0.15)+Table127[[#This Row],[Beta]]*((Table127[[#This Row],[ROCE]]-Table127[[#This Row],[Ke]])/Table127[[#This Row],[Ke]])-Table127[[#This Row],[Gamma]]*Table127[[#This Row],[Risk Adjustment]])</f>
        <v>56.004030496975147</v>
      </c>
      <c r="Q11" s="103" t="str">
        <f>Table127[[#This Row],[Sector]]</f>
        <v>Pharma</v>
      </c>
      <c r="R11" s="118">
        <f>Table127[[#This Row],[ROCE]]</f>
        <v>0.15031580928325544</v>
      </c>
      <c r="S11" s="104">
        <f>Table127[[#This Row],[Forecasted PE]]</f>
        <v>56.004030496975147</v>
      </c>
      <c r="T11" s="99" t="str">
        <f t="shared" si="0"/>
        <v>Moderate ROCE &amp; Moderate PE</v>
      </c>
      <c r="U11"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Balanced Compounder</v>
      </c>
      <c r="V11" s="118" t="e">
        <f t="shared" si="1"/>
        <v>#N/A</v>
      </c>
      <c r="W11" s="118">
        <f t="shared" si="2"/>
        <v>56.004030496975147</v>
      </c>
      <c r="X11" s="118" t="e">
        <f t="shared" si="3"/>
        <v>#N/A</v>
      </c>
      <c r="Y11" s="118" t="e">
        <f t="shared" si="4"/>
        <v>#N/A</v>
      </c>
      <c r="Z11" s="118" t="e">
        <f t="shared" si="5"/>
        <v>#N/A</v>
      </c>
      <c r="AD11" s="3" t="s">
        <v>204</v>
      </c>
      <c r="AE11" s="3" t="str" cm="1">
        <f t="array" ref="AE11">_xlfn.TEXTJOIN(",",TRUE,IF((Table139[Forecasted ROCE]&gt;$AA$16)*(Table139[Forecasted PE]&lt;=$AA$19),Table139[Sector],""))</f>
        <v>Minerals</v>
      </c>
      <c r="AF11" s="3" t="str" cm="1">
        <f t="array" ref="AF11">_xlfn.TEXTJOIN(",",TRUE,IF((Table139[Forecasted ROCE]&gt;$AA$17)*(Table139[Forecasted ROCE]&lt;=$AA$16)*(Table139[Forecasted PE]&lt;=$AA$19),Table139[Sector],""))</f>
        <v>Energy,Oil &amp; Gas</v>
      </c>
      <c r="AG11" s="3" t="str" cm="1">
        <f t="array" ref="AG11">_xlfn.TEXTJOIN(",",TRUE,IF((Table139[Forecasted ROCE]&lt;=$AA$17)*(Table139[Forecasted PE]&lt;=$AA$19),Table139[Sector],""))</f>
        <v>Telecom</v>
      </c>
    </row>
    <row r="12" spans="1:33" ht="28.8" x14ac:dyDescent="0.3">
      <c r="A12" s="3" t="s">
        <v>149</v>
      </c>
      <c r="B12" s="104">
        <f>Table144[[#This Row],[Avg Valuation Multiple]]</f>
        <v>22.99099856876796</v>
      </c>
      <c r="C12" s="3" t="s">
        <v>174</v>
      </c>
      <c r="E12" s="108" t="str">
        <f>Table126[[#This Row],[Sector]]</f>
        <v>Telecom</v>
      </c>
      <c r="F12" s="112">
        <f>Table126[[#This Row],[Avg Valuation multiple]]</f>
        <v>22.99099856876796</v>
      </c>
      <c r="G12" s="109">
        <f>[13]Calc!$D$29</f>
        <v>0.11957547741869645</v>
      </c>
      <c r="H12" s="110">
        <f>Table5[[#This Row],[Incremental ROCE (Forecast)]]</f>
        <v>0.13389398859242055</v>
      </c>
      <c r="I12" s="109">
        <f>AVERAGE(Table234589123[Cost of Equity])</f>
        <v>0.13614943282604422</v>
      </c>
      <c r="J12" s="112">
        <f>India!D25</f>
        <v>83.834806004028593</v>
      </c>
      <c r="K12" s="112">
        <f>MIN(0.5,Table127[[#This Row],[Earnings Sensitivity]]/100)</f>
        <v>0.5</v>
      </c>
      <c r="L12" s="112">
        <v>0.4</v>
      </c>
      <c r="M12" s="112">
        <v>0.4</v>
      </c>
      <c r="N12" s="112">
        <v>0.2</v>
      </c>
      <c r="O12" s="117">
        <f>Table127[[#This Row],[Base PE]]*(1+Table127[[#This Row],[Alpha]]*(Table127[[#This Row],[Earnings CAGR]]/0.15)+Table127[[#This Row],[Beta]]*((Table127[[#This Row],[ROCE]]-Table127[[#This Row],[Ke]])/Table127[[#This Row],[Ke]])-Table127[[#This Row],[Gamma]]*Table127[[#This Row],[Risk Adjustment]])</f>
        <v>27.870643997257158</v>
      </c>
      <c r="Q12" s="103" t="str">
        <f>Table127[[#This Row],[Sector]]</f>
        <v>Telecom</v>
      </c>
      <c r="R12" s="118">
        <f>Table127[[#This Row],[ROCE]]</f>
        <v>0.13389398859242055</v>
      </c>
      <c r="S12" s="104">
        <f>Table127[[#This Row],[Forecasted PE]]</f>
        <v>27.870643997257158</v>
      </c>
      <c r="T12" s="99" t="str">
        <f t="shared" si="0"/>
        <v>Low ROCE &amp; Low PE</v>
      </c>
      <c r="U12" s="99" t="str">
        <f>IF(AND(Table139[[#This Row],[Forecasted ROCE]]&gt;=$AA$16,Table139[[#This Row],[Forecasted PE]]&gt;=$AA$18),"Premium Efficiency",IF(AND(Table139[[#This Row],[Forecasted ROCE]]&gt;=$AA$16,Table139[[#This Row],[Forecasted PE]]&gt;=$AA$19),"Undervalued Efficient",IF(AND(Table139[[#This Row],[Forecasted ROCE]]&gt;=$AA$17,Table139[[#This Row],[Forecasted PE]]&gt;=$AA$19),"Balanced Compounder",IF(AND(Table139[[#This Row],[Forecasted ROCE]]&lt;$AA$17,Table139[[#This Row],[Forecasted PE]]&lt;$AA$19),"Value Anchor","Mid-tier Performer"))))</f>
        <v>Value Anchor</v>
      </c>
      <c r="V12" s="118" t="e">
        <f t="shared" si="1"/>
        <v>#N/A</v>
      </c>
      <c r="W12" s="118" t="e">
        <f t="shared" si="2"/>
        <v>#N/A</v>
      </c>
      <c r="X12" s="118" t="e">
        <f t="shared" si="3"/>
        <v>#N/A</v>
      </c>
      <c r="Y12" s="118">
        <f t="shared" si="4"/>
        <v>27.870643997257158</v>
      </c>
      <c r="Z12" s="118" t="e">
        <f t="shared" si="5"/>
        <v>#N/A</v>
      </c>
    </row>
    <row r="13" spans="1:33" x14ac:dyDescent="0.3">
      <c r="E13" s="114" t="s">
        <v>155</v>
      </c>
      <c r="F13" s="116">
        <f>AVERAGE(F2:F12)</f>
        <v>37.496115087802764</v>
      </c>
      <c r="G13" s="115">
        <f>AVERAGE(G2:G12)</f>
        <v>0.10567273905934788</v>
      </c>
      <c r="H13" s="116"/>
      <c r="I13" s="116"/>
      <c r="J13" s="116"/>
      <c r="K13" s="116"/>
      <c r="L13" s="116"/>
      <c r="M13" s="116"/>
      <c r="N13" s="116"/>
      <c r="O13" s="116">
        <f t="shared" ref="O13" si="6">AVERAGE(O2:O12)</f>
        <v>61.158424924959803</v>
      </c>
    </row>
    <row r="15" spans="1:33" x14ac:dyDescent="0.3">
      <c r="Z15" s="99" t="s">
        <v>187</v>
      </c>
      <c r="AA15" s="99" t="s">
        <v>12</v>
      </c>
    </row>
    <row r="16" spans="1:33" x14ac:dyDescent="0.3">
      <c r="Z16" s="3" t="s">
        <v>188</v>
      </c>
      <c r="AA16" s="113">
        <v>0.3</v>
      </c>
    </row>
    <row r="17" spans="26:27" ht="28.8" x14ac:dyDescent="0.3">
      <c r="Z17" s="3" t="s">
        <v>189</v>
      </c>
      <c r="AA17" s="113">
        <v>0.15</v>
      </c>
    </row>
    <row r="18" spans="26:27" x14ac:dyDescent="0.3">
      <c r="Z18" s="3" t="s">
        <v>190</v>
      </c>
      <c r="AA18" s="113">
        <v>60</v>
      </c>
    </row>
    <row r="19" spans="26:27" ht="28.8" x14ac:dyDescent="0.3">
      <c r="Z19" s="3" t="s">
        <v>191</v>
      </c>
      <c r="AA19" s="113">
        <v>30</v>
      </c>
    </row>
  </sheetData>
  <pageMargins left="0.7" right="0.7" top="0.75" bottom="0.75" header="0.3" footer="0.3"/>
  <tableParts count="5">
    <tablePart r:id="rId1"/>
    <tablePart r:id="rId2"/>
    <tablePart r:id="rId3"/>
    <tablePart r:id="rId4"/>
    <tablePart r:id="rId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BD35-0B13-4683-952E-79309BB348B7}">
  <dimension ref="A1"/>
  <sheetViews>
    <sheetView workbookViewId="0">
      <selection activeCell="G10" sqref="G10"/>
    </sheetView>
  </sheetViews>
  <sheetFormatPr defaultRowHeight="14.4" x14ac:dyDescent="0.3"/>
  <cols>
    <col min="1" max="1" width="12.77734375" bestFit="1" customWidth="1"/>
    <col min="2" max="2" width="16.6640625" bestFit="1" customWidth="1"/>
    <col min="3" max="3" width="9.7773437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Sector-wise Analysis</vt:lpstr>
      <vt:lpstr>Tables-BFSI</vt:lpstr>
      <vt:lpstr>Tables-FMCG</vt:lpstr>
      <vt:lpstr>Tables-Pharma</vt:lpstr>
      <vt:lpstr>Tables-IT</vt:lpstr>
      <vt:lpstr>Tables-Auto</vt:lpstr>
      <vt:lpstr>Tables-P&amp;E</vt:lpstr>
      <vt:lpstr>Tables-Telecom</vt:lpstr>
      <vt:lpstr>Tables-defence</vt:lpstr>
      <vt:lpstr>Tables-Oil&amp;Gas</vt:lpstr>
      <vt:lpstr>Tables-Infra</vt:lpstr>
      <vt:lpstr>Tables-Minerals</vt:lpstr>
      <vt:lpstr>Valuation Summary</vt:lpstr>
      <vt:lpstr>India</vt:lpstr>
      <vt:lpstr>Cross-Sector US</vt:lpstr>
      <vt:lpstr>US-1</vt:lpstr>
      <vt:lpstr>USI-1</vt:lpstr>
      <vt:lpstr>USI-2</vt:lpstr>
      <vt:lpstr>India-1</vt:lpstr>
      <vt:lpstr>India-2</vt:lpstr>
      <vt:lpstr>USI-3</vt:lpstr>
      <vt:lpstr>USI-5</vt:lpstr>
      <vt:lpstr>US-2</vt:lpstr>
      <vt:lpstr>USI-4</vt:lpstr>
      <vt:lpstr>5e</vt:lpstr>
      <vt:lpstr>Analysis1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2025-11-24T11:16:17Z</dcterms:modified>
</cp:coreProperties>
</file>